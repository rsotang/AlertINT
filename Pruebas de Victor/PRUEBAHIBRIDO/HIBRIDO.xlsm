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Dosis pacientes\Alertas_Intervencionismo\PRUEBAHIBRIDO\"/>
    </mc:Choice>
  </mc:AlternateContent>
  <bookViews>
    <workbookView xWindow="0" yWindow="0" windowWidth="28800" windowHeight="12330" firstSheet="1" activeTab="5"/>
  </bookViews>
  <sheets>
    <sheet name="PACIENTES (2)" sheetId="22" state="hidden" r:id="rId1"/>
    <sheet name="PACIENTES" sheetId="5" r:id="rId2"/>
    <sheet name="XML" sheetId="13" r:id="rId3"/>
    <sheet name="DATOS" sheetId="23" r:id="rId4"/>
    <sheet name="DATOS2" sheetId="26" r:id="rId5"/>
    <sheet name="DATOS3" sheetId="27" r:id="rId6"/>
  </sheets>
  <calcPr calcId="162913"/>
</workbook>
</file>

<file path=xl/calcChain.xml><?xml version="1.0" encoding="utf-8"?>
<calcChain xmlns="http://schemas.openxmlformats.org/spreadsheetml/2006/main">
  <c r="K3" i="5" l="1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" i="5"/>
  <c r="P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" i="5"/>
  <c r="I3" i="23" l="1"/>
  <c r="J3" i="23"/>
  <c r="K3" i="23"/>
  <c r="L3" i="23"/>
  <c r="I4" i="23"/>
  <c r="J4" i="23"/>
  <c r="K4" i="23"/>
  <c r="L4" i="23"/>
  <c r="I5" i="23"/>
  <c r="J5" i="23"/>
  <c r="K5" i="23"/>
  <c r="L5" i="23"/>
  <c r="I6" i="23"/>
  <c r="J6" i="23"/>
  <c r="K6" i="23"/>
  <c r="L6" i="23"/>
  <c r="I7" i="23"/>
  <c r="J7" i="23"/>
  <c r="K7" i="23"/>
  <c r="L7" i="23"/>
  <c r="I8" i="23"/>
  <c r="J8" i="23"/>
  <c r="K8" i="23"/>
  <c r="L8" i="23"/>
  <c r="I9" i="23"/>
  <c r="J9" i="23"/>
  <c r="K9" i="23"/>
  <c r="L9" i="23"/>
  <c r="I10" i="23"/>
  <c r="J10" i="23"/>
  <c r="K10" i="23"/>
  <c r="L10" i="23"/>
  <c r="I11" i="23"/>
  <c r="J11" i="23"/>
  <c r="K11" i="23"/>
  <c r="L11" i="23"/>
  <c r="I12" i="23"/>
  <c r="J12" i="23"/>
  <c r="K12" i="23"/>
  <c r="L12" i="23"/>
  <c r="I13" i="23"/>
  <c r="J13" i="23"/>
  <c r="K13" i="23"/>
  <c r="L13" i="23"/>
  <c r="I14" i="23"/>
  <c r="J14" i="23"/>
  <c r="K14" i="23"/>
  <c r="L14" i="23"/>
  <c r="I15" i="23"/>
  <c r="J15" i="23"/>
  <c r="K15" i="23"/>
  <c r="L15" i="23"/>
  <c r="I16" i="23"/>
  <c r="J16" i="23"/>
  <c r="K16" i="23"/>
  <c r="L16" i="23"/>
  <c r="I17" i="23"/>
  <c r="J17" i="23"/>
  <c r="K17" i="23"/>
  <c r="L17" i="23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I35" i="23"/>
  <c r="J35" i="23"/>
  <c r="K35" i="23"/>
  <c r="L35" i="23"/>
  <c r="I36" i="23"/>
  <c r="J36" i="23"/>
  <c r="K36" i="23"/>
  <c r="L36" i="23"/>
  <c r="I37" i="23"/>
  <c r="J37" i="23"/>
  <c r="K37" i="23"/>
  <c r="L37" i="23"/>
  <c r="I38" i="23"/>
  <c r="J38" i="23"/>
  <c r="K38" i="23"/>
  <c r="L38" i="23"/>
  <c r="I39" i="23"/>
  <c r="J39" i="23"/>
  <c r="K39" i="23"/>
  <c r="L39" i="23"/>
  <c r="I40" i="23"/>
  <c r="J40" i="23"/>
  <c r="K40" i="23"/>
  <c r="L40" i="23"/>
  <c r="I41" i="23"/>
  <c r="J41" i="23"/>
  <c r="K41" i="23"/>
  <c r="L41" i="23"/>
  <c r="I42" i="23"/>
  <c r="J42" i="23"/>
  <c r="K42" i="23"/>
  <c r="L42" i="23"/>
  <c r="I43" i="23"/>
  <c r="J43" i="23"/>
  <c r="K43" i="23"/>
  <c r="L43" i="23"/>
  <c r="I44" i="23"/>
  <c r="J44" i="23"/>
  <c r="K44" i="23"/>
  <c r="L44" i="23"/>
  <c r="I45" i="23"/>
  <c r="J45" i="23"/>
  <c r="K45" i="23"/>
  <c r="L45" i="23"/>
  <c r="I46" i="23"/>
  <c r="J46" i="23"/>
  <c r="K46" i="23"/>
  <c r="L46" i="23"/>
  <c r="I47" i="23"/>
  <c r="J47" i="23"/>
  <c r="K47" i="23"/>
  <c r="L47" i="23"/>
  <c r="I48" i="23"/>
  <c r="J48" i="23"/>
  <c r="K48" i="23"/>
  <c r="L48" i="23"/>
  <c r="I49" i="23"/>
  <c r="J49" i="23"/>
  <c r="K49" i="23"/>
  <c r="L49" i="23"/>
  <c r="I50" i="23"/>
  <c r="J50" i="23"/>
  <c r="K50" i="23"/>
  <c r="L50" i="23"/>
  <c r="I51" i="23"/>
  <c r="J51" i="23"/>
  <c r="K51" i="23"/>
  <c r="L51" i="23"/>
  <c r="I52" i="23"/>
  <c r="J52" i="23"/>
  <c r="K52" i="23"/>
  <c r="L52" i="23"/>
  <c r="I53" i="23"/>
  <c r="J53" i="23"/>
  <c r="K53" i="23"/>
  <c r="L53" i="23"/>
  <c r="I54" i="23"/>
  <c r="J54" i="23"/>
  <c r="K54" i="23"/>
  <c r="L54" i="23"/>
  <c r="I55" i="23"/>
  <c r="J55" i="23"/>
  <c r="K55" i="23"/>
  <c r="L55" i="23"/>
  <c r="I56" i="23"/>
  <c r="J56" i="23"/>
  <c r="K56" i="23"/>
  <c r="L56" i="23"/>
  <c r="I57" i="23"/>
  <c r="J57" i="23"/>
  <c r="K57" i="23"/>
  <c r="L57" i="23"/>
  <c r="I58" i="23"/>
  <c r="J58" i="23"/>
  <c r="K58" i="23"/>
  <c r="L58" i="23"/>
  <c r="I59" i="23"/>
  <c r="J59" i="23"/>
  <c r="K59" i="23"/>
  <c r="L59" i="23"/>
  <c r="I60" i="23"/>
  <c r="J60" i="23"/>
  <c r="K60" i="23"/>
  <c r="L60" i="23"/>
  <c r="I61" i="23"/>
  <c r="J61" i="23"/>
  <c r="K61" i="23"/>
  <c r="L61" i="23"/>
  <c r="I62" i="23"/>
  <c r="J62" i="23"/>
  <c r="K62" i="23"/>
  <c r="L62" i="23"/>
  <c r="I63" i="23"/>
  <c r="J63" i="23"/>
  <c r="K63" i="23"/>
  <c r="L63" i="23"/>
  <c r="I64" i="23"/>
  <c r="J64" i="23"/>
  <c r="K64" i="23"/>
  <c r="L64" i="23"/>
  <c r="I65" i="23"/>
  <c r="J65" i="23"/>
  <c r="K65" i="23"/>
  <c r="L65" i="23"/>
  <c r="I66" i="23"/>
  <c r="J66" i="23"/>
  <c r="K66" i="23"/>
  <c r="L66" i="23"/>
  <c r="I67" i="23"/>
  <c r="J67" i="23"/>
  <c r="K67" i="23"/>
  <c r="L67" i="23"/>
  <c r="I68" i="23"/>
  <c r="J68" i="23"/>
  <c r="K68" i="23"/>
  <c r="L68" i="23"/>
  <c r="I69" i="23"/>
  <c r="J69" i="23"/>
  <c r="K69" i="23"/>
  <c r="L69" i="23"/>
  <c r="I70" i="23"/>
  <c r="J70" i="23"/>
  <c r="K70" i="23"/>
  <c r="L70" i="23"/>
  <c r="I71" i="23"/>
  <c r="J71" i="23"/>
  <c r="K71" i="23"/>
  <c r="L71" i="23"/>
  <c r="I72" i="23"/>
  <c r="J72" i="23"/>
  <c r="K72" i="23"/>
  <c r="L72" i="23"/>
  <c r="I73" i="23"/>
  <c r="J73" i="23"/>
  <c r="K73" i="23"/>
  <c r="L73" i="23"/>
  <c r="I74" i="23"/>
  <c r="J74" i="23"/>
  <c r="K74" i="23"/>
  <c r="L74" i="23"/>
  <c r="I75" i="23"/>
  <c r="J75" i="23"/>
  <c r="K75" i="23"/>
  <c r="L75" i="23"/>
  <c r="I76" i="23"/>
  <c r="J76" i="23"/>
  <c r="K76" i="23"/>
  <c r="L76" i="23"/>
  <c r="I77" i="23"/>
  <c r="J77" i="23"/>
  <c r="K77" i="23"/>
  <c r="L77" i="23"/>
  <c r="I78" i="23"/>
  <c r="J78" i="23"/>
  <c r="K78" i="23"/>
  <c r="L78" i="23"/>
  <c r="I79" i="23"/>
  <c r="J79" i="23"/>
  <c r="K79" i="23"/>
  <c r="L79" i="23"/>
  <c r="I80" i="23"/>
  <c r="J80" i="23"/>
  <c r="K80" i="23"/>
  <c r="L80" i="23"/>
  <c r="I81" i="23"/>
  <c r="J81" i="23"/>
  <c r="K81" i="23"/>
  <c r="L81" i="23"/>
  <c r="I82" i="23"/>
  <c r="J82" i="23"/>
  <c r="K82" i="23"/>
  <c r="L82" i="23"/>
  <c r="I83" i="23"/>
  <c r="J83" i="23"/>
  <c r="K83" i="23"/>
  <c r="L83" i="23"/>
  <c r="I84" i="23"/>
  <c r="J84" i="23"/>
  <c r="K84" i="23"/>
  <c r="L84" i="23"/>
  <c r="I85" i="23"/>
  <c r="J85" i="23"/>
  <c r="K85" i="23"/>
  <c r="L85" i="23"/>
  <c r="I86" i="23"/>
  <c r="J86" i="23"/>
  <c r="K86" i="23"/>
  <c r="L86" i="23"/>
  <c r="I87" i="23"/>
  <c r="J87" i="23"/>
  <c r="K87" i="23"/>
  <c r="L87" i="23"/>
  <c r="I88" i="23"/>
  <c r="J88" i="23"/>
  <c r="K88" i="23"/>
  <c r="L88" i="23"/>
  <c r="I89" i="23"/>
  <c r="J89" i="23"/>
  <c r="K89" i="23"/>
  <c r="L89" i="23"/>
  <c r="I90" i="23"/>
  <c r="J90" i="23"/>
  <c r="K90" i="23"/>
  <c r="L90" i="23"/>
  <c r="I91" i="23"/>
  <c r="J91" i="23"/>
  <c r="K91" i="23"/>
  <c r="L91" i="23"/>
  <c r="I92" i="23"/>
  <c r="J92" i="23"/>
  <c r="K92" i="23"/>
  <c r="L92" i="23"/>
  <c r="I93" i="23"/>
  <c r="J93" i="23"/>
  <c r="K93" i="23"/>
  <c r="L93" i="23"/>
  <c r="I94" i="23"/>
  <c r="J94" i="23"/>
  <c r="K94" i="23"/>
  <c r="L94" i="23"/>
  <c r="I95" i="23"/>
  <c r="J95" i="23"/>
  <c r="K95" i="23"/>
  <c r="L95" i="23"/>
  <c r="I96" i="23"/>
  <c r="J96" i="23"/>
  <c r="K96" i="23"/>
  <c r="L96" i="23"/>
  <c r="I97" i="23"/>
  <c r="J97" i="23"/>
  <c r="K97" i="23"/>
  <c r="L97" i="23"/>
  <c r="I98" i="23"/>
  <c r="J98" i="23"/>
  <c r="K98" i="23"/>
  <c r="L98" i="23"/>
  <c r="I99" i="23"/>
  <c r="J99" i="23"/>
  <c r="K99" i="23"/>
  <c r="L99" i="23"/>
  <c r="I100" i="23"/>
  <c r="J100" i="23"/>
  <c r="K100" i="23"/>
  <c r="L100" i="23"/>
  <c r="I101" i="23"/>
  <c r="J101" i="23"/>
  <c r="K101" i="23"/>
  <c r="L101" i="23"/>
  <c r="I102" i="23"/>
  <c r="J102" i="23"/>
  <c r="K102" i="23"/>
  <c r="L102" i="23"/>
  <c r="I103" i="23"/>
  <c r="J103" i="23"/>
  <c r="K103" i="23"/>
  <c r="L103" i="23"/>
  <c r="I104" i="23"/>
  <c r="J104" i="23"/>
  <c r="K104" i="23"/>
  <c r="L104" i="23"/>
  <c r="I105" i="23"/>
  <c r="J105" i="23"/>
  <c r="K105" i="23"/>
  <c r="L105" i="23"/>
  <c r="I106" i="23"/>
  <c r="J106" i="23"/>
  <c r="K106" i="23"/>
  <c r="L106" i="23"/>
  <c r="I107" i="23"/>
  <c r="J107" i="23"/>
  <c r="K107" i="23"/>
  <c r="L107" i="23"/>
  <c r="I108" i="23"/>
  <c r="J108" i="23"/>
  <c r="K108" i="23"/>
  <c r="L108" i="23"/>
  <c r="I109" i="23"/>
  <c r="J109" i="23"/>
  <c r="K109" i="23"/>
  <c r="L109" i="23"/>
  <c r="I110" i="23"/>
  <c r="J110" i="23"/>
  <c r="K110" i="23"/>
  <c r="L110" i="23"/>
  <c r="I111" i="23"/>
  <c r="J111" i="23"/>
  <c r="K111" i="23"/>
  <c r="L111" i="23"/>
  <c r="I112" i="23"/>
  <c r="J112" i="23"/>
  <c r="K112" i="23"/>
  <c r="L112" i="23"/>
  <c r="I113" i="23"/>
  <c r="J113" i="23"/>
  <c r="K113" i="23"/>
  <c r="L113" i="23"/>
  <c r="I114" i="23"/>
  <c r="J114" i="23"/>
  <c r="K114" i="23"/>
  <c r="L114" i="23"/>
  <c r="I115" i="23"/>
  <c r="J115" i="23"/>
  <c r="K115" i="23"/>
  <c r="L115" i="23"/>
  <c r="I116" i="23"/>
  <c r="J116" i="23"/>
  <c r="K116" i="23"/>
  <c r="L116" i="23"/>
  <c r="I117" i="23"/>
  <c r="J117" i="23"/>
  <c r="K117" i="23"/>
  <c r="L117" i="23"/>
  <c r="I118" i="23"/>
  <c r="J118" i="23"/>
  <c r="K118" i="23"/>
  <c r="L118" i="23"/>
  <c r="I119" i="23"/>
  <c r="J119" i="23"/>
  <c r="K119" i="23"/>
  <c r="L119" i="23"/>
  <c r="I120" i="23"/>
  <c r="J120" i="23"/>
  <c r="K120" i="23"/>
  <c r="L120" i="23"/>
  <c r="I121" i="23"/>
  <c r="J121" i="23"/>
  <c r="K121" i="23"/>
  <c r="L121" i="23"/>
  <c r="I122" i="23"/>
  <c r="J122" i="23"/>
  <c r="K122" i="23"/>
  <c r="L122" i="23"/>
  <c r="I123" i="23"/>
  <c r="J123" i="23"/>
  <c r="K123" i="23"/>
  <c r="L123" i="23"/>
  <c r="I124" i="23"/>
  <c r="J124" i="23"/>
  <c r="K124" i="23"/>
  <c r="L124" i="23"/>
  <c r="I125" i="23"/>
  <c r="J125" i="23"/>
  <c r="K125" i="23"/>
  <c r="L125" i="23"/>
  <c r="I126" i="23"/>
  <c r="J126" i="23"/>
  <c r="K126" i="23"/>
  <c r="L126" i="23"/>
  <c r="I127" i="23"/>
  <c r="J127" i="23"/>
  <c r="K127" i="23"/>
  <c r="L127" i="23"/>
  <c r="I128" i="23"/>
  <c r="J128" i="23"/>
  <c r="K128" i="23"/>
  <c r="L128" i="23"/>
  <c r="I129" i="23"/>
  <c r="J129" i="23"/>
  <c r="K129" i="23"/>
  <c r="L129" i="23"/>
  <c r="I130" i="23"/>
  <c r="J130" i="23"/>
  <c r="K130" i="23"/>
  <c r="L130" i="23"/>
  <c r="I131" i="23"/>
  <c r="J131" i="23"/>
  <c r="K131" i="23"/>
  <c r="L131" i="23"/>
  <c r="I132" i="23"/>
  <c r="J132" i="23"/>
  <c r="K132" i="23"/>
  <c r="L132" i="23"/>
  <c r="I133" i="23"/>
  <c r="J133" i="23"/>
  <c r="K133" i="23"/>
  <c r="L133" i="23"/>
  <c r="I134" i="23"/>
  <c r="J134" i="23"/>
  <c r="K134" i="23"/>
  <c r="L134" i="23"/>
  <c r="I135" i="23"/>
  <c r="J135" i="23"/>
  <c r="K135" i="23"/>
  <c r="L135" i="23"/>
  <c r="I136" i="23"/>
  <c r="J136" i="23"/>
  <c r="K136" i="23"/>
  <c r="L136" i="23"/>
  <c r="I137" i="23"/>
  <c r="J137" i="23"/>
  <c r="K137" i="23"/>
  <c r="L137" i="23"/>
  <c r="I138" i="23"/>
  <c r="J138" i="23"/>
  <c r="K138" i="23"/>
  <c r="L138" i="23"/>
  <c r="I139" i="23"/>
  <c r="J139" i="23"/>
  <c r="K139" i="23"/>
  <c r="L139" i="23"/>
  <c r="I140" i="23"/>
  <c r="J140" i="23"/>
  <c r="K140" i="23"/>
  <c r="L140" i="23"/>
  <c r="I141" i="23"/>
  <c r="J141" i="23"/>
  <c r="K141" i="23"/>
  <c r="L141" i="23"/>
  <c r="I142" i="23"/>
  <c r="J142" i="23"/>
  <c r="K142" i="23"/>
  <c r="L142" i="23"/>
  <c r="I143" i="23"/>
  <c r="J143" i="23"/>
  <c r="K143" i="23"/>
  <c r="L143" i="23"/>
  <c r="I144" i="23"/>
  <c r="J144" i="23"/>
  <c r="K144" i="23"/>
  <c r="L144" i="23"/>
  <c r="I145" i="23"/>
  <c r="J145" i="23"/>
  <c r="K145" i="23"/>
  <c r="L145" i="23"/>
  <c r="I146" i="23"/>
  <c r="J146" i="23"/>
  <c r="K146" i="23"/>
  <c r="L146" i="23"/>
  <c r="I147" i="23"/>
  <c r="J147" i="23"/>
  <c r="K147" i="23"/>
  <c r="L147" i="23"/>
  <c r="I148" i="23"/>
  <c r="J148" i="23"/>
  <c r="K148" i="23"/>
  <c r="L148" i="23"/>
  <c r="I149" i="23"/>
  <c r="J149" i="23"/>
  <c r="K149" i="23"/>
  <c r="L149" i="23"/>
  <c r="I150" i="23"/>
  <c r="J150" i="23"/>
  <c r="K150" i="23"/>
  <c r="L150" i="23"/>
  <c r="I151" i="23"/>
  <c r="J151" i="23"/>
  <c r="K151" i="23"/>
  <c r="L151" i="23"/>
  <c r="I152" i="23"/>
  <c r="J152" i="23"/>
  <c r="K152" i="23"/>
  <c r="L152" i="23"/>
  <c r="I153" i="23"/>
  <c r="J153" i="23"/>
  <c r="K153" i="23"/>
  <c r="L153" i="23"/>
  <c r="I154" i="23"/>
  <c r="J154" i="23"/>
  <c r="K154" i="23"/>
  <c r="L154" i="23"/>
  <c r="I155" i="23"/>
  <c r="J155" i="23"/>
  <c r="K155" i="23"/>
  <c r="L155" i="23"/>
  <c r="I156" i="23"/>
  <c r="J156" i="23"/>
  <c r="K156" i="23"/>
  <c r="L156" i="23"/>
  <c r="I157" i="23"/>
  <c r="J157" i="23"/>
  <c r="K157" i="23"/>
  <c r="L157" i="23"/>
  <c r="I158" i="23"/>
  <c r="J158" i="23"/>
  <c r="K158" i="23"/>
  <c r="L158" i="23"/>
  <c r="I159" i="23"/>
  <c r="J159" i="23"/>
  <c r="K159" i="23"/>
  <c r="L159" i="23"/>
  <c r="I160" i="23"/>
  <c r="J160" i="23"/>
  <c r="K160" i="23"/>
  <c r="L160" i="23"/>
  <c r="I161" i="23"/>
  <c r="J161" i="23"/>
  <c r="K161" i="23"/>
  <c r="L161" i="23"/>
  <c r="I162" i="23"/>
  <c r="J162" i="23"/>
  <c r="K162" i="23"/>
  <c r="L162" i="23"/>
  <c r="I163" i="23"/>
  <c r="J163" i="23"/>
  <c r="K163" i="23"/>
  <c r="L163" i="23"/>
  <c r="I164" i="23"/>
  <c r="J164" i="23"/>
  <c r="K164" i="23"/>
  <c r="L164" i="23"/>
  <c r="I165" i="23"/>
  <c r="J165" i="23"/>
  <c r="K165" i="23"/>
  <c r="L165" i="23"/>
  <c r="I166" i="23"/>
  <c r="J166" i="23"/>
  <c r="K166" i="23"/>
  <c r="L166" i="23"/>
  <c r="I167" i="23"/>
  <c r="J167" i="23"/>
  <c r="K167" i="23"/>
  <c r="L167" i="23"/>
  <c r="I168" i="23"/>
  <c r="J168" i="23"/>
  <c r="K168" i="23"/>
  <c r="L168" i="23"/>
  <c r="I169" i="23"/>
  <c r="J169" i="23"/>
  <c r="K169" i="23"/>
  <c r="L169" i="23"/>
  <c r="I170" i="23"/>
  <c r="J170" i="23"/>
  <c r="K170" i="23"/>
  <c r="L170" i="23"/>
  <c r="I171" i="23"/>
  <c r="J171" i="23"/>
  <c r="K171" i="23"/>
  <c r="L171" i="23"/>
  <c r="I172" i="23"/>
  <c r="J172" i="23"/>
  <c r="K172" i="23"/>
  <c r="L172" i="23"/>
  <c r="I173" i="23"/>
  <c r="J173" i="23"/>
  <c r="K173" i="23"/>
  <c r="L173" i="23"/>
  <c r="I174" i="23"/>
  <c r="J174" i="23"/>
  <c r="K174" i="23"/>
  <c r="L174" i="23"/>
  <c r="I175" i="23"/>
  <c r="J175" i="23"/>
  <c r="K175" i="23"/>
  <c r="L175" i="23"/>
  <c r="I176" i="23"/>
  <c r="J176" i="23"/>
  <c r="K176" i="23"/>
  <c r="L176" i="23"/>
  <c r="I177" i="23"/>
  <c r="J177" i="23"/>
  <c r="K177" i="23"/>
  <c r="L177" i="23"/>
  <c r="I178" i="23"/>
  <c r="J178" i="23"/>
  <c r="K178" i="23"/>
  <c r="L178" i="23"/>
  <c r="I179" i="23"/>
  <c r="J179" i="23"/>
  <c r="K179" i="23"/>
  <c r="L179" i="23"/>
  <c r="I180" i="23"/>
  <c r="J180" i="23"/>
  <c r="K180" i="23"/>
  <c r="L180" i="23"/>
  <c r="I181" i="23"/>
  <c r="J181" i="23"/>
  <c r="K181" i="23"/>
  <c r="L181" i="23"/>
  <c r="I182" i="23"/>
  <c r="J182" i="23"/>
  <c r="K182" i="23"/>
  <c r="L182" i="23"/>
  <c r="I183" i="23"/>
  <c r="J183" i="23"/>
  <c r="K183" i="23"/>
  <c r="L183" i="23"/>
  <c r="I184" i="23"/>
  <c r="J184" i="23"/>
  <c r="K184" i="23"/>
  <c r="L184" i="23"/>
  <c r="I185" i="23"/>
  <c r="J185" i="23"/>
  <c r="K185" i="23"/>
  <c r="L185" i="23"/>
  <c r="I186" i="23"/>
  <c r="J186" i="23"/>
  <c r="K186" i="23"/>
  <c r="L186" i="23"/>
  <c r="I187" i="23"/>
  <c r="J187" i="23"/>
  <c r="K187" i="23"/>
  <c r="L187" i="23"/>
  <c r="I188" i="23"/>
  <c r="J188" i="23"/>
  <c r="K188" i="23"/>
  <c r="L188" i="23"/>
  <c r="I189" i="23"/>
  <c r="J189" i="23"/>
  <c r="K189" i="23"/>
  <c r="L189" i="23"/>
  <c r="I190" i="23"/>
  <c r="J190" i="23"/>
  <c r="K190" i="23"/>
  <c r="L190" i="23"/>
  <c r="I191" i="23"/>
  <c r="J191" i="23"/>
  <c r="K191" i="23"/>
  <c r="L191" i="23"/>
  <c r="I192" i="23"/>
  <c r="J192" i="23"/>
  <c r="K192" i="23"/>
  <c r="L192" i="23"/>
  <c r="I193" i="23"/>
  <c r="J193" i="23"/>
  <c r="K193" i="23"/>
  <c r="L193" i="23"/>
  <c r="I194" i="23"/>
  <c r="J194" i="23"/>
  <c r="K194" i="23"/>
  <c r="L194" i="23"/>
  <c r="I195" i="23"/>
  <c r="J195" i="23"/>
  <c r="K195" i="23"/>
  <c r="L195" i="23"/>
  <c r="I196" i="23"/>
  <c r="J196" i="23"/>
  <c r="K196" i="23"/>
  <c r="L196" i="23"/>
  <c r="I197" i="23"/>
  <c r="J197" i="23"/>
  <c r="K197" i="23"/>
  <c r="L197" i="23"/>
  <c r="I198" i="23"/>
  <c r="J198" i="23"/>
  <c r="K198" i="23"/>
  <c r="L198" i="23"/>
  <c r="I199" i="23"/>
  <c r="J199" i="23"/>
  <c r="K199" i="23"/>
  <c r="L199" i="23"/>
  <c r="I200" i="23"/>
  <c r="J200" i="23"/>
  <c r="K200" i="23"/>
  <c r="L200" i="23"/>
  <c r="I201" i="23"/>
  <c r="J201" i="23"/>
  <c r="K201" i="23"/>
  <c r="L201" i="23"/>
  <c r="I202" i="23"/>
  <c r="J202" i="23"/>
  <c r="K202" i="23"/>
  <c r="L202" i="23"/>
  <c r="I203" i="23"/>
  <c r="J203" i="23"/>
  <c r="K203" i="23"/>
  <c r="L203" i="23"/>
  <c r="I204" i="23"/>
  <c r="J204" i="23"/>
  <c r="K204" i="23"/>
  <c r="L204" i="23"/>
  <c r="I205" i="23"/>
  <c r="J205" i="23"/>
  <c r="K205" i="23"/>
  <c r="L205" i="23"/>
  <c r="I206" i="23"/>
  <c r="J206" i="23"/>
  <c r="K206" i="23"/>
  <c r="L206" i="23"/>
  <c r="I207" i="23"/>
  <c r="J207" i="23"/>
  <c r="K207" i="23"/>
  <c r="L207" i="23"/>
  <c r="I208" i="23"/>
  <c r="J208" i="23"/>
  <c r="K208" i="23"/>
  <c r="L208" i="23"/>
  <c r="I209" i="23"/>
  <c r="J209" i="23"/>
  <c r="K209" i="23"/>
  <c r="L209" i="23"/>
  <c r="I210" i="23"/>
  <c r="J210" i="23"/>
  <c r="K210" i="23"/>
  <c r="L210" i="23"/>
  <c r="I211" i="23"/>
  <c r="J211" i="23"/>
  <c r="K211" i="23"/>
  <c r="L211" i="23"/>
  <c r="I212" i="23"/>
  <c r="J212" i="23"/>
  <c r="K212" i="23"/>
  <c r="L212" i="23"/>
  <c r="I213" i="23"/>
  <c r="J213" i="23"/>
  <c r="K213" i="23"/>
  <c r="L213" i="23"/>
  <c r="I214" i="23"/>
  <c r="J214" i="23"/>
  <c r="K214" i="23"/>
  <c r="L214" i="23"/>
  <c r="I215" i="23"/>
  <c r="J215" i="23"/>
  <c r="K215" i="23"/>
  <c r="L215" i="23"/>
  <c r="I216" i="23"/>
  <c r="J216" i="23"/>
  <c r="K216" i="23"/>
  <c r="L216" i="23"/>
  <c r="I217" i="23"/>
  <c r="J217" i="23"/>
  <c r="K217" i="23"/>
  <c r="L217" i="23"/>
  <c r="I218" i="23"/>
  <c r="J218" i="23"/>
  <c r="K218" i="23"/>
  <c r="L218" i="23"/>
  <c r="I219" i="23"/>
  <c r="J219" i="23"/>
  <c r="K219" i="23"/>
  <c r="L219" i="23"/>
  <c r="I220" i="23"/>
  <c r="J220" i="23"/>
  <c r="K220" i="23"/>
  <c r="L220" i="23"/>
  <c r="I221" i="23"/>
  <c r="J221" i="23"/>
  <c r="K221" i="23"/>
  <c r="L221" i="23"/>
  <c r="I222" i="23"/>
  <c r="J222" i="23"/>
  <c r="K222" i="23"/>
  <c r="L222" i="23"/>
  <c r="I223" i="23"/>
  <c r="J223" i="23"/>
  <c r="K223" i="23"/>
  <c r="L223" i="23"/>
  <c r="I224" i="23"/>
  <c r="J224" i="23"/>
  <c r="K224" i="23"/>
  <c r="L224" i="23"/>
  <c r="I225" i="23"/>
  <c r="J225" i="23"/>
  <c r="K225" i="23"/>
  <c r="L225" i="23"/>
  <c r="I226" i="23"/>
  <c r="J226" i="23"/>
  <c r="K226" i="23"/>
  <c r="L226" i="23"/>
  <c r="I227" i="23"/>
  <c r="J227" i="23"/>
  <c r="K227" i="23"/>
  <c r="L227" i="23"/>
  <c r="I228" i="23"/>
  <c r="J228" i="23"/>
  <c r="K228" i="23"/>
  <c r="L228" i="23"/>
  <c r="I229" i="23"/>
  <c r="J229" i="23"/>
  <c r="K229" i="23"/>
  <c r="L229" i="23"/>
  <c r="I230" i="23"/>
  <c r="J230" i="23"/>
  <c r="K230" i="23"/>
  <c r="L230" i="23"/>
  <c r="I231" i="23"/>
  <c r="J231" i="23"/>
  <c r="K231" i="23"/>
  <c r="L231" i="23"/>
  <c r="I232" i="23"/>
  <c r="J232" i="23"/>
  <c r="K232" i="23"/>
  <c r="L232" i="23"/>
  <c r="I233" i="23"/>
  <c r="J233" i="23"/>
  <c r="K233" i="23"/>
  <c r="L233" i="23"/>
  <c r="I234" i="23"/>
  <c r="J234" i="23"/>
  <c r="K234" i="23"/>
  <c r="L234" i="23"/>
  <c r="I235" i="23"/>
  <c r="J235" i="23"/>
  <c r="K235" i="23"/>
  <c r="L235" i="23"/>
  <c r="I236" i="23"/>
  <c r="J236" i="23"/>
  <c r="K236" i="23"/>
  <c r="L236" i="23"/>
  <c r="I237" i="23"/>
  <c r="J237" i="23"/>
  <c r="K237" i="23"/>
  <c r="L237" i="23"/>
  <c r="I238" i="23"/>
  <c r="J238" i="23"/>
  <c r="K238" i="23"/>
  <c r="L238" i="23"/>
  <c r="I239" i="23"/>
  <c r="J239" i="23"/>
  <c r="K239" i="23"/>
  <c r="L239" i="23"/>
  <c r="I240" i="23"/>
  <c r="J240" i="23"/>
  <c r="K240" i="23"/>
  <c r="L240" i="23"/>
  <c r="I241" i="23"/>
  <c r="J241" i="23"/>
  <c r="K241" i="23"/>
  <c r="L241" i="23"/>
  <c r="I242" i="23"/>
  <c r="J242" i="23"/>
  <c r="K242" i="23"/>
  <c r="L242" i="23"/>
  <c r="I243" i="23"/>
  <c r="J243" i="23"/>
  <c r="K243" i="23"/>
  <c r="L243" i="23"/>
  <c r="I244" i="23"/>
  <c r="J244" i="23"/>
  <c r="K244" i="23"/>
  <c r="L244" i="23"/>
  <c r="I245" i="23"/>
  <c r="J245" i="23"/>
  <c r="K245" i="23"/>
  <c r="L245" i="23"/>
  <c r="I246" i="23"/>
  <c r="J246" i="23"/>
  <c r="K246" i="23"/>
  <c r="L246" i="23"/>
  <c r="I247" i="23"/>
  <c r="J247" i="23"/>
  <c r="K247" i="23"/>
  <c r="L247" i="23"/>
  <c r="I248" i="23"/>
  <c r="J248" i="23"/>
  <c r="K248" i="23"/>
  <c r="L248" i="23"/>
  <c r="I249" i="23"/>
  <c r="J249" i="23"/>
  <c r="K249" i="23"/>
  <c r="L249" i="23"/>
  <c r="I250" i="23"/>
  <c r="J250" i="23"/>
  <c r="K250" i="23"/>
  <c r="L250" i="23"/>
  <c r="I251" i="23"/>
  <c r="J251" i="23"/>
  <c r="K251" i="23"/>
  <c r="L251" i="23"/>
  <c r="I252" i="23"/>
  <c r="J252" i="23"/>
  <c r="K252" i="23"/>
  <c r="L252" i="23"/>
  <c r="I253" i="23"/>
  <c r="J253" i="23"/>
  <c r="K253" i="23"/>
  <c r="L253" i="23"/>
  <c r="I254" i="23"/>
  <c r="J254" i="23"/>
  <c r="K254" i="23"/>
  <c r="L254" i="23"/>
  <c r="I255" i="23"/>
  <c r="J255" i="23"/>
  <c r="K255" i="23"/>
  <c r="L255" i="23"/>
  <c r="I256" i="23"/>
  <c r="J256" i="23"/>
  <c r="K256" i="23"/>
  <c r="L256" i="23"/>
  <c r="I257" i="23"/>
  <c r="J257" i="23"/>
  <c r="K257" i="23"/>
  <c r="L257" i="23"/>
  <c r="I258" i="23"/>
  <c r="J258" i="23"/>
  <c r="K258" i="23"/>
  <c r="L258" i="23"/>
  <c r="I259" i="23"/>
  <c r="J259" i="23"/>
  <c r="K259" i="23"/>
  <c r="L259" i="23"/>
  <c r="I260" i="23"/>
  <c r="J260" i="23"/>
  <c r="K260" i="23"/>
  <c r="L260" i="23"/>
  <c r="I261" i="23"/>
  <c r="J261" i="23"/>
  <c r="K261" i="23"/>
  <c r="L261" i="23"/>
  <c r="I262" i="23"/>
  <c r="J262" i="23"/>
  <c r="K262" i="23"/>
  <c r="L262" i="23"/>
  <c r="I263" i="23"/>
  <c r="J263" i="23"/>
  <c r="K263" i="23"/>
  <c r="L263" i="23"/>
  <c r="I264" i="23"/>
  <c r="J264" i="23"/>
  <c r="K264" i="23"/>
  <c r="L264" i="23"/>
  <c r="I265" i="23"/>
  <c r="J265" i="23"/>
  <c r="K265" i="23"/>
  <c r="L265" i="23"/>
  <c r="I266" i="23"/>
  <c r="J266" i="23"/>
  <c r="K266" i="23"/>
  <c r="L266" i="23"/>
  <c r="I267" i="23"/>
  <c r="J267" i="23"/>
  <c r="K267" i="23"/>
  <c r="L267" i="23"/>
  <c r="I268" i="23"/>
  <c r="J268" i="23"/>
  <c r="K268" i="23"/>
  <c r="L268" i="23"/>
  <c r="I269" i="23"/>
  <c r="J269" i="23"/>
  <c r="K269" i="23"/>
  <c r="L269" i="23"/>
  <c r="I270" i="23"/>
  <c r="J270" i="23"/>
  <c r="K270" i="23"/>
  <c r="L270" i="23"/>
  <c r="I271" i="23"/>
  <c r="J271" i="23"/>
  <c r="K271" i="23"/>
  <c r="L271" i="23"/>
  <c r="I272" i="23"/>
  <c r="J272" i="23"/>
  <c r="K272" i="23"/>
  <c r="L272" i="23"/>
  <c r="I273" i="23"/>
  <c r="J273" i="23"/>
  <c r="K273" i="23"/>
  <c r="L273" i="23"/>
  <c r="I274" i="23"/>
  <c r="J274" i="23"/>
  <c r="K274" i="23"/>
  <c r="L274" i="23"/>
  <c r="I275" i="23"/>
  <c r="J275" i="23"/>
  <c r="K275" i="23"/>
  <c r="L275" i="23"/>
  <c r="I276" i="23"/>
  <c r="J276" i="23"/>
  <c r="K276" i="23"/>
  <c r="L276" i="23"/>
  <c r="I277" i="23"/>
  <c r="J277" i="23"/>
  <c r="K277" i="23"/>
  <c r="L277" i="23"/>
  <c r="I278" i="23"/>
  <c r="J278" i="23"/>
  <c r="K278" i="23"/>
  <c r="L278" i="23"/>
  <c r="I279" i="23"/>
  <c r="J279" i="23"/>
  <c r="K279" i="23"/>
  <c r="L279" i="23"/>
  <c r="I280" i="23"/>
  <c r="J280" i="23"/>
  <c r="K280" i="23"/>
  <c r="L280" i="23"/>
  <c r="I281" i="23"/>
  <c r="J281" i="23"/>
  <c r="K281" i="23"/>
  <c r="L281" i="23"/>
  <c r="I282" i="23"/>
  <c r="J282" i="23"/>
  <c r="K282" i="23"/>
  <c r="L282" i="23"/>
  <c r="I283" i="23"/>
  <c r="J283" i="23"/>
  <c r="K283" i="23"/>
  <c r="L283" i="23"/>
  <c r="I284" i="23"/>
  <c r="J284" i="23"/>
  <c r="K284" i="23"/>
  <c r="L284" i="23"/>
  <c r="I285" i="23"/>
  <c r="J285" i="23"/>
  <c r="K285" i="23"/>
  <c r="L285" i="23"/>
  <c r="I286" i="23"/>
  <c r="J286" i="23"/>
  <c r="K286" i="23"/>
  <c r="L286" i="23"/>
  <c r="I287" i="23"/>
  <c r="J287" i="23"/>
  <c r="K287" i="23"/>
  <c r="L287" i="23"/>
  <c r="I288" i="23"/>
  <c r="J288" i="23"/>
  <c r="K288" i="23"/>
  <c r="L288" i="23"/>
  <c r="I289" i="23"/>
  <c r="J289" i="23"/>
  <c r="K289" i="23"/>
  <c r="L289" i="23"/>
  <c r="I290" i="23"/>
  <c r="J290" i="23"/>
  <c r="K290" i="23"/>
  <c r="L290" i="23"/>
  <c r="I291" i="23"/>
  <c r="J291" i="23"/>
  <c r="K291" i="23"/>
  <c r="L291" i="23"/>
  <c r="I292" i="23"/>
  <c r="J292" i="23"/>
  <c r="K292" i="23"/>
  <c r="L292" i="23"/>
  <c r="I293" i="23"/>
  <c r="J293" i="23"/>
  <c r="K293" i="23"/>
  <c r="L293" i="23"/>
  <c r="I294" i="23"/>
  <c r="J294" i="23"/>
  <c r="K294" i="23"/>
  <c r="L294" i="23"/>
  <c r="I295" i="23"/>
  <c r="J295" i="23"/>
  <c r="K295" i="23"/>
  <c r="L295" i="23"/>
  <c r="I296" i="23"/>
  <c r="J296" i="23"/>
  <c r="K296" i="23"/>
  <c r="L296" i="23"/>
  <c r="I297" i="23"/>
  <c r="J297" i="23"/>
  <c r="K297" i="23"/>
  <c r="L297" i="23"/>
  <c r="I298" i="23"/>
  <c r="J298" i="23"/>
  <c r="K298" i="23"/>
  <c r="L298" i="23"/>
  <c r="I299" i="23"/>
  <c r="J299" i="23"/>
  <c r="K299" i="23"/>
  <c r="L299" i="23"/>
  <c r="I300" i="23"/>
  <c r="J300" i="23"/>
  <c r="K300" i="23"/>
  <c r="L300" i="23"/>
  <c r="I301" i="23"/>
  <c r="J301" i="23"/>
  <c r="K301" i="23"/>
  <c r="L301" i="23"/>
  <c r="I302" i="23"/>
  <c r="J302" i="23"/>
  <c r="K302" i="23"/>
  <c r="L302" i="23"/>
  <c r="I303" i="23"/>
  <c r="J303" i="23"/>
  <c r="K303" i="23"/>
  <c r="L303" i="23"/>
  <c r="I304" i="23"/>
  <c r="J304" i="23"/>
  <c r="K304" i="23"/>
  <c r="L304" i="23"/>
  <c r="I305" i="23"/>
  <c r="J305" i="23"/>
  <c r="K305" i="23"/>
  <c r="L305" i="23"/>
  <c r="I306" i="23"/>
  <c r="J306" i="23"/>
  <c r="K306" i="23"/>
  <c r="L306" i="23"/>
  <c r="I307" i="23"/>
  <c r="J307" i="23"/>
  <c r="K307" i="23"/>
  <c r="L307" i="23"/>
  <c r="I308" i="23"/>
  <c r="J308" i="23"/>
  <c r="K308" i="23"/>
  <c r="L308" i="23"/>
  <c r="I309" i="23"/>
  <c r="J309" i="23"/>
  <c r="K309" i="23"/>
  <c r="L309" i="23"/>
  <c r="I310" i="23"/>
  <c r="J310" i="23"/>
  <c r="K310" i="23"/>
  <c r="L310" i="23"/>
  <c r="I311" i="23"/>
  <c r="J311" i="23"/>
  <c r="K311" i="23"/>
  <c r="L311" i="23"/>
  <c r="I312" i="23"/>
  <c r="J312" i="23"/>
  <c r="K312" i="23"/>
  <c r="L312" i="23"/>
  <c r="I313" i="23"/>
  <c r="J313" i="23"/>
  <c r="K313" i="23"/>
  <c r="L313" i="23"/>
  <c r="I314" i="23"/>
  <c r="J314" i="23"/>
  <c r="K314" i="23"/>
  <c r="L314" i="23"/>
  <c r="I315" i="23"/>
  <c r="J315" i="23"/>
  <c r="K315" i="23"/>
  <c r="L315" i="23"/>
  <c r="I316" i="23"/>
  <c r="J316" i="23"/>
  <c r="K316" i="23"/>
  <c r="L316" i="23"/>
  <c r="I317" i="23"/>
  <c r="J317" i="23"/>
  <c r="K317" i="23"/>
  <c r="L317" i="23"/>
  <c r="I318" i="23"/>
  <c r="J318" i="23"/>
  <c r="K318" i="23"/>
  <c r="L318" i="23"/>
  <c r="I319" i="23"/>
  <c r="J319" i="23"/>
  <c r="K319" i="23"/>
  <c r="L319" i="23"/>
  <c r="I320" i="23"/>
  <c r="J320" i="23"/>
  <c r="K320" i="23"/>
  <c r="L320" i="23"/>
  <c r="I321" i="23"/>
  <c r="J321" i="23"/>
  <c r="K321" i="23"/>
  <c r="L321" i="23"/>
  <c r="I322" i="23"/>
  <c r="J322" i="23"/>
  <c r="K322" i="23"/>
  <c r="L322" i="23"/>
  <c r="I323" i="23"/>
  <c r="J323" i="23"/>
  <c r="K323" i="23"/>
  <c r="L323" i="23"/>
  <c r="I324" i="23"/>
  <c r="J324" i="23"/>
  <c r="K324" i="23"/>
  <c r="L324" i="23"/>
  <c r="I325" i="23"/>
  <c r="J325" i="23"/>
  <c r="K325" i="23"/>
  <c r="L325" i="23"/>
  <c r="I326" i="23"/>
  <c r="J326" i="23"/>
  <c r="K326" i="23"/>
  <c r="L326" i="23"/>
  <c r="I327" i="23"/>
  <c r="J327" i="23"/>
  <c r="K327" i="23"/>
  <c r="L327" i="23"/>
  <c r="I328" i="23"/>
  <c r="J328" i="23"/>
  <c r="K328" i="23"/>
  <c r="L328" i="23"/>
  <c r="I329" i="23"/>
  <c r="J329" i="23"/>
  <c r="K329" i="23"/>
  <c r="L329" i="23"/>
  <c r="I330" i="23"/>
  <c r="J330" i="23"/>
  <c r="K330" i="23"/>
  <c r="L330" i="23"/>
  <c r="I331" i="23"/>
  <c r="J331" i="23"/>
  <c r="K331" i="23"/>
  <c r="L331" i="23"/>
  <c r="I332" i="23"/>
  <c r="J332" i="23"/>
  <c r="K332" i="23"/>
  <c r="L332" i="23"/>
  <c r="I333" i="23"/>
  <c r="J333" i="23"/>
  <c r="K333" i="23"/>
  <c r="L333" i="23"/>
  <c r="I334" i="23"/>
  <c r="J334" i="23"/>
  <c r="K334" i="23"/>
  <c r="L334" i="23"/>
  <c r="I335" i="23"/>
  <c r="J335" i="23"/>
  <c r="K335" i="23"/>
  <c r="L335" i="23"/>
  <c r="I336" i="23"/>
  <c r="J336" i="23"/>
  <c r="K336" i="23"/>
  <c r="L336" i="23"/>
  <c r="I337" i="23"/>
  <c r="J337" i="23"/>
  <c r="K337" i="23"/>
  <c r="L337" i="23"/>
  <c r="I338" i="23"/>
  <c r="J338" i="23"/>
  <c r="K338" i="23"/>
  <c r="L338" i="23"/>
  <c r="I339" i="23"/>
  <c r="J339" i="23"/>
  <c r="K339" i="23"/>
  <c r="L339" i="23"/>
  <c r="I340" i="23"/>
  <c r="J340" i="23"/>
  <c r="K340" i="23"/>
  <c r="L340" i="23"/>
  <c r="I341" i="23"/>
  <c r="J341" i="23"/>
  <c r="K341" i="23"/>
  <c r="L341" i="23"/>
  <c r="I342" i="23"/>
  <c r="J342" i="23"/>
  <c r="K342" i="23"/>
  <c r="L342" i="23"/>
  <c r="I343" i="23"/>
  <c r="J343" i="23"/>
  <c r="K343" i="23"/>
  <c r="L343" i="23"/>
  <c r="I344" i="23"/>
  <c r="J344" i="23"/>
  <c r="K344" i="23"/>
  <c r="L344" i="23"/>
  <c r="I345" i="23"/>
  <c r="J345" i="23"/>
  <c r="K345" i="23"/>
  <c r="L345" i="23"/>
  <c r="I346" i="23"/>
  <c r="J346" i="23"/>
  <c r="K346" i="23"/>
  <c r="L346" i="23"/>
  <c r="I347" i="23"/>
  <c r="J347" i="23"/>
  <c r="K347" i="23"/>
  <c r="L347" i="23"/>
  <c r="I348" i="23"/>
  <c r="J348" i="23"/>
  <c r="K348" i="23"/>
  <c r="L348" i="23"/>
  <c r="I349" i="23"/>
  <c r="J349" i="23"/>
  <c r="K349" i="23"/>
  <c r="L349" i="23"/>
  <c r="I350" i="23"/>
  <c r="J350" i="23"/>
  <c r="K350" i="23"/>
  <c r="L350" i="23"/>
  <c r="I351" i="23"/>
  <c r="J351" i="23"/>
  <c r="K351" i="23"/>
  <c r="L351" i="23"/>
  <c r="I352" i="23"/>
  <c r="J352" i="23"/>
  <c r="K352" i="23"/>
  <c r="L352" i="23"/>
  <c r="I353" i="23"/>
  <c r="J353" i="23"/>
  <c r="K353" i="23"/>
  <c r="L353" i="23"/>
  <c r="I354" i="23"/>
  <c r="J354" i="23"/>
  <c r="K354" i="23"/>
  <c r="L354" i="23"/>
  <c r="I355" i="23"/>
  <c r="J355" i="23"/>
  <c r="K355" i="23"/>
  <c r="L355" i="23"/>
  <c r="I356" i="23"/>
  <c r="J356" i="23"/>
  <c r="K356" i="23"/>
  <c r="L356" i="23"/>
  <c r="I357" i="23"/>
  <c r="J357" i="23"/>
  <c r="K357" i="23"/>
  <c r="L357" i="23"/>
  <c r="I358" i="23"/>
  <c r="J358" i="23"/>
  <c r="K358" i="23"/>
  <c r="L358" i="23"/>
  <c r="I359" i="23"/>
  <c r="J359" i="23"/>
  <c r="K359" i="23"/>
  <c r="L359" i="23"/>
  <c r="I360" i="23"/>
  <c r="J360" i="23"/>
  <c r="K360" i="23"/>
  <c r="L360" i="23"/>
  <c r="I361" i="23"/>
  <c r="J361" i="23"/>
  <c r="K361" i="23"/>
  <c r="L361" i="23"/>
  <c r="I362" i="23"/>
  <c r="J362" i="23"/>
  <c r="K362" i="23"/>
  <c r="L362" i="23"/>
  <c r="I363" i="23"/>
  <c r="J363" i="23"/>
  <c r="K363" i="23"/>
  <c r="L363" i="23"/>
  <c r="I364" i="23"/>
  <c r="J364" i="23"/>
  <c r="K364" i="23"/>
  <c r="L364" i="23"/>
  <c r="I365" i="23"/>
  <c r="J365" i="23"/>
  <c r="K365" i="23"/>
  <c r="L365" i="23"/>
  <c r="I366" i="23"/>
  <c r="J366" i="23"/>
  <c r="K366" i="23"/>
  <c r="L366" i="23"/>
  <c r="I367" i="23"/>
  <c r="J367" i="23"/>
  <c r="K367" i="23"/>
  <c r="L367" i="23"/>
  <c r="I368" i="23"/>
  <c r="J368" i="23"/>
  <c r="K368" i="23"/>
  <c r="L368" i="23"/>
  <c r="I369" i="23"/>
  <c r="J369" i="23"/>
  <c r="K369" i="23"/>
  <c r="L369" i="23"/>
  <c r="I370" i="23"/>
  <c r="J370" i="23"/>
  <c r="K370" i="23"/>
  <c r="L370" i="23"/>
  <c r="I371" i="23"/>
  <c r="J371" i="23"/>
  <c r="K371" i="23"/>
  <c r="L371" i="23"/>
  <c r="I372" i="23"/>
  <c r="J372" i="23"/>
  <c r="K372" i="23"/>
  <c r="L372" i="23"/>
  <c r="I373" i="23"/>
  <c r="J373" i="23"/>
  <c r="K373" i="23"/>
  <c r="L373" i="23"/>
  <c r="I374" i="23"/>
  <c r="J374" i="23"/>
  <c r="K374" i="23"/>
  <c r="L374" i="23"/>
  <c r="I375" i="23"/>
  <c r="J375" i="23"/>
  <c r="K375" i="23"/>
  <c r="L375" i="23"/>
  <c r="I376" i="23"/>
  <c r="J376" i="23"/>
  <c r="K376" i="23"/>
  <c r="L376" i="23"/>
  <c r="I377" i="23"/>
  <c r="J377" i="23"/>
  <c r="K377" i="23"/>
  <c r="L377" i="23"/>
  <c r="I378" i="23"/>
  <c r="J378" i="23"/>
  <c r="K378" i="23"/>
  <c r="L378" i="23"/>
  <c r="I379" i="23"/>
  <c r="J379" i="23"/>
  <c r="K379" i="23"/>
  <c r="L379" i="23"/>
  <c r="I380" i="23"/>
  <c r="J380" i="23"/>
  <c r="K380" i="23"/>
  <c r="L380" i="23"/>
  <c r="I381" i="23"/>
  <c r="J381" i="23"/>
  <c r="K381" i="23"/>
  <c r="L381" i="23"/>
  <c r="I382" i="23"/>
  <c r="J382" i="23"/>
  <c r="K382" i="23"/>
  <c r="L382" i="23"/>
  <c r="I383" i="23"/>
  <c r="J383" i="23"/>
  <c r="K383" i="23"/>
  <c r="L383" i="23"/>
  <c r="I384" i="23"/>
  <c r="J384" i="23"/>
  <c r="K384" i="23"/>
  <c r="L384" i="23"/>
  <c r="I385" i="23"/>
  <c r="J385" i="23"/>
  <c r="K385" i="23"/>
  <c r="L385" i="23"/>
  <c r="I386" i="23"/>
  <c r="J386" i="23"/>
  <c r="K386" i="23"/>
  <c r="L386" i="23"/>
  <c r="I387" i="23"/>
  <c r="J387" i="23"/>
  <c r="K387" i="23"/>
  <c r="L387" i="23"/>
  <c r="I388" i="23"/>
  <c r="J388" i="23"/>
  <c r="K388" i="23"/>
  <c r="L388" i="23"/>
  <c r="I389" i="23"/>
  <c r="J389" i="23"/>
  <c r="K389" i="23"/>
  <c r="L389" i="23"/>
  <c r="I390" i="23"/>
  <c r="J390" i="23"/>
  <c r="K390" i="23"/>
  <c r="L390" i="23"/>
  <c r="I391" i="23"/>
  <c r="J391" i="23"/>
  <c r="K391" i="23"/>
  <c r="L391" i="23"/>
  <c r="I392" i="23"/>
  <c r="J392" i="23"/>
  <c r="K392" i="23"/>
  <c r="L392" i="23"/>
  <c r="I393" i="23"/>
  <c r="J393" i="23"/>
  <c r="K393" i="23"/>
  <c r="L393" i="23"/>
  <c r="I394" i="23"/>
  <c r="J394" i="23"/>
  <c r="K394" i="23"/>
  <c r="L394" i="23"/>
  <c r="I395" i="23"/>
  <c r="J395" i="23"/>
  <c r="K395" i="23"/>
  <c r="L395" i="23"/>
  <c r="I396" i="23"/>
  <c r="J396" i="23"/>
  <c r="K396" i="23"/>
  <c r="L396" i="23"/>
  <c r="I397" i="23"/>
  <c r="J397" i="23"/>
  <c r="K397" i="23"/>
  <c r="L397" i="23"/>
  <c r="I398" i="23"/>
  <c r="J398" i="23"/>
  <c r="K398" i="23"/>
  <c r="L398" i="23"/>
  <c r="I399" i="23"/>
  <c r="J399" i="23"/>
  <c r="K399" i="23"/>
  <c r="L399" i="23"/>
  <c r="I400" i="23"/>
  <c r="J400" i="23"/>
  <c r="K400" i="23"/>
  <c r="L400" i="23"/>
  <c r="I401" i="23"/>
  <c r="J401" i="23"/>
  <c r="K401" i="23"/>
  <c r="L401" i="23"/>
  <c r="I402" i="23"/>
  <c r="J402" i="23"/>
  <c r="K402" i="23"/>
  <c r="L402" i="23"/>
  <c r="I403" i="23"/>
  <c r="J403" i="23"/>
  <c r="K403" i="23"/>
  <c r="L403" i="23"/>
  <c r="I404" i="23"/>
  <c r="J404" i="23"/>
  <c r="K404" i="23"/>
  <c r="L404" i="23"/>
  <c r="I405" i="23"/>
  <c r="J405" i="23"/>
  <c r="K405" i="23"/>
  <c r="L405" i="23"/>
  <c r="I406" i="23"/>
  <c r="J406" i="23"/>
  <c r="K406" i="23"/>
  <c r="L406" i="23"/>
  <c r="I407" i="23"/>
  <c r="J407" i="23"/>
  <c r="K407" i="23"/>
  <c r="L407" i="23"/>
  <c r="I408" i="23"/>
  <c r="J408" i="23"/>
  <c r="K408" i="23"/>
  <c r="L408" i="23"/>
  <c r="I409" i="23"/>
  <c r="J409" i="23"/>
  <c r="K409" i="23"/>
  <c r="L409" i="23"/>
  <c r="I410" i="23"/>
  <c r="J410" i="23"/>
  <c r="K410" i="23"/>
  <c r="L410" i="23"/>
  <c r="I411" i="23"/>
  <c r="J411" i="23"/>
  <c r="K411" i="23"/>
  <c r="L411" i="23"/>
  <c r="I412" i="23"/>
  <c r="J412" i="23"/>
  <c r="K412" i="23"/>
  <c r="L412" i="23"/>
  <c r="I413" i="23"/>
  <c r="J413" i="23"/>
  <c r="K413" i="23"/>
  <c r="L413" i="23"/>
  <c r="I414" i="23"/>
  <c r="J414" i="23"/>
  <c r="K414" i="23"/>
  <c r="L414" i="23"/>
  <c r="I415" i="23"/>
  <c r="J415" i="23"/>
  <c r="K415" i="23"/>
  <c r="L415" i="23"/>
  <c r="I416" i="23"/>
  <c r="J416" i="23"/>
  <c r="K416" i="23"/>
  <c r="L416" i="23"/>
  <c r="I417" i="23"/>
  <c r="J417" i="23"/>
  <c r="K417" i="23"/>
  <c r="L417" i="23"/>
  <c r="I418" i="23"/>
  <c r="J418" i="23"/>
  <c r="K418" i="23"/>
  <c r="L418" i="23"/>
  <c r="I419" i="23"/>
  <c r="J419" i="23"/>
  <c r="K419" i="23"/>
  <c r="L419" i="23"/>
  <c r="I420" i="23"/>
  <c r="J420" i="23"/>
  <c r="K420" i="23"/>
  <c r="L420" i="23"/>
  <c r="I421" i="23"/>
  <c r="J421" i="23"/>
  <c r="K421" i="23"/>
  <c r="L421" i="23"/>
  <c r="I422" i="23"/>
  <c r="J422" i="23"/>
  <c r="K422" i="23"/>
  <c r="L422" i="23"/>
  <c r="I423" i="23"/>
  <c r="J423" i="23"/>
  <c r="K423" i="23"/>
  <c r="L423" i="23"/>
  <c r="I424" i="23"/>
  <c r="J424" i="23"/>
  <c r="K424" i="23"/>
  <c r="L424" i="23"/>
  <c r="I425" i="23"/>
  <c r="J425" i="23"/>
  <c r="K425" i="23"/>
  <c r="L425" i="23"/>
  <c r="I426" i="23"/>
  <c r="J426" i="23"/>
  <c r="K426" i="23"/>
  <c r="L426" i="23"/>
  <c r="I427" i="23"/>
  <c r="J427" i="23"/>
  <c r="K427" i="23"/>
  <c r="L427" i="23"/>
  <c r="I428" i="23"/>
  <c r="J428" i="23"/>
  <c r="K428" i="23"/>
  <c r="L428" i="23"/>
  <c r="I429" i="23"/>
  <c r="J429" i="23"/>
  <c r="K429" i="23"/>
  <c r="L429" i="23"/>
  <c r="I430" i="23"/>
  <c r="J430" i="23"/>
  <c r="K430" i="23"/>
  <c r="L430" i="23"/>
  <c r="I431" i="23"/>
  <c r="J431" i="23"/>
  <c r="K431" i="23"/>
  <c r="L431" i="23"/>
  <c r="I432" i="23"/>
  <c r="J432" i="23"/>
  <c r="K432" i="23"/>
  <c r="L432" i="23"/>
  <c r="I433" i="23"/>
  <c r="J433" i="23"/>
  <c r="K433" i="23"/>
  <c r="L433" i="23"/>
  <c r="I434" i="23"/>
  <c r="J434" i="23"/>
  <c r="K434" i="23"/>
  <c r="L434" i="23"/>
  <c r="I435" i="23"/>
  <c r="J435" i="23"/>
  <c r="K435" i="23"/>
  <c r="L435" i="23"/>
  <c r="I436" i="23"/>
  <c r="J436" i="23"/>
  <c r="K436" i="23"/>
  <c r="L436" i="23"/>
  <c r="I437" i="23"/>
  <c r="J437" i="23"/>
  <c r="K437" i="23"/>
  <c r="L437" i="23"/>
  <c r="I438" i="23"/>
  <c r="J438" i="23"/>
  <c r="K438" i="23"/>
  <c r="L438" i="23"/>
  <c r="I439" i="23"/>
  <c r="J439" i="23"/>
  <c r="K439" i="23"/>
  <c r="L439" i="23"/>
  <c r="I440" i="23"/>
  <c r="J440" i="23"/>
  <c r="K440" i="23"/>
  <c r="L440" i="23"/>
  <c r="I441" i="23"/>
  <c r="J441" i="23"/>
  <c r="K441" i="23"/>
  <c r="L441" i="23"/>
  <c r="I442" i="23"/>
  <c r="J442" i="23"/>
  <c r="K442" i="23"/>
  <c r="L442" i="23"/>
  <c r="I443" i="23"/>
  <c r="J443" i="23"/>
  <c r="K443" i="23"/>
  <c r="L443" i="23"/>
  <c r="I444" i="23"/>
  <c r="J444" i="23"/>
  <c r="K444" i="23"/>
  <c r="L444" i="23"/>
  <c r="I445" i="23"/>
  <c r="J445" i="23"/>
  <c r="K445" i="23"/>
  <c r="L445" i="23"/>
  <c r="I446" i="23"/>
  <c r="J446" i="23"/>
  <c r="K446" i="23"/>
  <c r="L446" i="23"/>
  <c r="I447" i="23"/>
  <c r="J447" i="23"/>
  <c r="K447" i="23"/>
  <c r="L447" i="23"/>
  <c r="I448" i="23"/>
  <c r="J448" i="23"/>
  <c r="K448" i="23"/>
  <c r="L448" i="23"/>
  <c r="I449" i="23"/>
  <c r="J449" i="23"/>
  <c r="K449" i="23"/>
  <c r="L449" i="23"/>
  <c r="I450" i="23"/>
  <c r="J450" i="23"/>
  <c r="K450" i="23"/>
  <c r="L450" i="23"/>
  <c r="I451" i="23"/>
  <c r="J451" i="23"/>
  <c r="K451" i="23"/>
  <c r="L451" i="23"/>
  <c r="I452" i="23"/>
  <c r="J452" i="23"/>
  <c r="K452" i="23"/>
  <c r="L452" i="23"/>
  <c r="I453" i="23"/>
  <c r="J453" i="23"/>
  <c r="K453" i="23"/>
  <c r="L453" i="23"/>
  <c r="I454" i="23"/>
  <c r="J454" i="23"/>
  <c r="K454" i="23"/>
  <c r="L454" i="23"/>
  <c r="I455" i="23"/>
  <c r="J455" i="23"/>
  <c r="K455" i="23"/>
  <c r="L455" i="23"/>
  <c r="I456" i="23"/>
  <c r="J456" i="23"/>
  <c r="K456" i="23"/>
  <c r="L456" i="23"/>
  <c r="I457" i="23"/>
  <c r="J457" i="23"/>
  <c r="K457" i="23"/>
  <c r="L457" i="23"/>
  <c r="I458" i="23"/>
  <c r="J458" i="23"/>
  <c r="K458" i="23"/>
  <c r="L458" i="23"/>
  <c r="I459" i="23"/>
  <c r="J459" i="23"/>
  <c r="K459" i="23"/>
  <c r="L459" i="23"/>
  <c r="I460" i="23"/>
  <c r="J460" i="23"/>
  <c r="K460" i="23"/>
  <c r="L460" i="23"/>
  <c r="I461" i="23"/>
  <c r="J461" i="23"/>
  <c r="K461" i="23"/>
  <c r="L461" i="23"/>
  <c r="I462" i="23"/>
  <c r="J462" i="23"/>
  <c r="K462" i="23"/>
  <c r="L462" i="23"/>
  <c r="I463" i="23"/>
  <c r="J463" i="23"/>
  <c r="K463" i="23"/>
  <c r="L463" i="23"/>
  <c r="I464" i="23"/>
  <c r="J464" i="23"/>
  <c r="K464" i="23"/>
  <c r="L464" i="23"/>
  <c r="I465" i="23"/>
  <c r="J465" i="23"/>
  <c r="K465" i="23"/>
  <c r="L465" i="23"/>
  <c r="I466" i="23"/>
  <c r="J466" i="23"/>
  <c r="K466" i="23"/>
  <c r="L466" i="23"/>
  <c r="I467" i="23"/>
  <c r="J467" i="23"/>
  <c r="K467" i="23"/>
  <c r="L467" i="23"/>
  <c r="I468" i="23"/>
  <c r="J468" i="23"/>
  <c r="K468" i="23"/>
  <c r="L468" i="23"/>
  <c r="I469" i="23"/>
  <c r="J469" i="23"/>
  <c r="K469" i="23"/>
  <c r="L469" i="23"/>
  <c r="I470" i="23"/>
  <c r="J470" i="23"/>
  <c r="K470" i="23"/>
  <c r="L470" i="23"/>
  <c r="I471" i="23"/>
  <c r="J471" i="23"/>
  <c r="K471" i="23"/>
  <c r="L471" i="23"/>
  <c r="I472" i="23"/>
  <c r="J472" i="23"/>
  <c r="K472" i="23"/>
  <c r="L472" i="23"/>
  <c r="I473" i="23"/>
  <c r="J473" i="23"/>
  <c r="K473" i="23"/>
  <c r="L473" i="23"/>
  <c r="I474" i="23"/>
  <c r="J474" i="23"/>
  <c r="K474" i="23"/>
  <c r="L474" i="23"/>
  <c r="I475" i="23"/>
  <c r="J475" i="23"/>
  <c r="K475" i="23"/>
  <c r="L475" i="23"/>
  <c r="I476" i="23"/>
  <c r="J476" i="23"/>
  <c r="K476" i="23"/>
  <c r="L476" i="23"/>
  <c r="I477" i="23"/>
  <c r="J477" i="23"/>
  <c r="K477" i="23"/>
  <c r="L477" i="23"/>
  <c r="I478" i="23"/>
  <c r="J478" i="23"/>
  <c r="K478" i="23"/>
  <c r="L478" i="23"/>
  <c r="L2" i="23"/>
  <c r="K2" i="23"/>
  <c r="J2" i="23"/>
  <c r="I2" i="23"/>
  <c r="H3" i="23" l="1"/>
  <c r="H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8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128" i="23"/>
  <c r="H129" i="23"/>
  <c r="H130" i="23"/>
  <c r="H131" i="23"/>
  <c r="H132" i="23"/>
  <c r="H133" i="23"/>
  <c r="H134" i="23"/>
  <c r="H135" i="23"/>
  <c r="H136" i="23"/>
  <c r="H137" i="23"/>
  <c r="H138" i="23"/>
  <c r="H139" i="23"/>
  <c r="H140" i="23"/>
  <c r="H141" i="23"/>
  <c r="H142" i="23"/>
  <c r="H143" i="23"/>
  <c r="H144" i="23"/>
  <c r="H145" i="23"/>
  <c r="H146" i="23"/>
  <c r="H147" i="23"/>
  <c r="H148" i="23"/>
  <c r="H149" i="23"/>
  <c r="H150" i="23"/>
  <c r="H151" i="23"/>
  <c r="H152" i="23"/>
  <c r="H153" i="23"/>
  <c r="H154" i="23"/>
  <c r="H155" i="23"/>
  <c r="H156" i="23"/>
  <c r="H157" i="23"/>
  <c r="H158" i="23"/>
  <c r="H159" i="23"/>
  <c r="H160" i="23"/>
  <c r="H161" i="23"/>
  <c r="H162" i="23"/>
  <c r="H163" i="23"/>
  <c r="H164" i="23"/>
  <c r="H165" i="23"/>
  <c r="H166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H179" i="23"/>
  <c r="H180" i="23"/>
  <c r="H181" i="23"/>
  <c r="H182" i="23"/>
  <c r="H183" i="23"/>
  <c r="H184" i="23"/>
  <c r="H185" i="23"/>
  <c r="H186" i="23"/>
  <c r="H187" i="23"/>
  <c r="H188" i="23"/>
  <c r="H189" i="23"/>
  <c r="H190" i="23"/>
  <c r="H191" i="23"/>
  <c r="H192" i="23"/>
  <c r="H193" i="23"/>
  <c r="H194" i="23"/>
  <c r="H195" i="23"/>
  <c r="H196" i="23"/>
  <c r="H197" i="23"/>
  <c r="H198" i="23"/>
  <c r="H199" i="23"/>
  <c r="H200" i="23"/>
  <c r="H201" i="23"/>
  <c r="H202" i="23"/>
  <c r="H203" i="23"/>
  <c r="H204" i="23"/>
  <c r="H205" i="23"/>
  <c r="H206" i="23"/>
  <c r="H207" i="23"/>
  <c r="H208" i="23"/>
  <c r="H209" i="23"/>
  <c r="H210" i="23"/>
  <c r="H211" i="23"/>
  <c r="H212" i="23"/>
  <c r="H213" i="23"/>
  <c r="H214" i="23"/>
  <c r="H215" i="23"/>
  <c r="H216" i="23"/>
  <c r="H217" i="23"/>
  <c r="H218" i="23"/>
  <c r="H219" i="23"/>
  <c r="H220" i="23"/>
  <c r="H221" i="23"/>
  <c r="H222" i="23"/>
  <c r="H223" i="23"/>
  <c r="H224" i="23"/>
  <c r="H225" i="23"/>
  <c r="H226" i="23"/>
  <c r="H227" i="23"/>
  <c r="H228" i="23"/>
  <c r="H229" i="23"/>
  <c r="H230" i="23"/>
  <c r="H231" i="23"/>
  <c r="H232" i="23"/>
  <c r="H233" i="23"/>
  <c r="H234" i="23"/>
  <c r="H235" i="23"/>
  <c r="H236" i="23"/>
  <c r="H237" i="23"/>
  <c r="H238" i="23"/>
  <c r="H239" i="23"/>
  <c r="H240" i="23"/>
  <c r="H241" i="23"/>
  <c r="H242" i="23"/>
  <c r="H243" i="23"/>
  <c r="H244" i="23"/>
  <c r="H245" i="23"/>
  <c r="H246" i="23"/>
  <c r="H247" i="23"/>
  <c r="H248" i="23"/>
  <c r="H249" i="23"/>
  <c r="H250" i="23"/>
  <c r="H251" i="23"/>
  <c r="H252" i="23"/>
  <c r="H253" i="23"/>
  <c r="H254" i="23"/>
  <c r="H255" i="23"/>
  <c r="H256" i="23"/>
  <c r="H257" i="23"/>
  <c r="H258" i="23"/>
  <c r="H259" i="23"/>
  <c r="H260" i="23"/>
  <c r="H261" i="23"/>
  <c r="H262" i="23"/>
  <c r="H263" i="23"/>
  <c r="H264" i="23"/>
  <c r="H265" i="23"/>
  <c r="H266" i="23"/>
  <c r="H267" i="23"/>
  <c r="H268" i="23"/>
  <c r="H269" i="23"/>
  <c r="H270" i="23"/>
  <c r="H271" i="23"/>
  <c r="H272" i="23"/>
  <c r="H273" i="23"/>
  <c r="H274" i="23"/>
  <c r="H275" i="23"/>
  <c r="H276" i="23"/>
  <c r="H277" i="23"/>
  <c r="H278" i="23"/>
  <c r="H279" i="23"/>
  <c r="H280" i="23"/>
  <c r="H281" i="23"/>
  <c r="H282" i="23"/>
  <c r="H283" i="23"/>
  <c r="H284" i="23"/>
  <c r="H285" i="23"/>
  <c r="H286" i="23"/>
  <c r="H287" i="23"/>
  <c r="H288" i="23"/>
  <c r="H289" i="23"/>
  <c r="H290" i="23"/>
  <c r="H291" i="23"/>
  <c r="H292" i="23"/>
  <c r="H293" i="23"/>
  <c r="H294" i="23"/>
  <c r="H295" i="23"/>
  <c r="H296" i="23"/>
  <c r="H297" i="23"/>
  <c r="H298" i="23"/>
  <c r="H299" i="23"/>
  <c r="H300" i="23"/>
  <c r="H301" i="23"/>
  <c r="H302" i="23"/>
  <c r="H303" i="23"/>
  <c r="H304" i="23"/>
  <c r="H305" i="23"/>
  <c r="H306" i="23"/>
  <c r="H307" i="23"/>
  <c r="H308" i="23"/>
  <c r="H309" i="23"/>
  <c r="H310" i="23"/>
  <c r="H311" i="23"/>
  <c r="H312" i="23"/>
  <c r="H313" i="23"/>
  <c r="H314" i="23"/>
  <c r="H315" i="23"/>
  <c r="H316" i="23"/>
  <c r="H317" i="23"/>
  <c r="H318" i="23"/>
  <c r="H319" i="23"/>
  <c r="H320" i="23"/>
  <c r="H321" i="23"/>
  <c r="H322" i="23"/>
  <c r="H323" i="23"/>
  <c r="H324" i="23"/>
  <c r="H325" i="23"/>
  <c r="H326" i="23"/>
  <c r="H327" i="23"/>
  <c r="H328" i="23"/>
  <c r="H329" i="23"/>
  <c r="H330" i="23"/>
  <c r="H331" i="23"/>
  <c r="H332" i="23"/>
  <c r="H333" i="23"/>
  <c r="H334" i="23"/>
  <c r="H335" i="23"/>
  <c r="H336" i="23"/>
  <c r="H337" i="23"/>
  <c r="H338" i="23"/>
  <c r="H339" i="23"/>
  <c r="H340" i="23"/>
  <c r="H341" i="23"/>
  <c r="H342" i="23"/>
  <c r="H343" i="23"/>
  <c r="H344" i="23"/>
  <c r="H345" i="23"/>
  <c r="H346" i="23"/>
  <c r="H347" i="23"/>
  <c r="H348" i="23"/>
  <c r="H349" i="23"/>
  <c r="H350" i="23"/>
  <c r="H351" i="23"/>
  <c r="H352" i="23"/>
  <c r="H353" i="23"/>
  <c r="H354" i="23"/>
  <c r="H355" i="23"/>
  <c r="H356" i="23"/>
  <c r="H357" i="23"/>
  <c r="H358" i="23"/>
  <c r="H359" i="23"/>
  <c r="H360" i="23"/>
  <c r="H361" i="23"/>
  <c r="H362" i="23"/>
  <c r="H363" i="23"/>
  <c r="H364" i="23"/>
  <c r="H365" i="23"/>
  <c r="H366" i="23"/>
  <c r="H367" i="23"/>
  <c r="H368" i="23"/>
  <c r="H369" i="23"/>
  <c r="H370" i="23"/>
  <c r="H371" i="23"/>
  <c r="H372" i="23"/>
  <c r="H373" i="23"/>
  <c r="H374" i="23"/>
  <c r="H375" i="23"/>
  <c r="H376" i="23"/>
  <c r="H377" i="23"/>
  <c r="H378" i="23"/>
  <c r="H379" i="23"/>
  <c r="H380" i="23"/>
  <c r="H381" i="23"/>
  <c r="H382" i="23"/>
  <c r="H383" i="23"/>
  <c r="H384" i="23"/>
  <c r="H385" i="23"/>
  <c r="H386" i="23"/>
  <c r="H387" i="23"/>
  <c r="H388" i="23"/>
  <c r="H389" i="23"/>
  <c r="H390" i="23"/>
  <c r="H391" i="23"/>
  <c r="H392" i="23"/>
  <c r="H393" i="23"/>
  <c r="H394" i="23"/>
  <c r="H395" i="23"/>
  <c r="H396" i="23"/>
  <c r="H397" i="23"/>
  <c r="H398" i="23"/>
  <c r="H399" i="23"/>
  <c r="H400" i="23"/>
  <c r="H401" i="23"/>
  <c r="H402" i="23"/>
  <c r="H403" i="23"/>
  <c r="H404" i="23"/>
  <c r="H405" i="23"/>
  <c r="H406" i="23"/>
  <c r="H407" i="23"/>
  <c r="H408" i="23"/>
  <c r="H409" i="23"/>
  <c r="H410" i="23"/>
  <c r="H411" i="23"/>
  <c r="H412" i="23"/>
  <c r="H413" i="23"/>
  <c r="H414" i="23"/>
  <c r="H415" i="23"/>
  <c r="H416" i="23"/>
  <c r="H417" i="23"/>
  <c r="H418" i="23"/>
  <c r="H419" i="23"/>
  <c r="H420" i="23"/>
  <c r="H421" i="23"/>
  <c r="H422" i="23"/>
  <c r="H423" i="23"/>
  <c r="H424" i="23"/>
  <c r="H425" i="23"/>
  <c r="H426" i="23"/>
  <c r="H427" i="23"/>
  <c r="H428" i="23"/>
  <c r="H429" i="23"/>
  <c r="H430" i="23"/>
  <c r="H431" i="23"/>
  <c r="H432" i="23"/>
  <c r="H433" i="23"/>
  <c r="H434" i="23"/>
  <c r="H435" i="23"/>
  <c r="H436" i="23"/>
  <c r="H437" i="23"/>
  <c r="H438" i="23"/>
  <c r="H439" i="23"/>
  <c r="H440" i="23"/>
  <c r="H441" i="23"/>
  <c r="H442" i="23"/>
  <c r="H443" i="23"/>
  <c r="H444" i="23"/>
  <c r="H445" i="23"/>
  <c r="H446" i="23"/>
  <c r="H447" i="23"/>
  <c r="H448" i="23"/>
  <c r="H449" i="23"/>
  <c r="H450" i="23"/>
  <c r="H451" i="23"/>
  <c r="H452" i="23"/>
  <c r="H453" i="23"/>
  <c r="H454" i="23"/>
  <c r="H455" i="23"/>
  <c r="H456" i="23"/>
  <c r="H457" i="23"/>
  <c r="H458" i="23"/>
  <c r="H459" i="23"/>
  <c r="H460" i="23"/>
  <c r="H461" i="23"/>
  <c r="H462" i="23"/>
  <c r="H463" i="23"/>
  <c r="H464" i="23"/>
  <c r="H465" i="23"/>
  <c r="H466" i="23"/>
  <c r="H467" i="23"/>
  <c r="H468" i="23"/>
  <c r="H469" i="23"/>
  <c r="H470" i="23"/>
  <c r="H471" i="23"/>
  <c r="H472" i="23"/>
  <c r="H473" i="23"/>
  <c r="H474" i="23"/>
  <c r="H475" i="23"/>
  <c r="H476" i="23"/>
  <c r="H477" i="23"/>
  <c r="H478" i="23"/>
  <c r="H2" i="23"/>
  <c r="G3" i="23"/>
  <c r="G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0" i="23"/>
  <c r="G121" i="23"/>
  <c r="G122" i="23"/>
  <c r="G123" i="23"/>
  <c r="G124" i="23"/>
  <c r="G125" i="23"/>
  <c r="G126" i="23"/>
  <c r="G127" i="23"/>
  <c r="G128" i="23"/>
  <c r="G129" i="23"/>
  <c r="G130" i="23"/>
  <c r="G131" i="23"/>
  <c r="G132" i="23"/>
  <c r="G133" i="23"/>
  <c r="G134" i="23"/>
  <c r="G135" i="23"/>
  <c r="G136" i="23"/>
  <c r="G137" i="23"/>
  <c r="G138" i="23"/>
  <c r="G139" i="23"/>
  <c r="G140" i="23"/>
  <c r="G141" i="23"/>
  <c r="G142" i="23"/>
  <c r="G143" i="23"/>
  <c r="G144" i="23"/>
  <c r="G145" i="23"/>
  <c r="G146" i="23"/>
  <c r="G147" i="23"/>
  <c r="G148" i="23"/>
  <c r="G149" i="23"/>
  <c r="G150" i="23"/>
  <c r="G151" i="23"/>
  <c r="G152" i="23"/>
  <c r="G153" i="23"/>
  <c r="G154" i="23"/>
  <c r="G155" i="23"/>
  <c r="G156" i="23"/>
  <c r="G157" i="23"/>
  <c r="G158" i="23"/>
  <c r="G159" i="23"/>
  <c r="G160" i="23"/>
  <c r="G161" i="23"/>
  <c r="G162" i="23"/>
  <c r="G163" i="23"/>
  <c r="G164" i="23"/>
  <c r="G165" i="23"/>
  <c r="G166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G179" i="23"/>
  <c r="G180" i="23"/>
  <c r="G181" i="23"/>
  <c r="G182" i="23"/>
  <c r="G183" i="23"/>
  <c r="G184" i="23"/>
  <c r="G185" i="23"/>
  <c r="G186" i="23"/>
  <c r="G187" i="23"/>
  <c r="G188" i="23"/>
  <c r="G189" i="23"/>
  <c r="G190" i="23"/>
  <c r="G191" i="23"/>
  <c r="G192" i="23"/>
  <c r="G193" i="23"/>
  <c r="G194" i="23"/>
  <c r="G195" i="23"/>
  <c r="G196" i="23"/>
  <c r="G197" i="23"/>
  <c r="G198" i="23"/>
  <c r="G199" i="23"/>
  <c r="G200" i="23"/>
  <c r="G201" i="23"/>
  <c r="G202" i="23"/>
  <c r="G203" i="23"/>
  <c r="G204" i="23"/>
  <c r="G205" i="23"/>
  <c r="G206" i="23"/>
  <c r="G207" i="23"/>
  <c r="G208" i="23"/>
  <c r="G209" i="23"/>
  <c r="G210" i="23"/>
  <c r="G211" i="23"/>
  <c r="G212" i="23"/>
  <c r="G213" i="23"/>
  <c r="G214" i="23"/>
  <c r="G215" i="23"/>
  <c r="G216" i="23"/>
  <c r="G217" i="23"/>
  <c r="G218" i="23"/>
  <c r="G219" i="23"/>
  <c r="G220" i="23"/>
  <c r="G221" i="23"/>
  <c r="G222" i="23"/>
  <c r="G223" i="23"/>
  <c r="G224" i="23"/>
  <c r="G225" i="23"/>
  <c r="G226" i="23"/>
  <c r="G227" i="23"/>
  <c r="G228" i="23"/>
  <c r="G229" i="23"/>
  <c r="G230" i="23"/>
  <c r="G231" i="23"/>
  <c r="G232" i="23"/>
  <c r="G233" i="23"/>
  <c r="G234" i="23"/>
  <c r="G235" i="23"/>
  <c r="G236" i="23"/>
  <c r="G237" i="23"/>
  <c r="G238" i="23"/>
  <c r="G239" i="23"/>
  <c r="G240" i="23"/>
  <c r="G241" i="23"/>
  <c r="G242" i="23"/>
  <c r="G243" i="23"/>
  <c r="G244" i="23"/>
  <c r="G245" i="23"/>
  <c r="G246" i="23"/>
  <c r="G247" i="23"/>
  <c r="G248" i="23"/>
  <c r="G249" i="23"/>
  <c r="G250" i="23"/>
  <c r="G251" i="23"/>
  <c r="G252" i="23"/>
  <c r="G253" i="23"/>
  <c r="G254" i="23"/>
  <c r="G255" i="23"/>
  <c r="G256" i="23"/>
  <c r="G257" i="23"/>
  <c r="G258" i="23"/>
  <c r="G259" i="23"/>
  <c r="G260" i="23"/>
  <c r="G261" i="23"/>
  <c r="G262" i="23"/>
  <c r="G263" i="23"/>
  <c r="G264" i="23"/>
  <c r="G265" i="23"/>
  <c r="G266" i="23"/>
  <c r="G267" i="23"/>
  <c r="G268" i="23"/>
  <c r="G269" i="23"/>
  <c r="G270" i="23"/>
  <c r="G271" i="23"/>
  <c r="G272" i="23"/>
  <c r="G273" i="23"/>
  <c r="G274" i="23"/>
  <c r="G275" i="23"/>
  <c r="G276" i="23"/>
  <c r="G277" i="23"/>
  <c r="G278" i="23"/>
  <c r="G279" i="23"/>
  <c r="G280" i="23"/>
  <c r="G281" i="23"/>
  <c r="G282" i="23"/>
  <c r="G283" i="23"/>
  <c r="G284" i="23"/>
  <c r="G285" i="23"/>
  <c r="G286" i="23"/>
  <c r="G287" i="23"/>
  <c r="G288" i="23"/>
  <c r="G289" i="23"/>
  <c r="G290" i="23"/>
  <c r="G291" i="23"/>
  <c r="G292" i="23"/>
  <c r="G293" i="23"/>
  <c r="G294" i="23"/>
  <c r="G295" i="23"/>
  <c r="G296" i="23"/>
  <c r="G297" i="23"/>
  <c r="G298" i="23"/>
  <c r="G299" i="23"/>
  <c r="G300" i="23"/>
  <c r="G301" i="23"/>
  <c r="G302" i="23"/>
  <c r="G303" i="23"/>
  <c r="G304" i="23"/>
  <c r="G305" i="23"/>
  <c r="G306" i="23"/>
  <c r="G307" i="23"/>
  <c r="G308" i="23"/>
  <c r="G309" i="23"/>
  <c r="G310" i="23"/>
  <c r="G311" i="23"/>
  <c r="G312" i="23"/>
  <c r="G313" i="23"/>
  <c r="G314" i="23"/>
  <c r="G315" i="23"/>
  <c r="G316" i="23"/>
  <c r="G317" i="23"/>
  <c r="G318" i="23"/>
  <c r="G319" i="23"/>
  <c r="G320" i="23"/>
  <c r="G321" i="23"/>
  <c r="G322" i="23"/>
  <c r="G323" i="23"/>
  <c r="G324" i="23"/>
  <c r="G325" i="23"/>
  <c r="G326" i="23"/>
  <c r="G327" i="23"/>
  <c r="G328" i="23"/>
  <c r="G329" i="23"/>
  <c r="G330" i="23"/>
  <c r="G331" i="23"/>
  <c r="G332" i="23"/>
  <c r="G333" i="23"/>
  <c r="G334" i="23"/>
  <c r="G335" i="23"/>
  <c r="G336" i="23"/>
  <c r="G337" i="23"/>
  <c r="G338" i="23"/>
  <c r="G339" i="23"/>
  <c r="G340" i="23"/>
  <c r="G341" i="23"/>
  <c r="G342" i="23"/>
  <c r="G343" i="23"/>
  <c r="G344" i="23"/>
  <c r="G345" i="23"/>
  <c r="G346" i="23"/>
  <c r="G347" i="23"/>
  <c r="G348" i="23"/>
  <c r="G349" i="23"/>
  <c r="G350" i="23"/>
  <c r="G351" i="23"/>
  <c r="G352" i="23"/>
  <c r="G353" i="23"/>
  <c r="G354" i="23"/>
  <c r="G355" i="23"/>
  <c r="G356" i="23"/>
  <c r="G357" i="23"/>
  <c r="G358" i="23"/>
  <c r="G359" i="23"/>
  <c r="G360" i="23"/>
  <c r="G361" i="23"/>
  <c r="G362" i="23"/>
  <c r="G363" i="23"/>
  <c r="G364" i="23"/>
  <c r="G365" i="23"/>
  <c r="G366" i="23"/>
  <c r="G367" i="23"/>
  <c r="G368" i="23"/>
  <c r="G369" i="23"/>
  <c r="G370" i="23"/>
  <c r="G371" i="23"/>
  <c r="G372" i="23"/>
  <c r="G373" i="23"/>
  <c r="G374" i="23"/>
  <c r="G375" i="23"/>
  <c r="G376" i="23"/>
  <c r="G377" i="23"/>
  <c r="G378" i="23"/>
  <c r="G379" i="23"/>
  <c r="G380" i="23"/>
  <c r="G381" i="23"/>
  <c r="G382" i="23"/>
  <c r="G383" i="23"/>
  <c r="G384" i="23"/>
  <c r="G385" i="23"/>
  <c r="G386" i="23"/>
  <c r="G387" i="23"/>
  <c r="G388" i="23"/>
  <c r="G389" i="23"/>
  <c r="G390" i="23"/>
  <c r="G391" i="23"/>
  <c r="G392" i="23"/>
  <c r="G393" i="23"/>
  <c r="G394" i="23"/>
  <c r="G395" i="23"/>
  <c r="G396" i="23"/>
  <c r="G397" i="23"/>
  <c r="G398" i="23"/>
  <c r="G399" i="23"/>
  <c r="G400" i="23"/>
  <c r="G401" i="23"/>
  <c r="G402" i="23"/>
  <c r="G403" i="23"/>
  <c r="G404" i="23"/>
  <c r="G405" i="23"/>
  <c r="G406" i="23"/>
  <c r="G407" i="23"/>
  <c r="G408" i="23"/>
  <c r="G409" i="23"/>
  <c r="G410" i="23"/>
  <c r="G411" i="23"/>
  <c r="G412" i="23"/>
  <c r="G413" i="23"/>
  <c r="G414" i="23"/>
  <c r="G415" i="23"/>
  <c r="G416" i="23"/>
  <c r="G417" i="23"/>
  <c r="G418" i="23"/>
  <c r="G419" i="23"/>
  <c r="G420" i="23"/>
  <c r="G421" i="23"/>
  <c r="G422" i="23"/>
  <c r="G423" i="23"/>
  <c r="G424" i="23"/>
  <c r="G425" i="23"/>
  <c r="G426" i="23"/>
  <c r="G427" i="23"/>
  <c r="G428" i="23"/>
  <c r="G429" i="23"/>
  <c r="G430" i="23"/>
  <c r="G431" i="23"/>
  <c r="G432" i="23"/>
  <c r="G433" i="23"/>
  <c r="G434" i="23"/>
  <c r="G435" i="23"/>
  <c r="G436" i="23"/>
  <c r="G437" i="23"/>
  <c r="G438" i="23"/>
  <c r="G439" i="23"/>
  <c r="G440" i="23"/>
  <c r="G441" i="23"/>
  <c r="G442" i="23"/>
  <c r="G443" i="23"/>
  <c r="G444" i="23"/>
  <c r="G445" i="23"/>
  <c r="G446" i="23"/>
  <c r="G447" i="23"/>
  <c r="G448" i="23"/>
  <c r="G449" i="23"/>
  <c r="G450" i="23"/>
  <c r="G451" i="23"/>
  <c r="G452" i="23"/>
  <c r="G453" i="23"/>
  <c r="G454" i="23"/>
  <c r="G455" i="23"/>
  <c r="G456" i="23"/>
  <c r="G457" i="23"/>
  <c r="G458" i="23"/>
  <c r="G459" i="23"/>
  <c r="G460" i="23"/>
  <c r="G461" i="23"/>
  <c r="G462" i="23"/>
  <c r="G463" i="23"/>
  <c r="G464" i="23"/>
  <c r="G465" i="23"/>
  <c r="G466" i="23"/>
  <c r="G467" i="23"/>
  <c r="G468" i="23"/>
  <c r="G469" i="23"/>
  <c r="G470" i="23"/>
  <c r="G471" i="23"/>
  <c r="G472" i="23"/>
  <c r="G473" i="23"/>
  <c r="G474" i="23"/>
  <c r="G475" i="23"/>
  <c r="G476" i="23"/>
  <c r="G477" i="23"/>
  <c r="G478" i="23"/>
  <c r="G2" i="23"/>
  <c r="F3" i="23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F205" i="23"/>
  <c r="F206" i="23"/>
  <c r="F207" i="23"/>
  <c r="F208" i="23"/>
  <c r="F209" i="23"/>
  <c r="F210" i="23"/>
  <c r="F211" i="23"/>
  <c r="F212" i="23"/>
  <c r="F213" i="23"/>
  <c r="F214" i="23"/>
  <c r="F215" i="23"/>
  <c r="F216" i="23"/>
  <c r="F217" i="23"/>
  <c r="F218" i="23"/>
  <c r="F219" i="23"/>
  <c r="F220" i="23"/>
  <c r="F221" i="23"/>
  <c r="F222" i="23"/>
  <c r="F223" i="23"/>
  <c r="F224" i="23"/>
  <c r="F225" i="23"/>
  <c r="F226" i="23"/>
  <c r="F227" i="23"/>
  <c r="F228" i="23"/>
  <c r="F229" i="23"/>
  <c r="F230" i="23"/>
  <c r="F231" i="23"/>
  <c r="F232" i="23"/>
  <c r="F233" i="23"/>
  <c r="F234" i="23"/>
  <c r="F235" i="23"/>
  <c r="F236" i="23"/>
  <c r="F237" i="23"/>
  <c r="F238" i="23"/>
  <c r="F239" i="23"/>
  <c r="F240" i="23"/>
  <c r="F241" i="23"/>
  <c r="F242" i="23"/>
  <c r="F243" i="23"/>
  <c r="F244" i="23"/>
  <c r="F245" i="23"/>
  <c r="F246" i="23"/>
  <c r="F247" i="23"/>
  <c r="F248" i="23"/>
  <c r="F249" i="23"/>
  <c r="F250" i="23"/>
  <c r="F251" i="23"/>
  <c r="F252" i="23"/>
  <c r="F253" i="23"/>
  <c r="F254" i="23"/>
  <c r="F255" i="23"/>
  <c r="F256" i="23"/>
  <c r="F257" i="23"/>
  <c r="F258" i="23"/>
  <c r="F259" i="23"/>
  <c r="F260" i="23"/>
  <c r="F261" i="23"/>
  <c r="F262" i="23"/>
  <c r="F263" i="23"/>
  <c r="F264" i="23"/>
  <c r="F265" i="23"/>
  <c r="F266" i="23"/>
  <c r="F267" i="23"/>
  <c r="F268" i="23"/>
  <c r="F269" i="23"/>
  <c r="F270" i="23"/>
  <c r="F271" i="23"/>
  <c r="F272" i="23"/>
  <c r="F273" i="23"/>
  <c r="F274" i="23"/>
  <c r="F275" i="23"/>
  <c r="F276" i="23"/>
  <c r="F277" i="23"/>
  <c r="F278" i="23"/>
  <c r="F279" i="23"/>
  <c r="F280" i="23"/>
  <c r="F281" i="23"/>
  <c r="F282" i="23"/>
  <c r="F283" i="23"/>
  <c r="F284" i="23"/>
  <c r="F285" i="23"/>
  <c r="F286" i="23"/>
  <c r="F287" i="23"/>
  <c r="F288" i="23"/>
  <c r="F289" i="23"/>
  <c r="F290" i="23"/>
  <c r="F291" i="23"/>
  <c r="F292" i="23"/>
  <c r="F293" i="23"/>
  <c r="F294" i="23"/>
  <c r="F295" i="23"/>
  <c r="F296" i="23"/>
  <c r="F297" i="23"/>
  <c r="F298" i="23"/>
  <c r="F299" i="23"/>
  <c r="F300" i="23"/>
  <c r="F301" i="23"/>
  <c r="F302" i="23"/>
  <c r="F303" i="23"/>
  <c r="F304" i="23"/>
  <c r="F305" i="23"/>
  <c r="F306" i="23"/>
  <c r="F307" i="23"/>
  <c r="F308" i="23"/>
  <c r="F309" i="23"/>
  <c r="F310" i="23"/>
  <c r="F311" i="23"/>
  <c r="F312" i="23"/>
  <c r="F313" i="23"/>
  <c r="F314" i="23"/>
  <c r="F315" i="23"/>
  <c r="F316" i="23"/>
  <c r="F317" i="23"/>
  <c r="F318" i="23"/>
  <c r="F319" i="23"/>
  <c r="F320" i="23"/>
  <c r="F321" i="23"/>
  <c r="F322" i="23"/>
  <c r="F323" i="23"/>
  <c r="F324" i="23"/>
  <c r="F325" i="23"/>
  <c r="F326" i="23"/>
  <c r="F327" i="23"/>
  <c r="F328" i="23"/>
  <c r="F329" i="23"/>
  <c r="F330" i="23"/>
  <c r="F331" i="23"/>
  <c r="F332" i="23"/>
  <c r="F333" i="23"/>
  <c r="F334" i="23"/>
  <c r="F335" i="23"/>
  <c r="F336" i="23"/>
  <c r="F337" i="23"/>
  <c r="F338" i="23"/>
  <c r="F339" i="23"/>
  <c r="F340" i="23"/>
  <c r="F341" i="23"/>
  <c r="F342" i="23"/>
  <c r="F343" i="23"/>
  <c r="F344" i="23"/>
  <c r="F345" i="23"/>
  <c r="F346" i="23"/>
  <c r="F347" i="23"/>
  <c r="F348" i="23"/>
  <c r="F349" i="23"/>
  <c r="F350" i="23"/>
  <c r="F351" i="23"/>
  <c r="F352" i="23"/>
  <c r="F353" i="23"/>
  <c r="F354" i="23"/>
  <c r="F355" i="23"/>
  <c r="F356" i="23"/>
  <c r="F357" i="23"/>
  <c r="F358" i="23"/>
  <c r="F359" i="23"/>
  <c r="F360" i="23"/>
  <c r="F361" i="23"/>
  <c r="F362" i="23"/>
  <c r="F363" i="23"/>
  <c r="F364" i="23"/>
  <c r="F365" i="23"/>
  <c r="F366" i="23"/>
  <c r="F367" i="23"/>
  <c r="F368" i="23"/>
  <c r="F369" i="23"/>
  <c r="F370" i="23"/>
  <c r="F371" i="23"/>
  <c r="F372" i="23"/>
  <c r="F373" i="23"/>
  <c r="F374" i="23"/>
  <c r="F375" i="23"/>
  <c r="F376" i="23"/>
  <c r="F377" i="23"/>
  <c r="F378" i="23"/>
  <c r="F379" i="23"/>
  <c r="F380" i="23"/>
  <c r="F381" i="23"/>
  <c r="F382" i="23"/>
  <c r="F383" i="23"/>
  <c r="F384" i="23"/>
  <c r="F385" i="23"/>
  <c r="F386" i="23"/>
  <c r="F387" i="23"/>
  <c r="F388" i="23"/>
  <c r="F389" i="23"/>
  <c r="F390" i="23"/>
  <c r="F391" i="23"/>
  <c r="F392" i="23"/>
  <c r="F393" i="23"/>
  <c r="F394" i="23"/>
  <c r="F395" i="23"/>
  <c r="F396" i="23"/>
  <c r="F397" i="23"/>
  <c r="F398" i="23"/>
  <c r="F399" i="23"/>
  <c r="F400" i="23"/>
  <c r="F401" i="23"/>
  <c r="F402" i="23"/>
  <c r="F403" i="23"/>
  <c r="F404" i="23"/>
  <c r="F405" i="23"/>
  <c r="F406" i="23"/>
  <c r="F407" i="23"/>
  <c r="F408" i="23"/>
  <c r="F409" i="23"/>
  <c r="F410" i="23"/>
  <c r="F411" i="23"/>
  <c r="F412" i="23"/>
  <c r="F413" i="23"/>
  <c r="F414" i="23"/>
  <c r="F415" i="23"/>
  <c r="F416" i="23"/>
  <c r="F417" i="23"/>
  <c r="F418" i="23"/>
  <c r="F419" i="23"/>
  <c r="F420" i="23"/>
  <c r="F421" i="23"/>
  <c r="F422" i="23"/>
  <c r="F423" i="23"/>
  <c r="F424" i="23"/>
  <c r="F425" i="23"/>
  <c r="F426" i="23"/>
  <c r="F427" i="23"/>
  <c r="F428" i="23"/>
  <c r="F429" i="23"/>
  <c r="F430" i="23"/>
  <c r="F431" i="23"/>
  <c r="F432" i="23"/>
  <c r="F433" i="23"/>
  <c r="F434" i="23"/>
  <c r="F435" i="23"/>
  <c r="F436" i="23"/>
  <c r="F437" i="23"/>
  <c r="F438" i="23"/>
  <c r="F439" i="23"/>
  <c r="F440" i="23"/>
  <c r="F441" i="23"/>
  <c r="F442" i="23"/>
  <c r="F443" i="23"/>
  <c r="F444" i="23"/>
  <c r="F445" i="23"/>
  <c r="F446" i="23"/>
  <c r="F447" i="23"/>
  <c r="F448" i="23"/>
  <c r="F449" i="23"/>
  <c r="F450" i="23"/>
  <c r="F451" i="23"/>
  <c r="F452" i="23"/>
  <c r="F453" i="23"/>
  <c r="F454" i="23"/>
  <c r="F455" i="23"/>
  <c r="F456" i="23"/>
  <c r="F457" i="23"/>
  <c r="F458" i="23"/>
  <c r="F459" i="23"/>
  <c r="F460" i="23"/>
  <c r="F461" i="23"/>
  <c r="F462" i="23"/>
  <c r="F463" i="23"/>
  <c r="F464" i="23"/>
  <c r="F465" i="23"/>
  <c r="F466" i="23"/>
  <c r="F467" i="23"/>
  <c r="F468" i="23"/>
  <c r="F469" i="23"/>
  <c r="F470" i="23"/>
  <c r="F471" i="23"/>
  <c r="F472" i="23"/>
  <c r="F473" i="23"/>
  <c r="F474" i="23"/>
  <c r="F475" i="23"/>
  <c r="F476" i="23"/>
  <c r="F477" i="23"/>
  <c r="F478" i="23"/>
  <c r="F2" i="23"/>
  <c r="D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79" i="23"/>
  <c r="D180" i="23"/>
  <c r="D181" i="23"/>
  <c r="D182" i="23"/>
  <c r="D183" i="23"/>
  <c r="D184" i="23"/>
  <c r="D185" i="23"/>
  <c r="D186" i="23"/>
  <c r="D187" i="23"/>
  <c r="D188" i="23"/>
  <c r="D189" i="23"/>
  <c r="D190" i="23"/>
  <c r="D191" i="23"/>
  <c r="D192" i="23"/>
  <c r="D193" i="23"/>
  <c r="D194" i="23"/>
  <c r="D195" i="23"/>
  <c r="D196" i="23"/>
  <c r="D197" i="23"/>
  <c r="D198" i="23"/>
  <c r="D199" i="23"/>
  <c r="D200" i="23"/>
  <c r="D201" i="23"/>
  <c r="D202" i="23"/>
  <c r="D203" i="23"/>
  <c r="D204" i="23"/>
  <c r="D205" i="23"/>
  <c r="D206" i="23"/>
  <c r="D207" i="23"/>
  <c r="D208" i="23"/>
  <c r="D209" i="23"/>
  <c r="D210" i="23"/>
  <c r="D211" i="23"/>
  <c r="D212" i="23"/>
  <c r="D213" i="23"/>
  <c r="D214" i="23"/>
  <c r="D215" i="23"/>
  <c r="D216" i="23"/>
  <c r="D217" i="23"/>
  <c r="D218" i="23"/>
  <c r="D219" i="23"/>
  <c r="D220" i="23"/>
  <c r="D221" i="23"/>
  <c r="D222" i="23"/>
  <c r="D223" i="23"/>
  <c r="D224" i="23"/>
  <c r="D225" i="23"/>
  <c r="D226" i="23"/>
  <c r="D227" i="23"/>
  <c r="D228" i="23"/>
  <c r="D229" i="23"/>
  <c r="D230" i="23"/>
  <c r="D231" i="23"/>
  <c r="D232" i="23"/>
  <c r="D233" i="23"/>
  <c r="D234" i="23"/>
  <c r="D235" i="23"/>
  <c r="D236" i="23"/>
  <c r="D237" i="23"/>
  <c r="D238" i="23"/>
  <c r="D239" i="23"/>
  <c r="D240" i="23"/>
  <c r="D241" i="23"/>
  <c r="D242" i="23"/>
  <c r="D243" i="23"/>
  <c r="D244" i="23"/>
  <c r="D245" i="23"/>
  <c r="D246" i="23"/>
  <c r="D247" i="23"/>
  <c r="D248" i="23"/>
  <c r="D249" i="23"/>
  <c r="D250" i="23"/>
  <c r="D251" i="23"/>
  <c r="D252" i="23"/>
  <c r="D253" i="23"/>
  <c r="D254" i="23"/>
  <c r="D255" i="23"/>
  <c r="D256" i="23"/>
  <c r="D257" i="23"/>
  <c r="D258" i="23"/>
  <c r="D259" i="23"/>
  <c r="D260" i="23"/>
  <c r="D261" i="23"/>
  <c r="D262" i="23"/>
  <c r="D263" i="23"/>
  <c r="D264" i="23"/>
  <c r="D265" i="23"/>
  <c r="D266" i="23"/>
  <c r="D267" i="23"/>
  <c r="D268" i="23"/>
  <c r="D269" i="23"/>
  <c r="D270" i="23"/>
  <c r="D271" i="23"/>
  <c r="D272" i="23"/>
  <c r="D273" i="23"/>
  <c r="D274" i="23"/>
  <c r="D275" i="23"/>
  <c r="D276" i="23"/>
  <c r="D277" i="23"/>
  <c r="D278" i="23"/>
  <c r="D279" i="23"/>
  <c r="D280" i="23"/>
  <c r="D281" i="23"/>
  <c r="D282" i="23"/>
  <c r="D283" i="23"/>
  <c r="D284" i="23"/>
  <c r="D285" i="23"/>
  <c r="D286" i="23"/>
  <c r="D287" i="23"/>
  <c r="D288" i="23"/>
  <c r="D289" i="23"/>
  <c r="D290" i="23"/>
  <c r="D291" i="23"/>
  <c r="D292" i="23"/>
  <c r="D293" i="23"/>
  <c r="D294" i="23"/>
  <c r="D295" i="23"/>
  <c r="D296" i="23"/>
  <c r="D297" i="23"/>
  <c r="D298" i="23"/>
  <c r="D299" i="23"/>
  <c r="D300" i="23"/>
  <c r="D301" i="23"/>
  <c r="D302" i="23"/>
  <c r="D303" i="23"/>
  <c r="D304" i="23"/>
  <c r="D305" i="23"/>
  <c r="D306" i="23"/>
  <c r="D307" i="23"/>
  <c r="D308" i="23"/>
  <c r="D309" i="23"/>
  <c r="D310" i="23"/>
  <c r="D311" i="23"/>
  <c r="D312" i="23"/>
  <c r="D313" i="23"/>
  <c r="D314" i="23"/>
  <c r="D315" i="23"/>
  <c r="D316" i="23"/>
  <c r="D317" i="23"/>
  <c r="D318" i="23"/>
  <c r="D319" i="23"/>
  <c r="D320" i="23"/>
  <c r="D321" i="23"/>
  <c r="D322" i="23"/>
  <c r="D323" i="23"/>
  <c r="D324" i="23"/>
  <c r="D325" i="23"/>
  <c r="D326" i="23"/>
  <c r="D327" i="23"/>
  <c r="D328" i="23"/>
  <c r="D329" i="23"/>
  <c r="D330" i="23"/>
  <c r="D331" i="23"/>
  <c r="D332" i="23"/>
  <c r="D333" i="23"/>
  <c r="D334" i="23"/>
  <c r="D335" i="23"/>
  <c r="D336" i="23"/>
  <c r="D337" i="23"/>
  <c r="D338" i="23"/>
  <c r="D339" i="23"/>
  <c r="D340" i="23"/>
  <c r="D341" i="23"/>
  <c r="D342" i="23"/>
  <c r="D343" i="23"/>
  <c r="D344" i="23"/>
  <c r="D345" i="23"/>
  <c r="D346" i="23"/>
  <c r="D347" i="23"/>
  <c r="D348" i="23"/>
  <c r="D349" i="23"/>
  <c r="D350" i="23"/>
  <c r="D351" i="23"/>
  <c r="D352" i="23"/>
  <c r="D353" i="23"/>
  <c r="D354" i="23"/>
  <c r="D355" i="23"/>
  <c r="D356" i="23"/>
  <c r="D357" i="23"/>
  <c r="D358" i="23"/>
  <c r="D359" i="23"/>
  <c r="D360" i="23"/>
  <c r="D361" i="23"/>
  <c r="D362" i="23"/>
  <c r="D363" i="23"/>
  <c r="D364" i="23"/>
  <c r="D365" i="23"/>
  <c r="D366" i="23"/>
  <c r="D367" i="23"/>
  <c r="D368" i="23"/>
  <c r="D369" i="23"/>
  <c r="D370" i="23"/>
  <c r="D371" i="23"/>
  <c r="D372" i="23"/>
  <c r="D373" i="23"/>
  <c r="D374" i="23"/>
  <c r="D375" i="23"/>
  <c r="D376" i="23"/>
  <c r="D377" i="23"/>
  <c r="D378" i="23"/>
  <c r="D379" i="23"/>
  <c r="D380" i="23"/>
  <c r="D381" i="23"/>
  <c r="D382" i="23"/>
  <c r="D383" i="23"/>
  <c r="D384" i="23"/>
  <c r="D385" i="23"/>
  <c r="D386" i="23"/>
  <c r="D387" i="23"/>
  <c r="D388" i="23"/>
  <c r="D389" i="23"/>
  <c r="D390" i="23"/>
  <c r="D391" i="23"/>
  <c r="D392" i="23"/>
  <c r="D393" i="23"/>
  <c r="D394" i="23"/>
  <c r="D395" i="23"/>
  <c r="D396" i="23"/>
  <c r="D397" i="23"/>
  <c r="D398" i="23"/>
  <c r="D399" i="23"/>
  <c r="D400" i="23"/>
  <c r="D401" i="23"/>
  <c r="D402" i="23"/>
  <c r="D403" i="23"/>
  <c r="D404" i="23"/>
  <c r="D405" i="23"/>
  <c r="D406" i="23"/>
  <c r="D407" i="23"/>
  <c r="D408" i="23"/>
  <c r="D409" i="23"/>
  <c r="D410" i="23"/>
  <c r="D411" i="23"/>
  <c r="D412" i="23"/>
  <c r="D413" i="23"/>
  <c r="D414" i="23"/>
  <c r="D415" i="23"/>
  <c r="D416" i="23"/>
  <c r="D417" i="23"/>
  <c r="D418" i="23"/>
  <c r="D419" i="23"/>
  <c r="D420" i="23"/>
  <c r="D421" i="23"/>
  <c r="D422" i="23"/>
  <c r="D423" i="23"/>
  <c r="D424" i="23"/>
  <c r="D425" i="23"/>
  <c r="D426" i="23"/>
  <c r="D427" i="23"/>
  <c r="D428" i="23"/>
  <c r="D429" i="23"/>
  <c r="D430" i="23"/>
  <c r="D431" i="23"/>
  <c r="D432" i="23"/>
  <c r="D433" i="23"/>
  <c r="D434" i="23"/>
  <c r="D435" i="23"/>
  <c r="D436" i="23"/>
  <c r="D437" i="23"/>
  <c r="D438" i="23"/>
  <c r="D439" i="23"/>
  <c r="D440" i="23"/>
  <c r="D441" i="23"/>
  <c r="D442" i="23"/>
  <c r="D443" i="23"/>
  <c r="D444" i="23"/>
  <c r="D445" i="23"/>
  <c r="D446" i="23"/>
  <c r="D447" i="23"/>
  <c r="D448" i="23"/>
  <c r="D449" i="23"/>
  <c r="D450" i="23"/>
  <c r="D451" i="23"/>
  <c r="D452" i="23"/>
  <c r="D453" i="23"/>
  <c r="D454" i="23"/>
  <c r="D455" i="23"/>
  <c r="D456" i="23"/>
  <c r="D457" i="23"/>
  <c r="D458" i="23"/>
  <c r="D459" i="23"/>
  <c r="D460" i="23"/>
  <c r="D461" i="23"/>
  <c r="D462" i="23"/>
  <c r="D463" i="23"/>
  <c r="D464" i="23"/>
  <c r="D465" i="23"/>
  <c r="D466" i="23"/>
  <c r="D467" i="23"/>
  <c r="D468" i="23"/>
  <c r="D469" i="23"/>
  <c r="D470" i="23"/>
  <c r="D471" i="23"/>
  <c r="D472" i="23"/>
  <c r="D473" i="23"/>
  <c r="D474" i="23"/>
  <c r="D475" i="23"/>
  <c r="D476" i="23"/>
  <c r="D477" i="23"/>
  <c r="D478" i="23"/>
  <c r="B3" i="23" l="1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B205" i="23"/>
  <c r="B207" i="23"/>
  <c r="B208" i="23"/>
  <c r="B209" i="23"/>
  <c r="B210" i="23"/>
  <c r="B211" i="23"/>
  <c r="B212" i="23"/>
  <c r="B213" i="23"/>
  <c r="B214" i="23"/>
  <c r="B215" i="23"/>
  <c r="B216" i="23"/>
  <c r="B217" i="23"/>
  <c r="B218" i="23"/>
  <c r="B219" i="23"/>
  <c r="B220" i="23"/>
  <c r="B221" i="23"/>
  <c r="B222" i="23"/>
  <c r="B223" i="23"/>
  <c r="B224" i="23"/>
  <c r="B225" i="23"/>
  <c r="B226" i="23"/>
  <c r="B227" i="23"/>
  <c r="B228" i="23"/>
  <c r="B229" i="23"/>
  <c r="B230" i="23"/>
  <c r="B231" i="23"/>
  <c r="B232" i="23"/>
  <c r="B233" i="23"/>
  <c r="B234" i="23"/>
  <c r="B235" i="23"/>
  <c r="B236" i="23"/>
  <c r="B237" i="23"/>
  <c r="B239" i="23"/>
  <c r="B240" i="23"/>
  <c r="B241" i="23"/>
  <c r="B242" i="23"/>
  <c r="B243" i="23"/>
  <c r="B244" i="23"/>
  <c r="B245" i="23"/>
  <c r="B246" i="23"/>
  <c r="B247" i="23"/>
  <c r="B248" i="23"/>
  <c r="B249" i="23"/>
  <c r="B250" i="23"/>
  <c r="B251" i="23"/>
  <c r="B252" i="23"/>
  <c r="B253" i="23"/>
  <c r="B254" i="23"/>
  <c r="B255" i="23"/>
  <c r="B256" i="23"/>
  <c r="B257" i="23"/>
  <c r="B258" i="23"/>
  <c r="B259" i="23"/>
  <c r="B260" i="23"/>
  <c r="B261" i="23"/>
  <c r="B262" i="23"/>
  <c r="B263" i="23"/>
  <c r="B264" i="23"/>
  <c r="B265" i="23"/>
  <c r="B266" i="23"/>
  <c r="B267" i="23"/>
  <c r="B268" i="23"/>
  <c r="B269" i="23"/>
  <c r="B271" i="23"/>
  <c r="B272" i="23"/>
  <c r="B273" i="23"/>
  <c r="B274" i="23"/>
  <c r="B275" i="23"/>
  <c r="B276" i="23"/>
  <c r="B277" i="23"/>
  <c r="B278" i="23"/>
  <c r="B279" i="23"/>
  <c r="B280" i="23"/>
  <c r="B281" i="23"/>
  <c r="B282" i="23"/>
  <c r="B283" i="23"/>
  <c r="B284" i="23"/>
  <c r="B285" i="23"/>
  <c r="B286" i="23"/>
  <c r="B287" i="23"/>
  <c r="B288" i="23"/>
  <c r="B289" i="23"/>
  <c r="B290" i="23"/>
  <c r="B291" i="23"/>
  <c r="B292" i="23"/>
  <c r="B293" i="23"/>
  <c r="B294" i="23"/>
  <c r="B295" i="23"/>
  <c r="B296" i="23"/>
  <c r="B297" i="23"/>
  <c r="B298" i="23"/>
  <c r="B299" i="23"/>
  <c r="B300" i="23"/>
  <c r="B301" i="23"/>
  <c r="B302" i="23"/>
  <c r="B304" i="23"/>
  <c r="B305" i="23"/>
  <c r="B306" i="23"/>
  <c r="B308" i="23"/>
  <c r="B309" i="23"/>
  <c r="B310" i="23"/>
  <c r="B312" i="23"/>
  <c r="B313" i="23"/>
  <c r="B314" i="23"/>
  <c r="B316" i="23"/>
  <c r="B317" i="23"/>
  <c r="B318" i="23"/>
  <c r="B320" i="23"/>
  <c r="B321" i="23"/>
  <c r="B322" i="23"/>
  <c r="B324" i="23"/>
  <c r="B325" i="23"/>
  <c r="B326" i="23"/>
  <c r="B328" i="23"/>
  <c r="B329" i="23"/>
  <c r="B330" i="23"/>
  <c r="B332" i="23"/>
  <c r="B333" i="23"/>
  <c r="B334" i="23"/>
  <c r="B336" i="23"/>
  <c r="B337" i="23"/>
  <c r="B338" i="23"/>
  <c r="B340" i="23"/>
  <c r="B341" i="23"/>
  <c r="B342" i="23"/>
  <c r="B344" i="23"/>
  <c r="B345" i="23"/>
  <c r="B346" i="23"/>
  <c r="B348" i="23"/>
  <c r="B349" i="23"/>
  <c r="B350" i="23"/>
  <c r="B352" i="23"/>
  <c r="B353" i="23"/>
  <c r="B354" i="23"/>
  <c r="B356" i="23"/>
  <c r="B357" i="23"/>
  <c r="B358" i="23"/>
  <c r="B360" i="23"/>
  <c r="B361" i="23"/>
  <c r="B362" i="23"/>
  <c r="B364" i="23"/>
  <c r="B365" i="23"/>
  <c r="B366" i="23"/>
  <c r="B368" i="23"/>
  <c r="B369" i="23"/>
  <c r="B370" i="23"/>
  <c r="B372" i="23"/>
  <c r="B373" i="23"/>
  <c r="B374" i="23"/>
  <c r="B376" i="23"/>
  <c r="B377" i="23"/>
  <c r="B378" i="23"/>
  <c r="B380" i="23"/>
  <c r="B381" i="23"/>
  <c r="B382" i="23"/>
  <c r="B384" i="23"/>
  <c r="B385" i="23"/>
  <c r="B386" i="23"/>
  <c r="B388" i="23"/>
  <c r="B389" i="23"/>
  <c r="B390" i="23"/>
  <c r="B392" i="23"/>
  <c r="B393" i="23"/>
  <c r="B394" i="23"/>
  <c r="B396" i="23"/>
  <c r="B397" i="23"/>
  <c r="B398" i="23"/>
  <c r="B400" i="23"/>
  <c r="B401" i="23"/>
  <c r="B402" i="23"/>
  <c r="B404" i="23"/>
  <c r="B405" i="23"/>
  <c r="B406" i="23"/>
  <c r="B408" i="23"/>
  <c r="B410" i="23"/>
  <c r="B412" i="23"/>
  <c r="B414" i="23"/>
  <c r="B416" i="23"/>
  <c r="B418" i="23"/>
  <c r="B420" i="23"/>
  <c r="B422" i="23"/>
  <c r="B424" i="23"/>
  <c r="B426" i="23"/>
  <c r="B428" i="23"/>
  <c r="B430" i="23"/>
  <c r="B432" i="23"/>
  <c r="B434" i="23"/>
  <c r="B436" i="23"/>
  <c r="B438" i="23"/>
  <c r="B440" i="23"/>
  <c r="B442" i="23"/>
  <c r="B444" i="23"/>
  <c r="B446" i="23"/>
  <c r="B448" i="23"/>
  <c r="B450" i="23"/>
  <c r="B452" i="23"/>
  <c r="B454" i="23"/>
  <c r="B456" i="23"/>
  <c r="B458" i="23"/>
  <c r="B460" i="23"/>
  <c r="B462" i="23"/>
  <c r="B464" i="23"/>
  <c r="B466" i="23"/>
  <c r="B468" i="23"/>
  <c r="B470" i="23"/>
  <c r="B472" i="23"/>
  <c r="B474" i="23"/>
  <c r="B476" i="23"/>
  <c r="B478" i="23"/>
  <c r="B2" i="23"/>
  <c r="B17" i="23"/>
  <c r="B33" i="23"/>
  <c r="B49" i="23"/>
  <c r="B65" i="23"/>
  <c r="B81" i="23"/>
  <c r="B97" i="23"/>
  <c r="B113" i="23"/>
  <c r="B129" i="23"/>
  <c r="B145" i="23"/>
  <c r="B161" i="23"/>
  <c r="B174" i="23"/>
  <c r="B206" i="23"/>
  <c r="B238" i="23"/>
  <c r="B270" i="23"/>
  <c r="B303" i="23"/>
  <c r="B307" i="23"/>
  <c r="B311" i="23"/>
  <c r="B315" i="23"/>
  <c r="B319" i="23"/>
  <c r="B323" i="23"/>
  <c r="B327" i="23"/>
  <c r="B331" i="23"/>
  <c r="B335" i="23"/>
  <c r="B339" i="23"/>
  <c r="B343" i="23"/>
  <c r="B347" i="23"/>
  <c r="B351" i="23"/>
  <c r="B355" i="23"/>
  <c r="B359" i="23"/>
  <c r="B363" i="23"/>
  <c r="B367" i="23"/>
  <c r="B371" i="23"/>
  <c r="B375" i="23"/>
  <c r="B379" i="23"/>
  <c r="B383" i="23"/>
  <c r="B387" i="23"/>
  <c r="B391" i="23"/>
  <c r="B395" i="23"/>
  <c r="B399" i="23"/>
  <c r="B403" i="23"/>
  <c r="B407" i="23"/>
  <c r="B409" i="23"/>
  <c r="B411" i="23"/>
  <c r="B413" i="23"/>
  <c r="B415" i="23"/>
  <c r="B417" i="23"/>
  <c r="B419" i="23"/>
  <c r="B421" i="23"/>
  <c r="B423" i="23"/>
  <c r="B425" i="23"/>
  <c r="B427" i="23"/>
  <c r="B429" i="23"/>
  <c r="B431" i="23"/>
  <c r="B433" i="23"/>
  <c r="B435" i="23"/>
  <c r="B437" i="23"/>
  <c r="B439" i="23"/>
  <c r="B441" i="23"/>
  <c r="B443" i="23"/>
  <c r="B445" i="23"/>
  <c r="B447" i="23"/>
  <c r="B449" i="23"/>
  <c r="B451" i="23"/>
  <c r="B453" i="23"/>
  <c r="B455" i="23"/>
  <c r="B457" i="23"/>
  <c r="B459" i="23"/>
  <c r="B461" i="23"/>
  <c r="B463" i="23"/>
  <c r="B465" i="23"/>
  <c r="B467" i="23"/>
  <c r="B469" i="23"/>
  <c r="B471" i="23"/>
  <c r="B473" i="23"/>
  <c r="B475" i="23"/>
  <c r="B477" i="23"/>
  <c r="K2" i="22" l="1"/>
</calcChain>
</file>

<file path=xl/connections.xml><?xml version="1.0" encoding="utf-8"?>
<connections xmlns="http://schemas.openxmlformats.org/spreadsheetml/2006/main">
  <connection id="1" name="20200819-20200820" type="4" refreshedVersion="0" background="1">
    <webPr xml="1" sourceData="1" parsePre="1" consecutive="1" url="Z:\Dosis pacientes\Alertas_Intervencionismo\SIEMENS_HIBRIDO\20200819-20200820.xml" htmlTables="1"/>
  </connection>
  <connection id="2" name="20200827-20200828" type="4" refreshedVersion="0" background="1">
    <webPr xml="1" sourceData="1" parsePre="1" consecutive="1" url="Z:\Dosis pacientes\Alertas_Intervencionismo\SIEMENS_HIBRIDO\20200827-20200828.xml" htmlTables="1"/>
  </connection>
  <connection id="3" name="20200828-20200831" type="4" refreshedVersion="0" background="1">
    <webPr xml="1" sourceData="1" parsePre="1" consecutive="1" url="Z:\Dosis pacientes\Alertas_Intervencionismo\SIEMENS_HIBRIDO\20200828-20200831.xml" htmlTables="1"/>
  </connection>
  <connection id="4" name="20200901-20200902" type="4" refreshedVersion="0" background="1">
    <webPr xml="1" sourceData="1" parsePre="1" consecutive="1" url="Z:\Dosis pacientes\Alertas_Intervencionismo\PRUEBAHIBRIDO\20200901-20200902.xml" htmlTables="1"/>
  </connection>
  <connection id="5" name="20200901-202009021" type="4" refreshedVersion="0" background="1">
    <webPr xml="1" sourceData="1" parsePre="1" consecutive="1" url="Z:\Dosis pacientes\Alertas_Intervencionismo\PRUEBAHIBRIDO\20200901-20200902.xml" htmlTables="1"/>
  </connection>
  <connection id="6" name="20200901-2020090210" type="4" refreshedVersion="0" background="1">
    <webPr xml="1" sourceData="1" url="Z:\Dosis pacientes\Alertas_Intervencionismo\PRUEBAHIBRIDO\20200901-20200902.xml" htmlTables="1" htmlFormat="all"/>
  </connection>
  <connection id="7" name="20200901-2020090211" type="4" refreshedVersion="0" background="1">
    <webPr xml="1" sourceData="1" url="Z:\Dosis pacientes\Alertas_Intervencionismo\PRUEBAHIBRIDO\20200901-20200902.xml" htmlTables="1" htmlFormat="all"/>
  </connection>
  <connection id="8" name="20200901-2020090212" type="4" refreshedVersion="0" background="1">
    <webPr xml="1" sourceData="1" url="Z:\Dosis pacientes\Alertas_Intervencionismo\PRUEBAHIBRIDO\20200901-20200902.xml" htmlTables="1" htmlFormat="all"/>
  </connection>
  <connection id="9" name="20200901-2020090213" type="4" refreshedVersion="0" background="1">
    <webPr xml="1" sourceData="1" url="Z:\Dosis pacientes\Alertas_Intervencionismo\PRUEBAHIBRIDO\20200901-20200902.xml" htmlTables="1" htmlFormat="all"/>
  </connection>
  <connection id="10" name="20200901-2020090214" type="4" refreshedVersion="0" background="1">
    <webPr xml="1" sourceData="1" url="Z:\Dosis pacientes\Alertas_Intervencionismo\PRUEBAHIBRIDO\20200901-20200902.xml" htmlTables="1" htmlFormat="all"/>
  </connection>
  <connection id="11" name="20200901-2020090215" type="4" refreshedVersion="0" background="1">
    <webPr xml="1" sourceData="1" url="Z:\Dosis pacientes\Alertas_Intervencionismo\PRUEBAHIBRIDO\20200901-20200902.xml" htmlTables="1" htmlFormat="all"/>
  </connection>
  <connection id="12" name="20200901-2020090216" type="4" refreshedVersion="0" background="1">
    <webPr xml="1" sourceData="1" url="Z:\Dosis pacientes\Alertas_Intervencionismo\PRUEBAHIBRIDO\20200901-20200902.xml" htmlTables="1" htmlFormat="all"/>
  </connection>
  <connection id="13" name="20200901-2020090217" type="4" refreshedVersion="0" background="1">
    <webPr xml="1" sourceData="1" url="Z:\Dosis pacientes\Alertas_Intervencionismo\PRUEBAHIBRIDO\20200901-20200902.xml" htmlTables="1" htmlFormat="all"/>
  </connection>
  <connection id="14" name="20200901-2020090218" type="4" refreshedVersion="0" background="1">
    <webPr xml="1" sourceData="1" url="Z:\Dosis pacientes\Alertas_Intervencionismo\PRUEBAHIBRIDO\20200901-20200902.xml" htmlTables="1" htmlFormat="all"/>
  </connection>
  <connection id="15" name="20200901-2020090219" type="4" refreshedVersion="0" background="1">
    <webPr xml="1" sourceData="1" url="Z:\Dosis pacientes\Alertas_Intervencionismo\PRUEBAHIBRIDO\20200901-20200902.xml" htmlTables="1" htmlFormat="all"/>
  </connection>
  <connection id="16" name="20200901-202009022" type="4" refreshedVersion="0" background="1">
    <webPr xml="1" sourceData="1" url="Z:\Dosis pacientes\Alertas_Intervencionismo\PRUEBAHIBRIDO\20200901-20200902.xml" htmlTables="1" htmlFormat="all"/>
  </connection>
  <connection id="17" name="20200901-2020090220" type="4" refreshedVersion="0" background="1">
    <webPr xml="1" sourceData="1" url="Z:\Dosis pacientes\Alertas_Intervencionismo\PRUEBAHIBRIDO\20200901-20200902.xml" htmlTables="1" htmlFormat="all"/>
  </connection>
  <connection id="18" name="20200901-2020090221" type="4" refreshedVersion="0" background="1">
    <webPr xml="1" sourceData="1" url="Z:\Dosis pacientes\Alertas_Intervencionismo\PRUEBAHIBRIDO\20200901-20200902.xml" htmlTables="1" htmlFormat="all"/>
  </connection>
  <connection id="19" name="20200901-2020090222" type="4" refreshedVersion="0" background="1">
    <webPr xml="1" sourceData="1" url="Z:\Dosis pacientes\Alertas_Intervencionismo\PRUEBAHIBRIDO\20200901-20200902.xml" htmlTables="1" htmlFormat="all"/>
  </connection>
  <connection id="20" name="20200901-2020090223" type="4" refreshedVersion="0" background="1">
    <webPr xml="1" sourceData="1" url="Z:\Dosis pacientes\Alertas_Intervencionismo\PRUEBAHIBRIDO\20200901-20200902.xml" htmlTables="1" htmlFormat="all"/>
  </connection>
  <connection id="21" name="20200901-2020090224" type="4" refreshedVersion="0" background="1">
    <webPr xml="1" sourceData="1" url="Z:\Dosis pacientes\Alertas_Intervencionismo\PRUEBAHIBRIDO\20200901-20200902.xml" htmlTables="1" htmlFormat="all"/>
  </connection>
  <connection id="22" name="20200901-2020090225" type="4" refreshedVersion="0" background="1">
    <webPr xml="1" sourceData="1" url="Z:\Dosis pacientes\Alertas_Intervencionismo\PRUEBAHIBRIDO\20200901-20200902.xml" htmlTables="1" htmlFormat="all"/>
  </connection>
  <connection id="23" name="20200901-202009023" type="4" refreshedVersion="0" background="1">
    <webPr xml="1" sourceData="1" url="Z:\Dosis pacientes\Alertas_Intervencionismo\PRUEBAHIBRIDO\20200901-20200902.xml" htmlTables="1" htmlFormat="all"/>
  </connection>
  <connection id="24" name="20200901-202009024" type="4" refreshedVersion="0" background="1">
    <webPr xml="1" sourceData="1" url="Z:\Dosis pacientes\Alertas_Intervencionismo\PRUEBAHIBRIDO\20200901-20200902.xml" htmlTables="1" htmlFormat="all"/>
  </connection>
  <connection id="25" name="20200901-202009025" type="4" refreshedVersion="0" background="1">
    <webPr xml="1" sourceData="1" url="Z:\Dosis pacientes\Alertas_Intervencionismo\PRUEBAHIBRIDO\20200901-20200902.xml" htmlTables="1" htmlFormat="all"/>
  </connection>
  <connection id="26" name="20200901-202009026" type="4" refreshedVersion="0" background="1">
    <webPr xml="1" sourceData="1" url="Z:\Dosis pacientes\Alertas_Intervencionismo\PRUEBAHIBRIDO\20200901-20200902.xml" htmlTables="1" htmlFormat="all"/>
  </connection>
  <connection id="27" name="20200901-202009027" type="4" refreshedVersion="0" background="1">
    <webPr xml="1" sourceData="1" url="Z:\Dosis pacientes\Alertas_Intervencionismo\PRUEBAHIBRIDO\20200901-20200902.xml" htmlTables="1" htmlFormat="all"/>
  </connection>
  <connection id="28" name="20200901-202009028" type="4" refreshedVersion="0" background="1">
    <webPr xml="1" sourceData="1" url="Z:\Dosis pacientes\Alertas_Intervencionismo\PRUEBAHIBRIDO\20200901-20200902.xml" htmlTables="1" htmlFormat="all"/>
  </connection>
  <connection id="29" name="20200901-202009029" type="4" refreshedVersion="0" background="1">
    <webPr xml="1" sourceData="1" url="Z:\Dosis pacientes\Alertas_Intervencionismo\PRUEBAHIBRIDO\20200901-20200902.xml" htmlTables="1" htmlFormat="all"/>
  </connection>
  <connection id="30" name="20200903-20200904" type="4" refreshedVersion="0" background="1">
    <webPr xml="1" sourceData="1" url="Z:\Dosis pacientes\Alertas_Intervencionismo\PRUEBAHIBRIDO\20200903-20200904.xml" htmlTables="1" htmlFormat="all"/>
  </connection>
  <connection id="31" name="20200903-202009041" type="4" refreshedVersion="0" background="1">
    <webPr xml="1" sourceData="1" url="Z:\Dosis pacientes\Alertas_Intervencionismo\PRUEBAHIBRIDO\20200903-20200904.xml" htmlTables="1" htmlFormat="all"/>
  </connection>
  <connection id="32" name="20200903-202009042" type="4" refreshedVersion="0" background="1">
    <webPr xml="1" sourceData="1" url="Z:\Dosis pacientes\Alertas_Intervencionismo\PRUEBAHIBRIDO\20200903-20200904.xml" htmlTables="1" htmlFormat="all"/>
  </connection>
  <connection id="33" name="20200903-202009043" type="4" refreshedVersion="0" background="1">
    <webPr xml="1" sourceData="1" url="Z:\Dosis pacientes\Alertas_Intervencionismo\PRUEBAHIBRIDO\20200903-20200904.xml" htmlTables="1" htmlFormat="all"/>
  </connection>
  <connection id="34" name="20200903-202009044" type="4" refreshedVersion="0" background="1">
    <webPr xml="1" sourceData="1" url="Z:\Dosis pacientes\Alertas_Intervencionismo\PRUEBAHIBRIDO\20200903-20200904.xml" htmlTables="1" htmlFormat="all"/>
  </connection>
  <connection id="35" name="20200903-202009045" type="4" refreshedVersion="0" background="1">
    <webPr xml="1" sourceData="1" url="Z:\Dosis pacientes\Alertas_Intervencionismo\PRUEBAHIBRIDO\20200903-20200904.xml" htmlTables="1" htmlFormat="all"/>
  </connection>
  <connection id="36" name="20200903-202009046" type="4" refreshedVersion="0" background="1">
    <webPr xml="1" sourceData="1" url="Z:\Dosis pacientes\Alertas_Intervencionismo\PRUEBAHIBRIDO\20200903-20200904.xml" htmlTables="1" htmlFormat="all"/>
  </connection>
  <connection id="37" name="20200903-202009047" type="4" refreshedVersion="0" background="1">
    <webPr xml="1" sourceData="1" url="Z:\Dosis pacientes\Alertas_Intervencionismo\PRUEBAHIBRIDO\20200903-20200904.xml" htmlTables="1" htmlFormat="all"/>
  </connection>
  <connection id="38" name="20200903-202009048" type="4" refreshedVersion="0" background="1">
    <webPr xml="1" sourceData="1" url="Z:\Dosis pacientes\Alertas_Intervencionismo\PRUEBAHIBRIDO\20200903-20200904.xml" htmlTables="1" htmlFormat="all"/>
  </connection>
  <connection id="39" name="20200903-202009049" type="4" refreshedVersion="0" background="1">
    <webPr xml="1" sourceData="1" url="Z:\Dosis pacientes\Alertas_Intervencionismo\PRUEBAHIBRIDO\20200903-20200904.xml" htmlTables="1" htmlFormat="all"/>
  </connection>
  <connection id="40" name="20200904-20200907" type="4" refreshedVersion="0" background="1">
    <webPr xml="1" sourceData="1" url="Z:\Dosis pacientes\Alertas_Intervencionismo\PRUEBAHIBRIDO\20200904-20200907.xml" htmlTables="1" htmlFormat="all"/>
  </connection>
  <connection id="41" name="20200904-202009071" type="4" refreshedVersion="0" background="1">
    <webPr xml="1" sourceData="1" parsePre="1" consecutive="1" url="Z:\Dosis pacientes\Alertas_Intervencionismo\PRUEBAHIBRIDO\20200904-20200907.xml" htmlTables="1"/>
  </connection>
  <connection id="42" name="20200904-2020090710" type="4" refreshedVersion="0" background="1">
    <webPr xml="1" sourceData="1" url="Z:\Dosis pacientes\Alertas_Intervencionismo\PRUEBAHIBRIDO\20200904-20200907.xml" htmlTables="1" htmlFormat="all"/>
  </connection>
  <connection id="43" name="20200904-202009072" type="4" refreshedVersion="0" background="1">
    <webPr xml="1" sourceData="1" url="Z:\Dosis pacientes\Alertas_Intervencionismo\PRUEBAHIBRIDO\20200904-20200907.xml" htmlTables="1" htmlFormat="all"/>
  </connection>
  <connection id="44" name="20200904-202009073" type="4" refreshedVersion="0" background="1">
    <webPr xml="1" sourceData="1" url="Z:\Dosis pacientes\Alertas_Intervencionismo\PRUEBAHIBRIDO\20200904-20200907.xml" htmlTables="1" htmlFormat="all"/>
  </connection>
  <connection id="45" name="20200904-202009074" type="4" refreshedVersion="0" background="1">
    <webPr xml="1" sourceData="1" url="Z:\Dosis pacientes\Alertas_Intervencionismo\PRUEBAHIBRIDO\20200904-20200907.xml" htmlTables="1" htmlFormat="all"/>
  </connection>
  <connection id="46" name="20200904-202009075" type="4" refreshedVersion="0" background="1">
    <webPr xml="1" sourceData="1" url="Z:\Dosis pacientes\Alertas_Intervencionismo\PRUEBAHIBRIDO\20200904-20200907.xml" htmlTables="1" htmlFormat="all"/>
  </connection>
  <connection id="47" name="20200904-202009076" type="4" refreshedVersion="0" background="1">
    <webPr xml="1" sourceData="1" url="Z:\Dosis pacientes\Alertas_Intervencionismo\PRUEBAHIBRIDO\20200904-20200907.xml" htmlTables="1" htmlFormat="all"/>
  </connection>
  <connection id="48" name="20200904-202009077" type="4" refreshedVersion="0" background="1">
    <webPr xml="1" sourceData="1" url="Z:\Dosis pacientes\Alertas_Intervencionismo\PRUEBAHIBRIDO\20200904-20200907.xml" htmlTables="1" htmlFormat="all"/>
  </connection>
  <connection id="49" name="20200904-202009078" type="4" refreshedVersion="0" background="1">
    <webPr xml="1" sourceData="1" url="Z:\Dosis pacientes\Alertas_Intervencionismo\PRUEBAHIBRIDO\20200904-20200907.xml" htmlTables="1" htmlFormat="all"/>
  </connection>
  <connection id="50" name="20200904-202009079" type="4" refreshedVersion="0" background="1">
    <webPr xml="1" sourceData="1" url="Z:\Dosis pacientes\Alertas_Intervencionismo\PRUEBAHIBRIDO\20200904-20200907.xml" htmlTables="1" htmlFormat="all"/>
  </connection>
  <connection id="51" name="20200907-20200908" type="4" refreshedVersion="0" background="1">
    <webPr xml="1" sourceData="1" url="Z:\Dosis pacientes\Alertas_Intervencionismo\PRUEBAHIBRIDO\20200907-20200908.xml" htmlTables="1" htmlFormat="all"/>
  </connection>
  <connection id="52" name="20200907-202009081" type="4" refreshedVersion="0" background="1">
    <webPr xml="1" sourceData="1" url="Z:\Dosis pacientes\Alertas_Intervencionismo\PRUEBAHIBRIDO\20200907-20200908.xml" htmlTables="1" htmlFormat="all"/>
  </connection>
  <connection id="53" name="20200909-20200910" type="4" refreshedVersion="0" background="1">
    <webPr xml="1" sourceData="1" url="Z:\Dosis pacientes\Alertas_Intervencionismo\PRUEBAHIBRIDO\20200909-20200910.xml" htmlTables="1" htmlFormat="all"/>
  </connection>
  <connection id="54" name="20200909-202009101" type="4" refreshedVersion="0" background="1">
    <webPr xml="1" sourceData="1" url="Z:\Dosis pacientes\Alertas_Intervencionismo\PRUEBAHIBRIDO\20200909-20200910.xml" htmlTables="1" htmlFormat="all"/>
  </connection>
  <connection id="55" name="20200910-20200914" type="4" refreshedVersion="0" background="1">
    <webPr xml="1" sourceData="1" url="Z:\Dosis pacientes\Alertas_Intervencionismo\PRUEBAHIBRIDO\20200910-20200914.xml" htmlTables="1" htmlFormat="all"/>
  </connection>
  <connection id="56" name="20200914-20200915" type="4" refreshedVersion="0" background="1">
    <webPr xml="1" sourceData="1" url="Z:\Dosis pacientes\Alertas_Intervencionismo\PRUEBAHIBRIDO\20200914-20200915.xml" htmlTables="1" htmlFormat="all"/>
  </connection>
  <connection id="57" name="20200914-202009151" type="4" refreshedVersion="0" background="1">
    <webPr xml="1" sourceData="1" url="Z:\Dosis pacientes\Alertas_Intervencionismo\PRUEBAHIBRIDO\20200914-20200915.xml" htmlTables="1" htmlFormat="all"/>
  </connection>
  <connection id="58" name="20200915-20200916" type="4" refreshedVersion="0" background="1">
    <webPr xml="1" sourceData="1" url="Z:\Dosis pacientes\Alertas_Intervencionismo\PRUEBAHIBRIDO\20200915-20200916.xml" htmlTables="1" htmlFormat="all"/>
  </connection>
  <connection id="59" name="20200915-202009161" type="4" refreshedVersion="0" background="1">
    <webPr xml="1" sourceData="1" url="Z:\Dosis pacientes\Alertas_Intervencionismo\PRUEBAHIBRIDO\20200915-20200916.xml" htmlTables="1" htmlFormat="all"/>
  </connection>
  <connection id="60" name="20200915-202009162" type="4" refreshedVersion="0" background="1">
    <webPr xml="1" sourceData="1" url="Z:\Dosis pacientes\Alertas_Intervencionismo\PRUEBAHIBRIDO\20200915-20200916.xml" htmlTables="1" htmlFormat="all"/>
  </connection>
  <connection id="61" name="20200915-202009163" type="4" refreshedVersion="0" background="1">
    <webPr xml="1" sourceData="1" url="Z:\Dosis pacientes\Alertas_Intervencionismo\PRUEBAHIBRIDO\20200915-20200916.xml" htmlTables="1" htmlFormat="all"/>
  </connection>
  <connection id="62" name="20200916-20200917" type="4" refreshedVersion="0" background="1">
    <webPr xml="1" sourceData="1" url="Z:\Dosis pacientes\Alertas_Intervencionismo\PRUEBAHIBRIDO\20200916-20200917.xml" htmlTables="1" htmlFormat="all"/>
  </connection>
  <connection id="63" name="20200917-20200918" type="4" refreshedVersion="0" background="1">
    <webPr xml="1" sourceData="1" url="Z:\Dosis pacientes\Alertas_Intervencionismo\PRUEBAHIBRIDO\20200917-20200918.xml" htmlTables="1" htmlFormat="all"/>
  </connection>
  <connection id="64" name="20200917-202009181" type="4" refreshedVersion="0" background="1">
    <webPr xml="1" sourceData="1" url="Z:\Dosis pacientes\Alertas_Intervencionismo\PRUEBAHIBRIDO\20200917-20200918.xml" htmlTables="1" htmlFormat="all"/>
  </connection>
  <connection id="65" name="20200917-202009182" type="4" refreshedVersion="0" background="1">
    <webPr xml="1" sourceData="1" url="Z:\Dosis pacientes\Alertas_Intervencionismo\PRUEBAHIBRIDO\20200917-20200918.xml" htmlTables="1" htmlFormat="all"/>
  </connection>
  <connection id="66" name="20200917-202009183" type="4" refreshedVersion="0" background="1">
    <webPr xml="1" sourceData="1" url="Z:\Dosis pacientes\Alertas_Intervencionismo\PRUEBAHIBRIDO\20200917-20200918.xml" htmlTables="1" htmlFormat="all"/>
  </connection>
  <connection id="67" name="20200917-202009184" type="4" refreshedVersion="0" background="1">
    <webPr xml="1" sourceData="1" url="Z:\Dosis pacientes\Alertas_Intervencionismo\PRUEBAHIBRIDO\20200917-20200918.xml" htmlTables="1" htmlFormat="all"/>
  </connection>
  <connection id="68" name="20200918-20200921" type="4" refreshedVersion="0" background="1">
    <webPr xml="1" sourceData="1" url="Z:\Dosis pacientes\Alertas_Intervencionismo\PRUEBAHIBRIDO\20200918-20200921.xml" htmlTables="1" htmlFormat="all"/>
  </connection>
  <connection id="69" name="20200921-20200922" type="4" refreshedVersion="0" background="1">
    <webPr xml="1" sourceData="1" url="Z:\Dosis pacientes\Alertas_Intervencionismo\PRUEBAHIBRIDO\20200921-20200922.xml" htmlTables="1" htmlFormat="all"/>
  </connection>
  <connection id="70" name="20200922-20200923" type="4" refreshedVersion="0" background="1">
    <webPr xml="1" sourceData="1" url="Z:\Dosis pacientes\Alertas_Intervencionismo\PRUEBAHIBRIDO\20200922-20200923.xml" htmlTables="1" htmlFormat="all"/>
  </connection>
  <connection id="71" name="20200922-202009231" type="4" refreshedVersion="0" background="1">
    <webPr xml="1" sourceData="1" url="Z:\Dosis pacientes\Alertas_Intervencionismo\PRUEBAHIBRIDO\20200922-20200923.xml" htmlTables="1" htmlFormat="all"/>
  </connection>
  <connection id="72" name="20200930-20201001" type="4" refreshedVersion="0" background="1">
    <webPr xml="1" sourceData="1" url="Z:\Dosis pacientes\Alertas_Intervencionismo\PRUEBAHIBRIDO\20200930-20201001.xml" htmlTables="1" htmlFormat="all"/>
  </connection>
  <connection id="73" name="20201001-20201002" type="4" refreshedVersion="0" background="1">
    <webPr xml="1" sourceData="1" url="Z:\Dosis pacientes\Alertas_Intervencionismo\PRUEBAHIBRIDO\20201001-20201002.xml" htmlTables="1" htmlFormat="all"/>
  </connection>
  <connection id="74" name="20201001-202010021" type="4" refreshedVersion="0" background="1">
    <webPr xml="1" sourceData="1" url="Z:\Dosis pacientes\Alertas_Intervencionismo\PRUEBAHIBRIDO\20201001-20201002.xml" htmlTables="1" htmlFormat="all"/>
  </connection>
  <connection id="75" name="20201001-202010022" type="4" refreshedVersion="0" background="1">
    <webPr xml="1" sourceData="1" url="Z:\Dosis pacientes\Alertas_Intervencionismo\PRUEBAHIBRIDO\20201001-20201002.xml" htmlTables="1" htmlFormat="all"/>
  </connection>
  <connection id="76" name="20201001-202010023" type="4" refreshedVersion="0" background="1">
    <webPr xml="1" sourceData="1" url="Z:\Dosis pacientes\Alertas_Intervencionismo\PRUEBAHIBRIDO\20201001-20201002.xml" htmlTables="1" htmlFormat="all"/>
  </connection>
  <connection id="77" name="20201001-202010024" type="4" refreshedVersion="0" background="1">
    <webPr xml="1" sourceData="1" url="Z:\Dosis pacientes\Alertas_Intervencionismo\PRUEBAHIBRIDO\20201001-20201002.xml" htmlTables="1" htmlFormat="all"/>
  </connection>
  <connection id="78" name="20201001-202010025" type="4" refreshedVersion="0" background="1">
    <webPr xml="1" sourceData="1" url="Z:\Dosis pacientes\Alertas_Intervencionismo\PRUEBAHIBRIDO\20201001-20201002.xml" htmlTables="1" htmlFormat="all"/>
  </connection>
  <connection id="79" name="20201001-202010026" type="4" refreshedVersion="0" background="1">
    <webPr xml="1" sourceData="1" url="Z:\Dosis pacientes\Alertas_Intervencionismo\PRUEBAHIBRIDO\20201001-20201002.xml" htmlTables="1" htmlFormat="all"/>
  </connection>
  <connection id="80" name="20201001-202010027" type="4" refreshedVersion="0" background="1">
    <webPr xml="1" sourceData="1" url="Z:\Dosis pacientes\Alertas_Intervencionismo\PRUEBAHIBRIDO\20201001-20201002.xml" htmlTables="1" htmlFormat="all"/>
  </connection>
  <connection id="81" name="20201001-202010028" type="4" refreshedVersion="0" background="1">
    <webPr xml="1" sourceData="1" url="Z:\Dosis pacientes\Alertas_Intervencionismo\PRUEBAHIBRIDO\20201001-20201002.xml" htmlTables="1" htmlFormat="all"/>
  </connection>
  <connection id="82" name="20201002-20201005" type="4" refreshedVersion="0" background="1">
    <webPr xml="1" sourceData="1" url="Z:\Dosis pacientes\Alertas_Intervencionismo\PRUEBAHIBRIDO\20201002-20201005.xml" htmlTables="1" htmlFormat="all"/>
  </connection>
  <connection id="83" name="20201006-20201007" type="4" refreshedVersion="0" background="1">
    <webPr xml="1" sourceData="1" url="Z:\Dosis pacientes\Alertas_Intervencionismo\PRUEBAHIBRIDO\20201006-20201007.xml" htmlTables="1" htmlFormat="all"/>
  </connection>
  <connection id="84" name="20201007-20201008" type="4" refreshedVersion="0" background="1">
    <webPr xml="1" sourceData="1" url="Z:\Dosis pacientes\Alertas_Intervencionismo\PRUEBAHIBRIDO\20201007-20201008.xml" htmlTables="1" htmlFormat="all"/>
  </connection>
  <connection id="85" name="20201008-20201009" type="4" refreshedVersion="0" background="1">
    <webPr xml="1" sourceData="1" url="Z:\Dosis pacientes\Alertas_Intervencionismo\PRUEBAHIBRIDO\20201008-20201009.xml" htmlTables="1" htmlFormat="all"/>
  </connection>
  <connection id="86" name="20201009-20201013" type="4" refreshedVersion="0" background="1">
    <webPr xml="1" sourceData="1" url="Z:\Dosis pacientes\Alertas_Intervencionismo\PRUEBAHIBRIDO\20201009-20201013.xml" htmlTables="1" htmlFormat="all"/>
  </connection>
  <connection id="87" name="20201013-20201014" type="4" refreshedVersion="0" background="1">
    <webPr xml="1" sourceData="1" url="Z:\Dosis pacientes\Alertas_Intervencionismo\PRUEBAHIBRIDO\20201013-20201014.xml" htmlTables="1" htmlFormat="all"/>
  </connection>
  <connection id="88" name="20201014-20201015" type="4" refreshedVersion="0" background="1">
    <webPr xml="1" sourceData="1" url="Z:\Dosis pacientes\Alertas_Intervencionismo\PRUEBAHIBRIDO\20201014-20201015.xml" htmlTables="1" htmlFormat="all"/>
  </connection>
  <connection id="89" name="20201014-202010151" type="4" refreshedVersion="0" background="1">
    <webPr xml="1" sourceData="1" url="Z:\Dosis pacientes\Alertas_Intervencionismo\PRUEBAHIBRIDO\20201014-20201015.xml" htmlTables="1" htmlFormat="all"/>
  </connection>
  <connection id="90" name="20201020-20201020" type="4" refreshedVersion="0" background="1">
    <webPr xml="1" sourceData="1" url="Z:\Dosis pacientes\Alertas_Intervencionismo\PRUEBAHIBRIDO\20201020-20201020.xml" htmlTables="1" htmlFormat="all"/>
  </connection>
  <connection id="91" name="20201020-20201021" type="4" refreshedVersion="0" background="1">
    <webPr xml="1" sourceData="1" url="Z:\Dosis pacientes\Alertas_Intervencionismo\PRUEBAHIBRIDO\20201020-20201021.xml" htmlTables="1" htmlFormat="all"/>
  </connection>
  <connection id="92" name="20201021-20201022" type="4" refreshedVersion="0" background="1">
    <webPr xml="1" sourceData="1" url="Z:\Dosis pacientes\Alertas_Intervencionismo\PRUEBAHIBRIDO\20201021-20201022.xml" htmlTables="1" htmlFormat="all"/>
  </connection>
  <connection id="93" name="20201022-20201023" type="4" refreshedVersion="0" background="1">
    <webPr xml="1" sourceData="1" url="Z:\Dosis pacientes\Alertas_Intervencionismo\PRUEBAHIBRIDO\20201022-20201023.xml" htmlTables="1" htmlFormat="all"/>
  </connection>
  <connection id="94" name="20201023-20201026" type="4" refreshedVersion="0" background="1">
    <webPr xml="1" sourceData="1" url="Z:\Dosis pacientes\Alertas_Intervencionismo\PRUEBAHIBRIDO\20201023-20201026.xml" htmlTables="1" htmlFormat="all"/>
  </connection>
  <connection id="95" name="20201026-20201027" type="4" refreshedVersion="0" background="1">
    <webPr xml="1" sourceData="1" url="Z:\Dosis pacientes\Alertas_Intervencionismo\PRUEBAHIBRIDO\20201026-20201027.xml" htmlTables="1" htmlFormat="all"/>
  </connection>
  <connection id="96" name="20201028-20201029" type="4" refreshedVersion="0" background="1">
    <webPr xml="1" sourceData="1" url="Z:\Dosis pacientes\Alertas_Intervencionismo\PRUEBAHIBRIDO\20201028-20201029.xml" htmlTables="1" htmlFormat="all"/>
  </connection>
  <connection id="97" name="20201028-202010291" type="4" refreshedVersion="0" background="1">
    <webPr xml="1" sourceData="1" url="Z:\Dosis pacientes\Alertas_Intervencionismo\PRUEBAHIBRIDO\20201028-20201029.xml" htmlTables="1" htmlFormat="all"/>
  </connection>
  <connection id="98" name="20201028-202010292" type="4" refreshedVersion="0" background="1">
    <webPr xml="1" sourceData="1" url="Z:\Dosis pacientes\Alertas_Intervencionismo\PRUEBAHIBRIDO\20201028-20201029.xml" htmlTables="1" htmlFormat="all"/>
  </connection>
  <connection id="99" name="20201029-20201103" type="4" refreshedVersion="0" background="1">
    <webPr xml="1" sourceData="1" url="Z:\Dosis pacientes\Alertas_Intervencionismo\PRUEBAHIBRIDO\20201029-20201103.xml" htmlTables="1" htmlFormat="all"/>
  </connection>
  <connection id="100" name="20201103-20201104" type="4" refreshedVersion="0" background="1">
    <webPr xml="1" sourceData="1" url="Z:\Dosis pacientes\Alertas_Intervencionismo\PRUEBAHIBRIDO\20201103-20201104.xml" htmlTables="1" htmlFormat="all"/>
  </connection>
  <connection id="101" name="20201104-20201105" type="4" refreshedVersion="0" background="1">
    <webPr xml="1" sourceData="1" url="Z:\Dosis pacientes\Alertas_Intervencionismo\PRUEBAHIBRIDO\20201104-20201105.xml" htmlTables="1" htmlFormat="all"/>
  </connection>
  <connection id="102" name="20201105-20201106" type="4" refreshedVersion="0" background="1">
    <webPr xml="1" sourceData="1" url="Z:\Dosis pacientes\Alertas_Intervencionismo\PRUEBAHIBRIDO\20201105-20201106.xml" htmlTables="1" htmlFormat="all"/>
  </connection>
  <connection id="103" name="20201106-20201109" type="4" refreshedVersion="0" background="1">
    <webPr xml="1" sourceData="1" url="Z:\Dosis pacientes\Alertas_Intervencionismo\PRUEBAHIBRIDO\20201106-20201109.xml" htmlTables="1" htmlFormat="all"/>
  </connection>
  <connection id="104" name="20201109-20201110" type="4" refreshedVersion="0" background="1">
    <webPr xml="1" sourceData="1" url="Z:\Dosis pacientes\Alertas_Intervencionismo\PRUEBAHIBRIDO\20201109-20201110.xml" htmlTables="1" htmlFormat="all"/>
  </connection>
  <connection id="105" name="20201110-20201111" type="4" refreshedVersion="0" background="1">
    <webPr xml="1" sourceData="1" url="Z:\Dosis pacientes\Alertas_Intervencionismo\PRUEBAHIBRIDO\20201110-20201111.xml" htmlTables="1" htmlFormat="all"/>
  </connection>
  <connection id="106" name="20201111-20201112" type="4" refreshedVersion="0" background="1">
    <webPr xml="1" sourceData="1" url="Z:\Dosis pacientes\Alertas_Intervencionismo\PRUEBAHIBRIDO\20201111-20201112.xml" htmlTables="1" htmlFormat="all"/>
  </connection>
  <connection id="107" name="20201112-20201113" type="4" refreshedVersion="0" background="1">
    <webPr xml="1" sourceData="1" url="Z:\Dosis pacientes\Alertas_Intervencionismo\PRUEBAHIBRIDO\20201112-20201113.xml" htmlTables="1" htmlFormat="all"/>
  </connection>
  <connection id="108" name="20201120-20201124" type="4" refreshedVersion="0" background="1">
    <webPr xml="1" sourceData="1" url="Z:\Dosis pacientes\Alertas_Intervencionismo\PRUEBAHIBRIDO\20201120-20201124.xml" htmlTables="1" htmlFormat="all"/>
  </connection>
  <connection id="109" name="20201124-20201125" type="4" refreshedVersion="0" background="1">
    <webPr xml="1" sourceData="1" url="Z:\Dosis pacientes\Alertas_Intervencionismo\PRUEBAHIBRIDO\20201124-20201125.xml" htmlTables="1" htmlFormat="all"/>
  </connection>
  <connection id="110" name="20201125-20201126" type="4" refreshedVersion="0" background="1">
    <webPr xml="1" sourceData="1" url="Z:\Dosis pacientes\Alertas_Intervencionismo\PRUEBAHIBRIDO\20201125-20201126.xml" htmlTables="1" htmlFormat="all"/>
  </connection>
  <connection id="111" name="20201126-20201127" type="4" refreshedVersion="0" background="1">
    <webPr xml="1" sourceData="1" url="Z:\Dosis pacientes\Alertas_Intervencionismo\PRUEBAHIBRIDO\20201126-20201127.xml" htmlTables="1" htmlFormat="all"/>
  </connection>
  <connection id="112" name="20201127-20201130" type="4" refreshedVersion="0" background="1">
    <webPr xml="1" sourceData="1" url="Z:\Dosis pacientes\Alertas_Intervencionismo\PRUEBAHIBRIDO\20201127-20201130.xml" htmlTables="1" htmlFormat="all"/>
  </connection>
  <connection id="113" name="20201130-20201201" type="4" refreshedVersion="0" background="1">
    <webPr xml="1" sourceData="1" url="Z:\Dosis pacientes\Alertas_Intervencionismo\PRUEBAHIBRIDO\20201130-20201201.xml" htmlTables="1" htmlFormat="all"/>
  </connection>
  <connection id="114" name="20201201-20201202" type="4" refreshedVersion="0" background="1">
    <webPr xml="1" sourceData="1" url="Z:\Dosis pacientes\Alertas_Intervencionismo\PRUEBAHIBRIDO\20201201-20201202.xml" htmlTables="1" htmlFormat="all"/>
  </connection>
  <connection id="115" name="20201202-20201203" type="4" refreshedVersion="0" background="1">
    <webPr xml="1" sourceData="1" url="Z:\Dosis pacientes\Alertas_Intervencionismo\PRUEBAHIBRIDO\20201202-20201203.xml" htmlTables="1" htmlFormat="all"/>
  </connection>
  <connection id="116" name="20201203-20201204" type="4" refreshedVersion="0" background="1">
    <webPr xml="1" sourceData="1" url="Z:\Dosis pacientes\Alertas_Intervencionismo\PRUEBAHIBRIDO\20201203-20201204.xml" htmlTables="1" htmlFormat="all"/>
  </connection>
  <connection id="117" name="20201203-202012041" type="4" refreshedVersion="0" background="1">
    <webPr xml="1" sourceData="1" url="Z:\Dosis pacientes\Alertas_Intervencionismo\PRUEBAHIBRIDO\20201203-20201204.xml" htmlTables="1" htmlFormat="all"/>
  </connection>
  <connection id="118" name="20201204-20201209" type="4" refreshedVersion="0" background="1">
    <webPr xml="1" sourceData="1" url="Z:\Dosis pacientes\Alertas_Intervencionismo\PRUEBAHIBRIDO\20201204-20201209.xml" htmlTables="1" htmlFormat="all"/>
  </connection>
  <connection id="119" name="20201204-202012091" type="4" refreshedVersion="0" background="1">
    <webPr xml="1" sourceData="1" url="Z:\Dosis pacientes\Alertas_Intervencionismo\PRUEBAHIBRIDO\20201204-20201209.xml" htmlTables="1" htmlFormat="all"/>
  </connection>
  <connection id="120" name="20201209-20201211" type="4" refreshedVersion="0" background="1">
    <webPr xml="1" sourceData="1" url="Z:\Dosis pacientes\Alertas_Intervencionismo\PRUEBAHIBRIDO\20201209-20201211.xml" htmlTables="1" htmlFormat="all"/>
  </connection>
  <connection id="121" name="20201209-202012111" type="4" refreshedVersion="0" background="1">
    <webPr xml="1" sourceData="1" url="Z:\Dosis pacientes\Alertas_Intervencionismo\PRUEBAHIBRIDO\20201209-20201211.xml" htmlTables="1" htmlFormat="all"/>
  </connection>
  <connection id="122" name="20201211-20201214" type="4" refreshedVersion="0" background="1">
    <webPr xml="1" sourceData="1" url="Z:\Dosis pacientes\Alertas_Intervencionismo\PRUEBAHIBRIDO\20201211-20201214.xml" htmlTables="1" htmlFormat="all"/>
  </connection>
  <connection id="123" name="20201214-20201215" type="4" refreshedVersion="0" background="1">
    <webPr xml="1" sourceData="1" url="Z:\Dosis pacientes\Alertas_Intervencionismo\PRUEBAHIBRIDO\20201214-20201215.xml" htmlTables="1" htmlFormat="all"/>
  </connection>
  <connection id="124" name="20201215-20201216" type="4" refreshedVersion="0" background="1">
    <webPr xml="1" sourceData="1" url="Z:\Dosis pacientes\Alertas_Intervencionismo\PRUEBAHIBRIDO\20201215-20201216.xml" htmlTables="1" htmlFormat="all"/>
  </connection>
  <connection id="125" name="20201216-20201217" type="4" refreshedVersion="0" background="1">
    <webPr xml="1" sourceData="1" url="Z:\Dosis pacientes\Alertas_Intervencionismo\PRUEBAHIBRIDO\20201216-20201217.xml" htmlTables="1" htmlFormat="all"/>
  </connection>
  <connection id="126" name="20201217-20201218" type="4" refreshedVersion="0" background="1">
    <webPr xml="1" sourceData="1" url="Z:\Dosis pacientes\Alertas_Intervencionismo\PRUEBAHIBRIDO\20201217-20201218.xml" htmlTables="1" htmlFormat="all"/>
  </connection>
  <connection id="127" name="20201218-20201221" type="4" refreshedVersion="0" background="1">
    <webPr xml="1" sourceData="1" url="Z:\Dosis pacientes\Alertas_Intervencionismo\PRUEBAHIBRIDO\20201218-20201221.xml" htmlTables="1" htmlFormat="all"/>
  </connection>
  <connection id="128" name="20201221-20201222" type="4" refreshedVersion="0" background="1">
    <webPr xml="1" sourceData="1" url="Z:\Dosis pacientes\Alertas_Intervencionismo\PRUEBAHIBRIDO\20201221-20201222.xml" htmlTables="1" htmlFormat="all"/>
  </connection>
  <connection id="129" name="20201222-20201223" type="4" refreshedVersion="0" background="1">
    <webPr xml="1" sourceData="1" url="Z:\Dosis pacientes\Alertas_Intervencionismo\PRUEBAHIBRIDO\20201222-20201223.xml" htmlTables="1" htmlFormat="all"/>
  </connection>
  <connection id="130" name="20201222-202012231" type="4" refreshedVersion="0" background="1">
    <webPr xml="1" sourceData="1" url="Z:\Dosis pacientes\Alertas_Intervencionismo\PRUEBAHIBRIDO\20201222-20201223.xml" htmlTables="1" htmlFormat="all"/>
  </connection>
  <connection id="131" name="20201222-202012232" type="4" refreshedVersion="0" background="1">
    <webPr xml="1" sourceData="1" url="Z:\Dosis pacientes\Alertas_Intervencionismo\PRUEBAHIBRIDO\20201222-20201223.xml" htmlTables="1" htmlFormat="all"/>
  </connection>
  <connection id="132" name="20201229-20201230" type="4" refreshedVersion="0" background="1">
    <webPr xml="1" sourceData="1" url="Z:\Dosis pacientes\Alertas_Intervencionismo\PRUEBAHIBRIDO\20201229-20201230.xml" htmlTables="1" htmlFormat="all"/>
  </connection>
  <connection id="133" name="20201229-202012301" type="4" refreshedVersion="0" background="1">
    <webPr xml="1" sourceData="1" url="Z:\Dosis pacientes\Alertas_Intervencionismo\PRUEBAHIBRIDO\20201229-20201230.xml" htmlTables="1" htmlFormat="all"/>
  </connection>
  <connection id="134" name="20201229-202012302" type="4" refreshedVersion="0" background="1">
    <webPr xml="1" sourceData="1" url="Z:\Dosis pacientes\Alertas_Intervencionismo\PRUEBAHIBRIDO\20201229-20201230.xml" htmlTables="1" htmlFormat="all"/>
  </connection>
  <connection id="135" name="20201230-20210104" type="4" refreshedVersion="0" background="1">
    <webPr xml="1" sourceData="1" url="Z:\Dosis pacientes\Alertas_Intervencionismo\PRUEBAHIBRIDO\20201230-20210104.xml" htmlTables="1" htmlFormat="all"/>
  </connection>
  <connection id="136" name="20210104-20210105" type="4" refreshedVersion="0" background="1">
    <webPr xml="1" sourceData="1" url="Z:\Dosis pacientes\Alertas_Intervencionismo\PRUEBAHIBRIDO\20210104-20210105.xml" htmlTables="1" htmlFormat="all"/>
  </connection>
  <connection id="137" name="20210104-202101051" type="4" refreshedVersion="0" background="1">
    <webPr xml="1" sourceData="1" url="Z:\Dosis pacientes\Alertas_Intervencionismo\PRUEBAHIBRIDO\20210104-20210105.xml" htmlTables="1" htmlFormat="all"/>
  </connection>
  <connection id="138" name="20210104-202101052" type="4" refreshedVersion="0" background="1">
    <webPr xml="1" sourceData="1" url="Z:\Dosis pacientes\Alertas_Intervencionismo\PRUEBAHIBRIDO\20210104-20210105.xml" htmlTables="1" htmlFormat="all"/>
  </connection>
  <connection id="139" name="20210105-20210108" type="4" refreshedVersion="0" background="1">
    <webPr xml="1" sourceData="1" url="Z:\Dosis pacientes\Alertas_Intervencionismo\PRUEBAHIBRIDO\20210105-20210108.xml" htmlTables="1" htmlFormat="all"/>
  </connection>
  <connection id="140" name="20210108-20210111" type="4" refreshedVersion="0" background="1">
    <webPr xml="1" sourceData="1" url="Z:\Dosis pacientes\Alertas_Intervencionismo\PRUEBAHIBRIDO\20210108-20210111.xml" htmlTables="1" htmlFormat="all"/>
  </connection>
  <connection id="141" name="20210111-20210112" type="4" refreshedVersion="0" background="1">
    <webPr xml="1" sourceData="1" url="Z:\Dosis pacientes\Alertas_Intervencionismo\PRUEBAHIBRIDO\20210111-20210112.xml" htmlTables="1" htmlFormat="all"/>
  </connection>
  <connection id="142" name="20210112-20210113" type="4" refreshedVersion="0" background="1">
    <webPr xml="1" sourceData="1" url="Z:\Dosis pacientes\Alertas_Intervencionismo\PRUEBAHIBRIDO\20210112-20210113.xml" htmlTables="1" htmlFormat="all"/>
  </connection>
  <connection id="143" name="20210113-20210114" type="4" refreshedVersion="0" background="1">
    <webPr xml="1" sourceData="1" url="Z:\Dosis pacientes\Alertas_Intervencionismo\PRUEBAHIBRIDO\20210113-20210114.xml" htmlTables="1" htmlFormat="all"/>
  </connection>
  <connection id="144" name="20210114-20210115" type="4" refreshedVersion="0" background="1">
    <webPr xml="1" sourceData="1" url="Z:\Dosis pacientes\Alertas_Intervencionismo\PRUEBAHIBRIDO\20210114-20210115.xml" htmlTables="1" htmlFormat="all"/>
  </connection>
  <connection id="145" name="20210114-202101151" type="4" refreshedVersion="0" background="1">
    <webPr xml="1" sourceData="1" url="Z:\Dosis pacientes\Alertas_Intervencionismo\PRUEBAHIBRIDO\20210114-20210115.xml" htmlTables="1" htmlFormat="all"/>
  </connection>
  <connection id="146" name="20210114-202101152" type="4" refreshedVersion="0" background="1">
    <webPr xml="1" sourceData="1" url="Z:\Dosis pacientes\Alertas_Intervencionismo\PRUEBAHIBRIDO\20210114-20210115.xml" htmlTables="1" htmlFormat="all"/>
  </connection>
  <connection id="147" name="20210115-20210120" type="4" refreshedVersion="0" background="1">
    <webPr xml="1" sourceData="1" url="Z:\Dosis pacientes\Alertas_Intervencionismo\PRUEBAHIBRIDO\20210115-20210120.xml" htmlTables="1" htmlFormat="all"/>
  </connection>
  <connection id="148" name="20210120-20210121" type="4" refreshedVersion="0" background="1">
    <webPr xml="1" sourceData="1" url="Z:\Dosis pacientes\Alertas_Intervencionismo\PRUEBAHIBRIDO\20210120-20210121.xml" htmlTables="1" htmlFormat="all"/>
  </connection>
  <connection id="149" name="20210121-20210122" type="4" refreshedVersion="0" background="1">
    <webPr xml="1" sourceData="1" url="Z:\Dosis pacientes\Alertas_Intervencionismo\PRUEBAHIBRIDO\20210121-20210122.xml" htmlTables="1" htmlFormat="all"/>
  </connection>
  <connection id="150" name="20210121-202101221" type="4" refreshedVersion="0" background="1">
    <webPr xml="1" sourceData="1" url="Z:\Dosis pacientes\Alertas_Intervencionismo\PRUEBAHIBRIDO\20210121-20210122.xml" htmlTables="1" htmlFormat="all"/>
  </connection>
  <connection id="151" name="20210122-20210125" type="4" refreshedVersion="0" background="1">
    <webPr xml="1" sourceData="1" url="Z:\Dosis pacientes\Alertas_Intervencionismo\PRUEBAHIBRIDO\20210122-20210125.xml" htmlTables="1" htmlFormat="all"/>
  </connection>
  <connection id="152" name="20210125-20210126" type="4" refreshedVersion="0" background="1">
    <webPr xml="1" sourceData="1" url="Z:\Dosis pacientes\Alertas_Intervencionismo\PRUEBAHIBRIDO\20210125-20210126.xml" htmlTables="1" htmlFormat="all"/>
  </connection>
  <connection id="153" name="20210125-202101261" type="4" refreshedVersion="0" background="1">
    <webPr xml="1" sourceData="1" url="Z:\Dosis pacientes\Alertas_Intervencionismo\PRUEBAHIBRIDO\20210125-20210126.xml" htmlTables="1" htmlFormat="all"/>
  </connection>
  <connection id="154" name="20210127-20210128" type="4" refreshedVersion="0" background="1">
    <webPr xml="1" sourceData="1" url="Z:\Dosis pacientes\Alertas_Intervencionismo\PRUEBAHIBRIDO\20210127-20210128.xml" htmlTables="1" htmlFormat="all"/>
  </connection>
  <connection id="155" name="20210128-20210129" type="4" refreshedVersion="0" background="1">
    <webPr xml="1" sourceData="1" url="Z:\Dosis pacientes\Alertas_Intervencionismo\PRUEBAHIBRIDO\20210128-20210129.xml" htmlTables="1" htmlFormat="all"/>
  </connection>
  <connection id="156" name="20210128-202101291" type="4" refreshedVersion="0" background="1">
    <webPr xml="1" sourceData="1" url="Z:\Dosis pacientes\Alertas_Intervencionismo\PRUEBAHIBRIDO\20210128-20210129.xml" htmlTables="1" htmlFormat="all"/>
  </connection>
  <connection id="157" name="20210129-20210202" type="4" refreshedVersion="0" background="1">
    <webPr xml="1" sourceData="1" url="Z:\Dosis pacientes\Alertas_Intervencionismo\PRUEBAHIBRIDO\20210129-20210202.xml" htmlTables="1" htmlFormat="all"/>
  </connection>
  <connection id="158" name="20210202-20210203" type="4" refreshedVersion="0" background="1">
    <webPr xml="1" sourceData="1" url="Z:\Dosis pacientes\Alertas_Intervencionismo\PRUEBAHIBRIDO\20210202-20210203.xml" htmlTables="1" htmlFormat="all"/>
  </connection>
  <connection id="159" name="20210203-20210204" type="4" refreshedVersion="0" background="1">
    <webPr xml="1" sourceData="1" url="Z:\Dosis pacientes\Alertas_Intervencionismo\PRUEBAHIBRIDO\20210203-20210204.xml" htmlTables="1" htmlFormat="all"/>
  </connection>
  <connection id="160" name="20210203-202102041" type="4" refreshedVersion="0" background="1">
    <webPr xml="1" sourceData="1" url="Z:\Dosis pacientes\Alertas_Intervencionismo\PRUEBAHIBRIDO\20210203-20210204.xml" htmlTables="1" htmlFormat="all"/>
  </connection>
  <connection id="161" name="20210204-20210208" type="4" refreshedVersion="0" background="1">
    <webPr xml="1" sourceData="1" url="Z:\Dosis pacientes\Alertas_Intervencionismo\PRUEBAHIBRIDO\20210204-20210208.xml" htmlTables="1" htmlFormat="all"/>
  </connection>
  <connection id="162" name="20210208-20210209" type="4" refreshedVersion="0" background="1">
    <webPr xml="1" sourceData="1" url="Z:\Dosis pacientes\Alertas_Intervencionismo\PRUEBAHIBRIDO\20210208-20210209.xml" htmlTables="1" htmlFormat="all"/>
  </connection>
  <connection id="163" name="20210209-20210210" type="4" refreshedVersion="0" background="1">
    <webPr xml="1" sourceData="1" url="Z:\Dosis pacientes\Alertas_Intervencionismo\PRUEBAHIBRIDO\20210209-20210210.xml" htmlTables="1" htmlFormat="all"/>
  </connection>
  <connection id="164" name="20210210-20210211" type="4" refreshedVersion="0" background="1">
    <webPr xml="1" sourceData="1" url="Z:\Dosis pacientes\Alertas_Intervencionismo\PRUEBAHIBRIDO\20210210-20210211.xml" htmlTables="1" htmlFormat="all"/>
  </connection>
  <connection id="165" name="20210211-20210212" type="4" refreshedVersion="0" background="1">
    <webPr xml="1" sourceData="1" url="Z:\Dosis pacientes\Alertas_Intervencionismo\PRUEBAHIBRIDO\20210211-20210212.xml" htmlTables="1" htmlFormat="all"/>
  </connection>
  <connection id="166" name="20210212-20210215" type="4" refreshedVersion="0" background="1">
    <webPr xml="1" sourceData="1" url="Z:\Dosis pacientes\Alertas_Intervencionismo\PRUEBAHIBRIDO\20210212-20210215.xml" htmlTables="1" htmlFormat="all"/>
  </connection>
  <connection id="167" name="20210215-20210216" type="4" refreshedVersion="0" background="1">
    <webPr xml="1" sourceData="1" url="Z:\Dosis pacientes\Alertas_Intervencionismo\PRUEBAHIBRIDO\20210215-20210216.xml" htmlTables="1" htmlFormat="all"/>
  </connection>
  <connection id="168" name="20210216-20210217" type="4" refreshedVersion="0" background="1">
    <webPr xml="1" sourceData="1" url="Z:\Dosis pacientes\Alertas_Intervencionismo\PRUEBAHIBRIDO\20210216-20210217.xml" htmlTables="1" htmlFormat="all"/>
  </connection>
  <connection id="169" name="20210217-20210218" type="4" refreshedVersion="0" background="1">
    <webPr xml="1" sourceData="1" url="Z:\Dosis pacientes\Alertas_Intervencionismo\PRUEBAHIBRIDO\20210217-20210218.xml" htmlTables="1" htmlFormat="all"/>
  </connection>
  <connection id="170" name="20210218-20210219" type="4" refreshedVersion="0" background="1">
    <webPr xml="1" sourceData="1" url="Z:\Dosis pacientes\Alertas_Intervencionismo\PRUEBAHIBRIDO\20210218-20210219.xml" htmlTables="1" htmlFormat="all"/>
  </connection>
  <connection id="171" name="20210219-20210222" type="4" refreshedVersion="0" background="1">
    <webPr xml="1" sourceData="1" url="Z:\Dosis pacientes\Alertas_Intervencionismo\PRUEBAHIBRIDO\20210219-20210222.xml" htmlTables="1" htmlFormat="all"/>
  </connection>
  <connection id="172" name="20210222-20210223" type="4" refreshedVersion="0" background="1">
    <webPr xml="1" sourceData="1" url="Z:\Dosis pacientes\Alertas_Intervencionismo\PRUEBAHIBRIDO\20210222-20210223.xml" htmlTables="1" htmlFormat="all"/>
  </connection>
  <connection id="173" name="20210223-20210224" type="4" refreshedVersion="0" background="1">
    <webPr xml="1" sourceData="1" url="Z:\Dosis pacientes\Alertas_Intervencionismo\PRUEBAHIBRIDO\20210223-20210224.xml" htmlTables="1" htmlFormat="all"/>
  </connection>
  <connection id="174" name="20210224-20210225" type="4" refreshedVersion="0" background="1">
    <webPr xml="1" sourceData="1" url="Z:\Dosis pacientes\Alertas_Intervencionismo\PRUEBAHIBRIDO\20210224-20210225.xml" htmlTables="1" htmlFormat="all"/>
  </connection>
  <connection id="175" name="20210225-20210226" type="4" refreshedVersion="0" background="1">
    <webPr xml="1" sourceData="1" url="Z:\Dosis pacientes\Alertas_Intervencionismo\PRUEBAHIBRIDO\20210225-20210226.xml" htmlTables="1" htmlFormat="all"/>
  </connection>
  <connection id="176" name="20210226-20210301" type="4" refreshedVersion="0" background="1">
    <webPr xml="1" sourceData="1" url="Z:\Dosis pacientes\Alertas_Intervencionismo\PRUEBAHIBRIDO\20210226-20210301.xml" htmlTables="1" htmlFormat="all"/>
  </connection>
  <connection id="177" name="20210301-20210302" type="4" refreshedVersion="0" background="1">
    <webPr xml="1" sourceData="1" url="Z:\Dosis pacientes\Alertas_Intervencionismo\PRUEBAHIBRIDO\20210301-20210302.xml" htmlTables="1" htmlFormat="all"/>
  </connection>
  <connection id="178" name="20210302-20210303" type="4" refreshedVersion="0" background="1">
    <webPr xml="1" sourceData="1" url="Z:\Dosis pacientes\Alertas_Intervencionismo\PRUEBAHIBRIDO\20210302-20210303.xml" htmlTables="1" htmlFormat="all"/>
  </connection>
  <connection id="179" name="20210303-20210304" type="4" refreshedVersion="0" background="1">
    <webPr xml="1" sourceData="1" url="Z:\Dosis pacientes\Alertas_Intervencionismo\PRUEBAHIBRIDO\20210303-20210304.xml" htmlTables="1" htmlFormat="all"/>
  </connection>
  <connection id="180" name="20210304-20210305" type="4" refreshedVersion="0" background="1">
    <webPr xml="1" sourceData="1" url="Z:\Dosis pacientes\Alertas_Intervencionismo\PRUEBAHIBRIDO\20210304-20210305.xml" htmlTables="1" htmlFormat="all"/>
  </connection>
  <connection id="181" name="20210305-20210308" type="4" refreshedVersion="0" background="1">
    <webPr xml="1" sourceData="1" url="Z:\Dosis pacientes\Alertas_Intervencionismo\PRUEBAHIBRIDO\20210305-20210308.xml" htmlTables="1" htmlFormat="all"/>
  </connection>
  <connection id="182" name="20210308-20210309" type="4" refreshedVersion="0" background="1">
    <webPr xml="1" sourceData="1" url="Z:\Dosis pacientes\Alertas_Intervencionismo\PRUEBAHIBRIDO\20210308-20210309.xml" htmlTables="1" htmlFormat="all"/>
  </connection>
  <connection id="183" name="20210309-20210310" type="4" refreshedVersion="0" background="1">
    <webPr xml="1" sourceData="1" url="Z:\Dosis pacientes\Alertas_Intervencionismo\PRUEBAHIBRIDO\20210309-20210310.xml" htmlTables="1" htmlFormat="all"/>
  </connection>
  <connection id="184" name="20210310-20210311" type="4" refreshedVersion="0" background="1">
    <webPr xml="1" sourceData="1" url="Z:\Dosis pacientes\Alertas_Intervencionismo\PRUEBAHIBRIDO\20210310-20210311.xml" htmlTables="1" htmlFormat="all"/>
  </connection>
  <connection id="185" name="20210311-20210312" type="4" refreshedVersion="0" background="1">
    <webPr xml="1" sourceData="1" url="Z:\Dosis pacientes\Alertas_Intervencionismo\PRUEBAHIBRIDO\20210311-20210312.xml" htmlTables="1" htmlFormat="all"/>
  </connection>
  <connection id="186" name="20210312-20210315" type="4" refreshedVersion="0" background="1">
    <webPr xml="1" sourceData="1" url="Z:\Dosis pacientes\Alertas_Intervencionismo\PRUEBAHIBRIDO\20210312-20210315.xml" htmlTables="1" htmlFormat="all"/>
  </connection>
  <connection id="187" name="20210315-20210316" type="4" refreshedVersion="0" background="1">
    <webPr xml="1" sourceData="1" url="Z:\Dosis pacientes\Alertas_Intervencionismo\PRUEBAHIBRIDO\20210315-20210316.xml" htmlTables="1" htmlFormat="all"/>
  </connection>
  <connection id="188" name="20210316-20210317" type="4" refreshedVersion="0" background="1">
    <webPr xml="1" sourceData="1" url="Z:\Dosis pacientes\Alertas_Intervencionismo\PRUEBAHIBRIDO\20210316-20210317.xml" htmlTables="1" htmlFormat="all"/>
  </connection>
  <connection id="189" name="20210317-20210318" type="4" refreshedVersion="0" background="1">
    <webPr xml="1" sourceData="1" url="Z:\Dosis pacientes\Alertas_Intervencionismo\PRUEBAHIBRIDO\20210317-20210318.xml" htmlTables="1" htmlFormat="all"/>
  </connection>
  <connection id="190" name="20210318-20210319" type="4" refreshedVersion="0" background="1">
    <webPr xml="1" sourceData="1" url="Z:\Dosis pacientes\Alertas_Intervencionismo\PRUEBAHIBRIDO\20210318-20210319.xml" htmlTables="1" htmlFormat="all"/>
  </connection>
  <connection id="191" name="20210319-20210322" type="4" refreshedVersion="0" background="1">
    <webPr xml="1" sourceData="1" url="Z:\Dosis pacientes\Alertas_Intervencionismo\PRUEBAHIBRIDO\20210319-20210322.xml" htmlTables="1" htmlFormat="all"/>
  </connection>
  <connection id="192" name="20210319-202103221" type="4" refreshedVersion="0" background="1">
    <webPr xml="1" sourceData="1" url="Z:\Dosis pacientes\Alertas_Intervencionismo\PRUEBAHIBRIDO\20210319-20210322.xml" htmlTables="1" htmlFormat="all"/>
  </connection>
  <connection id="193" name="20210322-20210324" type="4" refreshedVersion="0" background="1">
    <webPr xml="1" sourceData="1" url="Z:\Dosis pacientes\Alertas_Intervencionismo\PRUEBAHIBRIDO\20210322-20210324.xml" htmlTables="1" htmlFormat="all"/>
  </connection>
  <connection id="194" name="20210324-20210325" type="4" refreshedVersion="0" background="1">
    <webPr xml="1" sourceData="1" url="Z:\Dosis pacientes\Alertas_Intervencionismo\PRUEBAHIBRIDO\20210324-20210325.xml" htmlTables="1" htmlFormat="all"/>
  </connection>
  <connection id="195" name="20210325-20210326" type="4" refreshedVersion="0" background="1">
    <webPr xml="1" sourceData="1" url="Z:\Dosis pacientes\Alertas_Intervencionismo\PRUEBAHIBRIDO\20210325-20210326.xml" htmlTables="1" htmlFormat="all"/>
  </connection>
  <connection id="196" name="20210326-20210329" type="4" refreshedVersion="0" background="1">
    <webPr xml="1" sourceData="1" url="Z:\Dosis pacientes\Alertas_Intervencionismo\PRUEBAHIBRIDO\20210326-20210329.xml" htmlTables="1" htmlFormat="all"/>
  </connection>
  <connection id="197" name="20210329-20210330" type="4" refreshedVersion="0" background="1">
    <webPr xml="1" sourceData="1" url="Z:\Dosis pacientes\Alertas_Intervencionismo\PRUEBAHIBRIDO\20210329-20210330.xml" htmlTables="1" htmlFormat="all"/>
  </connection>
  <connection id="198" name="20210330-20210331" type="4" refreshedVersion="0" background="1">
    <webPr xml="1" sourceData="1" url="Z:\Dosis pacientes\Alertas_Intervencionismo\PRUEBAHIBRIDO\20210330-20210331.xml" htmlTables="1" htmlFormat="all"/>
  </connection>
  <connection id="199" name="20210330-202103311" type="4" refreshedVersion="0" background="1">
    <webPr xml="1" sourceData="1" url="Z:\Dosis pacientes\Alertas_Intervencionismo\PRUEBAHIBRIDO\20210330-20210331.xml" htmlTables="1" htmlFormat="all"/>
  </connection>
  <connection id="200" name="20210330-202103312" type="4" refreshedVersion="0" background="1">
    <webPr xml="1" sourceData="1" url="Z:\Dosis pacientes\Alertas_Intervencionismo\PRUEBAHIBRIDO\20210330-20210331.xml" htmlTables="1" htmlFormat="all"/>
  </connection>
  <connection id="201" name="20210331-20210405" type="4" refreshedVersion="0" background="1">
    <webPr xml="1" sourceData="1" url="Z:\Dosis pacientes\Alertas_Intervencionismo\PRUEBAHIBRIDO\20210331-20210405.xml" htmlTables="1" htmlFormat="all"/>
  </connection>
  <connection id="202" name="20210405-20210406" type="4" refreshedVersion="0" background="1">
    <webPr xml="1" sourceData="1" url="Z:\Dosis pacientes\Alertas_Intervencionismo\PRUEBAHIBRIDO\20210405-20210406.xml" htmlTables="1" htmlFormat="all"/>
  </connection>
  <connection id="203" name="20210406-20210407" type="4" refreshedVersion="0" background="1">
    <webPr xml="1" sourceData="1" url="Z:\Dosis pacientes\Alertas_Intervencionismo\PRUEBAHIBRIDO\20210406-20210407.xml" htmlTables="1" htmlFormat="all"/>
  </connection>
  <connection id="204" name="20210407-20210408" type="4" refreshedVersion="0" background="1">
    <webPr xml="1" sourceData="1" url="Z:\Dosis pacientes\Alertas_Intervencionismo\PRUEBAHIBRIDO\20210407-20210408.xml" htmlTables="1" htmlFormat="all"/>
  </connection>
  <connection id="205" name="20210408-20210409" type="4" refreshedVersion="0" background="1">
    <webPr xml="1" sourceData="1" url="Z:\Dosis pacientes\Alertas_Intervencionismo\PRUEBAHIBRIDO\20210408-20210409.xml" htmlTables="1" htmlFormat="all"/>
  </connection>
  <connection id="206" name="20210409-20210412" type="4" refreshedVersion="0" background="1">
    <webPr xml="1" sourceData="1" url="Z:\Dosis pacientes\Alertas_Intervencionismo\PRUEBAHIBRIDO\20210409-20210412.xml" htmlTables="1" htmlFormat="all"/>
  </connection>
  <connection id="207" name="20210412-20210413" type="4" refreshedVersion="0" background="1">
    <webPr xml="1" sourceData="1" url="Z:\Dosis pacientes\Alertas_Intervencionismo\PRUEBAHIBRIDO\20210412-20210413.xml" htmlTables="1" htmlFormat="all"/>
  </connection>
  <connection id="208" name="20210413-20210414" type="4" refreshedVersion="0" background="1">
    <webPr xml="1" sourceData="1" url="Z:\Dosis pacientes\Alertas_Intervencionismo\PRUEBAHIBRIDO\20210413-20210414.xml" htmlTables="1" htmlFormat="all"/>
  </connection>
  <connection id="209" name="20210414-20210415" type="4" refreshedVersion="0" background="1">
    <webPr xml="1" sourceData="1" url="Z:\Dosis pacientes\Alertas_Intervencionismo\PRUEBAHIBRIDO\20210414-20210415.xml" htmlTables="1" htmlFormat="all"/>
  </connection>
  <connection id="210" name="20210415-20210416" type="4" refreshedVersion="0" background="1">
    <webPr xml="1" sourceData="1" url="Z:\Dosis pacientes\Alertas_Intervencionismo\PRUEBAHIBRIDO\20210415-20210416.xml" htmlTables="1" htmlFormat="all"/>
  </connection>
  <connection id="211" name="20210416-20210419" type="4" refreshedVersion="0" background="1">
    <webPr xml="1" sourceData="1" url="Z:\Dosis pacientes\Alertas_Intervencionismo\PRUEBAHIBRIDO\20210416-20210419.xml" htmlTables="1" htmlFormat="all"/>
  </connection>
  <connection id="212" name="20210419-20210420" type="4" refreshedVersion="0" background="1">
    <webPr xml="1" sourceData="1" url="Z:\Dosis pacientes\Alertas_Intervencionismo\PRUEBAHIBRIDO\20210419-20210420.xml" htmlTables="1" htmlFormat="all"/>
  </connection>
  <connection id="213" name="20210420-20210421" type="4" refreshedVersion="0" background="1">
    <webPr xml="1" sourceData="1" url="Z:\Dosis pacientes\Alertas_Intervencionismo\PRUEBAHIBRIDO\20210420-20210421.xml" htmlTables="1" htmlFormat="all"/>
  </connection>
  <connection id="214" name="20210421-20210422" type="4" refreshedVersion="0" background="1">
    <webPr xml="1" sourceData="1" url="Z:\Dosis pacientes\Alertas_Intervencionismo\PRUEBAHIBRIDO\20210421-20210422.xml" htmlTables="1" htmlFormat="all"/>
  </connection>
  <connection id="215" name="20210421-202104221" type="4" refreshedVersion="0" background="1">
    <webPr xml="1" sourceData="1" url="Z:\Dosis pacientes\Alertas_Intervencionismo\PRUEBAHIBRIDO\20210421-20210422.xml" htmlTables="1" htmlFormat="all"/>
  </connection>
  <connection id="216" name="20210422-20210426" type="4" refreshedVersion="0" background="1">
    <webPr xml="1" sourceData="1" url="Z:\Dosis pacientes\Alertas_Intervencionismo\PRUEBAHIBRIDO\20210422-20210426.xml" htmlTables="1" htmlFormat="all"/>
  </connection>
  <connection id="217" name="20210426-20210427" type="4" refreshedVersion="0" background="1">
    <webPr xml="1" sourceData="1" url="Z:\Dosis pacientes\Alertas_Intervencionismo\PRUEBAHIBRIDO\20210426-20210427.xml" htmlTables="1" htmlFormat="all"/>
  </connection>
  <connection id="218" name="20210426-202104271" type="4" refreshedVersion="0" background="1">
    <webPr xml="1" sourceData="1" url="Z:\Dosis pacientes\Alertas_Intervencionismo\PRUEBAHIBRIDO\20210426-20210427.xml" htmlTables="1" htmlFormat="all"/>
  </connection>
  <connection id="219" name="20210427-20210429" type="4" refreshedVersion="0" background="1">
    <webPr xml="1" sourceData="1" url="Z:\Dosis pacientes\Alertas_Intervencionismo\PRUEBAHIBRIDO\20210427-20210429.xml" htmlTables="1" htmlFormat="all"/>
  </connection>
  <connection id="220" name="20210429-20210430" type="4" refreshedVersion="0" background="1">
    <webPr xml="1" sourceData="1" url="Z:\Dosis pacientes\Alertas_Intervencionismo\PRUEBAHIBRIDO\20210429-20210430.xml" htmlTables="1" htmlFormat="all"/>
  </connection>
  <connection id="221" name="20210430-20210503" type="4" refreshedVersion="0" background="1">
    <webPr xml="1" sourceData="1" url="Z:\Dosis pacientes\Alertas_Intervencionismo\PRUEBAHIBRIDO\20210430-20210503.xml" htmlTables="1" htmlFormat="all"/>
  </connection>
  <connection id="222" name="20210504-20210505" type="4" refreshedVersion="0" background="1">
    <webPr xml="1" sourceData="1" url="Z:\Dosis pacientes\Alertas_Intervencionismo\PRUEBAHIBRIDO\20210504-20210505.xml" htmlTables="1" htmlFormat="all"/>
  </connection>
  <connection id="223" name="20210504-202105051" type="4" refreshedVersion="0" background="1">
    <webPr xml="1" sourceData="1" url="Z:\Dosis pacientes\Alertas_Intervencionismo\PRUEBAHIBRIDO\20210504-20210505.xml" htmlTables="1" htmlFormat="all"/>
  </connection>
  <connection id="224" name="20210505-20210507" type="4" refreshedVersion="0" background="1">
    <webPr xml="1" sourceData="1" url="Z:\Dosis pacientes\Alertas_Intervencionismo\PRUEBAHIBRIDO\20210505-20210507.xml" htmlTables="1" htmlFormat="all"/>
  </connection>
  <connection id="225" name="20210510-20210511" type="4" refreshedVersion="0" background="1">
    <webPr xml="1" sourceData="1" url="Z:\Dosis pacientes\Alertas_Intervencionismo\PRUEBAHIBRIDO\20210510-20210511.xml" htmlTables="1" htmlFormat="all"/>
  </connection>
  <connection id="226" name="20210511-20210512" type="4" refreshedVersion="0" background="1">
    <webPr xml="1" sourceData="1" url="Z:\Dosis pacientes\Alertas_Intervencionismo\PRUEBAHIBRIDO\20210511-20210512.xml" htmlTables="1" htmlFormat="all"/>
  </connection>
  <connection id="227" name="20210511-202105121" type="4" refreshedVersion="0" background="1">
    <webPr xml="1" sourceData="1" url="Z:\Dosis pacientes\Alertas_Intervencionismo\PRUEBAHIBRIDO\20210511-20210512.xml" htmlTables="1" htmlFormat="all"/>
  </connection>
  <connection id="228" name="20210512-20210514" type="4" refreshedVersion="0" background="1">
    <webPr xml="1" sourceData="1" url="Z:\Dosis pacientes\Alertas_Intervencionismo\PRUEBAHIBRIDO\20210512-20210514.xml" htmlTables="1" htmlFormat="all"/>
  </connection>
  <connection id="229" name="20210514-20210517" type="4" refreshedVersion="0" background="1">
    <webPr xml="1" sourceData="1" url="Z:\Dosis pacientes\Alertas_Intervencionismo\PRUEBAHIBRIDO\20210514-20210517.xml" htmlTables="1" htmlFormat="all"/>
  </connection>
  <connection id="230" name="20210517-20210518" type="4" refreshedVersion="0" background="1">
    <webPr xml="1" sourceData="1" url="Z:\Dosis pacientes\Alertas_Intervencionismo\PRUEBAHIBRIDO\20210517-20210518.xml" htmlTables="1" htmlFormat="all"/>
  </connection>
  <connection id="231" name="20210518-20210519" type="4" refreshedVersion="0" background="1">
    <webPr xml="1" sourceData="1" url="Z:\Dosis pacientes\Alertas_Intervencionismo\PRUEBAHIBRIDO\20210518-20210519.xml" htmlTables="1" htmlFormat="all"/>
  </connection>
  <connection id="232" name="20210519-20210520" type="4" refreshedVersion="0" background="1">
    <webPr xml="1" sourceData="1" url="Z:\Dosis pacientes\Alertas_Intervencionismo\PRUEBAHIBRIDO\20210519-20210520.xml" htmlTables="1" htmlFormat="all"/>
  </connection>
  <connection id="233" name="20210520-20210521" type="4" refreshedVersion="0" background="1">
    <webPr xml="1" sourceData="1" url="Z:\Dosis pacientes\Alertas_Intervencionismo\PRUEBAHIBRIDO\20210520-20210521.xml" htmlTables="1" htmlFormat="all"/>
  </connection>
  <connection id="234" name="20210521-20210524" type="4" refreshedVersion="0" background="1">
    <webPr xml="1" sourceData="1" url="Z:\Dosis pacientes\Alertas_Intervencionismo\PRUEBAHIBRIDO\20210521-20210524.xml" htmlTables="1" htmlFormat="all"/>
  </connection>
  <connection id="235" name="20210524-20210525" type="4" refreshedVersion="0" background="1">
    <webPr xml="1" sourceData="1" url="Z:\Dosis pacientes\Alertas_Intervencionismo\PRUEBAHIBRIDO\20210524-20210525.xml" htmlTables="1" htmlFormat="all"/>
  </connection>
  <connection id="236" name="20210524-202105251" type="4" refreshedVersion="0" background="1">
    <webPr xml="1" sourceData="1" url="Z:\Dosis pacientes\Alertas_Intervencionismo\PRUEBAHIBRIDO\20210524-20210525.xml" htmlTables="1" htmlFormat="all"/>
  </connection>
  <connection id="237" name="20210525-20210527" type="4" refreshedVersion="0" background="1">
    <webPr xml="1" sourceData="1" url="Z:\Dosis pacientes\Alertas_Intervencionismo\PRUEBAHIBRIDO\20210525-20210527.xml" htmlTables="1" htmlFormat="all"/>
  </connection>
  <connection id="238" name="20210528-20210531" type="4" refreshedVersion="0" background="1">
    <webPr xml="1" sourceData="1" url="Z:\Dosis pacientes\Alertas_Intervencionismo\PRUEBAHIBRIDO\20210528-20210531.xml" htmlTables="1" htmlFormat="all"/>
  </connection>
  <connection id="239" name="20210531-20210601" type="4" refreshedVersion="0" background="1">
    <webPr xml="1" sourceData="1" url="Z:\Dosis pacientes\Alertas_Intervencionismo\PRUEBAHIBRIDO\20210531-20210601.xml" htmlTables="1" htmlFormat="all"/>
  </connection>
  <connection id="240" name="20210531-202106011" type="4" refreshedVersion="0" background="1">
    <webPr xml="1" sourceData="1" url="Z:\Dosis pacientes\Alertas_Intervencionismo\PRUEBAHIBRIDO\20210531-20210601.xml" htmlTables="1" htmlFormat="all"/>
  </connection>
  <connection id="241" name="20210601-20210603" type="4" refreshedVersion="0" background="1">
    <webPr xml="1" sourceData="1" url="Z:\Dosis pacientes\Alertas_Intervencionismo\PRUEBAHIBRIDO\20210601-20210603.xml" htmlTables="1" htmlFormat="all"/>
  </connection>
  <connection id="242" name="20210603-20210604" type="4" refreshedVersion="0" background="1">
    <webPr xml="1" sourceData="1" url="Z:\Dosis pacientes\Alertas_Intervencionismo\PRUEBAHIBRIDO\20210603-20210604.xml" htmlTables="1" htmlFormat="all"/>
  </connection>
  <connection id="243" name="20210604-20210607" type="4" refreshedVersion="0" background="1">
    <webPr xml="1" sourceData="1" url="Z:\Dosis pacientes\Alertas_Intervencionismo\PRUEBAHIBRIDO\20210604-20210607.xml" htmlTables="1" htmlFormat="all"/>
  </connection>
  <connection id="244" name="20210607-20210608" type="4" refreshedVersion="0" background="1">
    <webPr xml="1" sourceData="1" url="Z:\Dosis pacientes\Alertas_Intervencionismo\PRUEBAHIBRIDO\20210607-20210608.xml" htmlTables="1" htmlFormat="all"/>
  </connection>
  <connection id="245" name="20210608-20210609" type="4" refreshedVersion="0" background="1">
    <webPr xml="1" sourceData="1" url="Z:\Dosis pacientes\Alertas_Intervencionismo\PRUEBAHIBRIDO\20210608-20210609.xml" htmlTables="1" htmlFormat="all"/>
  </connection>
  <connection id="246" name="20210609-20210610" type="4" refreshedVersion="0" background="1">
    <webPr xml="1" sourceData="1" url="Z:\Dosis pacientes\Alertas_Intervencionismo\PRUEBAHIBRIDO\20210609-20210610.xml" htmlTables="1" htmlFormat="all"/>
  </connection>
  <connection id="247" name="20210610-20210611" type="4" refreshedVersion="0" background="1">
    <webPr xml="1" sourceData="1" url="Z:\Dosis pacientes\Alertas_Intervencionismo\PRUEBAHIBRIDO\20210610-20210611.xml" htmlTables="1" htmlFormat="all"/>
  </connection>
  <connection id="248" name="20210611-20210614" type="4" refreshedVersion="0" background="1">
    <webPr xml="1" sourceData="1" url="Z:\Dosis pacientes\Alertas_Intervencionismo\PRUEBAHIBRIDO\20210611-20210614.xml" htmlTables="1" htmlFormat="all"/>
  </connection>
  <connection id="249" name="20210615-20210616" type="4" refreshedVersion="0" background="1">
    <webPr xml="1" sourceData="1" url="Z:\Dosis pacientes\Alertas_Intervencionismo\PRUEBAHIBRIDO\20210615-20210616.xml" htmlTables="1" htmlFormat="all"/>
  </connection>
  <connection id="250" name="20210616-20210617" type="4" refreshedVersion="0" background="1">
    <webPr xml="1" sourceData="1" url="Z:\Dosis pacientes\Alertas_Intervencionismo\PRUEBAHIBRIDO\20210616-20210617.xml" htmlTables="1" htmlFormat="all"/>
  </connection>
  <connection id="251" name="20210617-20210618" type="4" refreshedVersion="0" background="1">
    <webPr xml="1" sourceData="1" url="Z:\Dosis pacientes\Alertas_Intervencionismo\PRUEBAHIBRIDO\20210617-20210618.xml" htmlTables="1" htmlFormat="all"/>
  </connection>
  <connection id="252" name="20210618-20210621" type="4" refreshedVersion="0" background="1">
    <webPr xml="1" sourceData="1" url="Z:\Dosis pacientes\Alertas_Intervencionismo\PRUEBAHIBRIDO\20210618-20210621.xml" htmlTables="1" htmlFormat="all"/>
  </connection>
  <connection id="253" name="20210621-20210622" type="4" refreshedVersion="0" background="1">
    <webPr xml="1" sourceData="1" url="Z:\Dosis pacientes\Alertas_Intervencionismo\PRUEBAHIBRIDO\20210621-20210622.xml" htmlTables="1" htmlFormat="all"/>
  </connection>
  <connection id="254" name="20210622-20210623" type="4" refreshedVersion="0" background="1">
    <webPr xml="1" sourceData="1" url="Z:\Dosis pacientes\Alertas_Intervencionismo\PRUEBAHIBRIDO\20210622-20210623.xml" htmlTables="1" htmlFormat="all"/>
  </connection>
  <connection id="255" name="20210623-20210624" type="4" refreshedVersion="0" background="1">
    <webPr xml="1" sourceData="1" url="Z:\Dosis pacientes\Alertas_Intervencionismo\PRUEBAHIBRIDO\20210623-20210624.xml" htmlTables="1" htmlFormat="all"/>
  </connection>
  <connection id="256" name="20210624-20210625" type="4" refreshedVersion="0" background="1">
    <webPr xml="1" sourceData="1" url="Z:\Dosis pacientes\Alertas_Intervencionismo\PRUEBAHIBRIDO\20210624-20210625.xml" htmlTables="1" htmlFormat="all"/>
  </connection>
  <connection id="257" name="20210629-20210630" type="4" refreshedVersion="0" background="1">
    <webPr xml="1" sourceData="1" url="Z:\Dosis pacientes\Alertas_Intervencionismo\PRUEBAHIBRIDO\20210629-20210630.xml" htmlTables="1" htmlFormat="all"/>
  </connection>
  <connection id="258" name="20210630-20210701" type="4" refreshedVersion="0" background="1">
    <webPr xml="1" sourceData="1" url="Z:\Dosis pacientes\Alertas_Intervencionismo\PRUEBAHIBRIDO\20210630-20210701.xml" htmlTables="1" htmlFormat="all"/>
  </connection>
  <connection id="259" name="20210630-202107011" type="4" refreshedVersion="0" background="1">
    <webPr xml="1" sourceData="1" url="Z:\Dosis pacientes\Alertas_Intervencionismo\PRUEBAHIBRIDO\20210630-20210701.xml" htmlTables="1" htmlFormat="all"/>
  </connection>
  <connection id="260" name="20210701-20210705" type="4" refreshedVersion="0" background="1">
    <webPr xml="1" sourceData="1" url="Z:\Dosis pacientes\Alertas_Intervencionismo\PRUEBAHIBRIDO\20210701-20210705.xml" htmlTables="1" htmlFormat="all"/>
  </connection>
  <connection id="261" name="20210705-20210706" type="4" refreshedVersion="0" background="1">
    <webPr xml="1" sourceData="1" url="Z:\Dosis pacientes\Alertas_Intervencionismo\PRUEBAHIBRIDO\20210705-20210706.xml" htmlTables="1" htmlFormat="all"/>
  </connection>
  <connection id="262" name="20210707-20210708" type="4" refreshedVersion="0" background="1">
    <webPr xml="1" sourceData="1" url="Z:\Dosis pacientes\Alertas_Intervencionismo\PRUEBAHIBRIDO\20210707-20210708.xml" htmlTables="1" htmlFormat="all"/>
  </connection>
  <connection id="263" name="20210708-20210709" type="4" refreshedVersion="0" background="1">
    <webPr xml="1" sourceData="1" url="Z:\Dosis pacientes\Alertas_Intervencionismo\PRUEBAHIBRIDO\20210708-20210709.xml" htmlTables="1" htmlFormat="all"/>
  </connection>
  <connection id="264" name="20210709-20210712" type="4" refreshedVersion="0" background="1">
    <webPr xml="1" sourceData="1" url="Z:\Dosis pacientes\Alertas_Intervencionismo\PRUEBAHIBRIDO\20210709-20210712.xml" htmlTables="1" htmlFormat="all"/>
  </connection>
  <connection id="265" name="20210709-202107121" type="4" refreshedVersion="0" background="1">
    <webPr xml="1" sourceData="1" url="Z:\Dosis pacientes\Alertas_Intervencionismo\PRUEBAHIBRIDO\20210709-20210712.xml" htmlTables="1" htmlFormat="all"/>
  </connection>
  <connection id="266" name="20210712-20210714" type="4" refreshedVersion="0" background="1">
    <webPr xml="1" sourceData="1" url="Z:\Dosis pacientes\Alertas_Intervencionismo\PRUEBAHIBRIDO\20210712-20210714.xml" htmlTables="1" htmlFormat="all"/>
  </connection>
  <connection id="267" name="20210714-20210715" type="4" refreshedVersion="0" background="1">
    <webPr xml="1" sourceData="1" url="Z:\Dosis pacientes\Alertas_Intervencionismo\PRUEBAHIBRIDO\20210714-20210715.xml" htmlTables="1" htmlFormat="all"/>
  </connection>
  <connection id="268" name="20210715-20210716" type="4" refreshedVersion="0" background="1">
    <webPr xml="1" sourceData="1" url="Z:\Dosis pacientes\Alertas_Intervencionismo\PRUEBAHIBRIDO\20210715-20210716.xml" htmlTables="1" htmlFormat="all"/>
  </connection>
  <connection id="269" name="20210716-20210719" type="4" refreshedVersion="0" background="1">
    <webPr xml="1" sourceData="1" url="Z:\Dosis pacientes\Alertas_Intervencionismo\PRUEBAHIBRIDO\20210716-20210719.xml" htmlTables="1" htmlFormat="all"/>
  </connection>
  <connection id="270" name="20210719-20210720" type="4" refreshedVersion="0" background="1">
    <webPr xml="1" sourceData="1" url="Z:\Dosis pacientes\Alertas_Intervencionismo\PRUEBAHIBRIDO\20210719-20210720.xml" htmlTables="1" htmlFormat="all"/>
  </connection>
  <connection id="271" name="20210719-202107201" type="4" refreshedVersion="0" background="1">
    <webPr xml="1" sourceData="1" url="Z:\Dosis pacientes\Alertas_Intervencionismo\PRUEBAHIBRIDO\20210719-20210720.xml" htmlTables="1" htmlFormat="all"/>
  </connection>
  <connection id="272" name="20210720-20210722" type="4" refreshedVersion="0" background="1">
    <webPr xml="1" sourceData="1" url="Z:\Dosis pacientes\Alertas_Intervencionismo\PRUEBAHIBRIDO\20210720-20210722.xml" htmlTables="1" htmlFormat="all"/>
  </connection>
  <connection id="273" name="20210722-20210723" type="4" refreshedVersion="0" background="1">
    <webPr xml="1" sourceData="1" url="Z:\Dosis pacientes\Alertas_Intervencionismo\PRUEBAHIBRIDO\20210722-20210723.xml" htmlTables="1" htmlFormat="all"/>
  </connection>
  <connection id="274" name="20210723-20210726" type="4" refreshedVersion="0" background="1">
    <webPr xml="1" sourceData="1" url="Z:\Dosis pacientes\Alertas_Intervencionismo\PRUEBAHIBRIDO\20210723-20210726.xml" htmlTables="1" htmlFormat="all"/>
  </connection>
  <connection id="275" name="20210726-20210727" type="4" refreshedVersion="0" background="1">
    <webPr xml="1" sourceData="1" url="Z:\Dosis pacientes\Alertas_Intervencionismo\PRUEBAHIBRIDO\20210726-20210727.xml" htmlTables="1" htmlFormat="all"/>
  </connection>
  <connection id="276" name="20210727-20210728" type="4" refreshedVersion="0" background="1">
    <webPr xml="1" sourceData="1" url="Z:\Dosis pacientes\Alertas_Intervencionismo\PRUEBAHIBRIDO\20210727-20210728.xml" htmlTables="1" htmlFormat="all"/>
  </connection>
  <connection id="277" name="20210728-20210729" type="4" refreshedVersion="0" background="1">
    <webPr xml="1" sourceData="1" url="Z:\Dosis pacientes\Alertas_Intervencionismo\PRUEBAHIBRIDO\20210728-20210729.xml" htmlTables="1" htmlFormat="all"/>
  </connection>
  <connection id="278" name="20210729-20210730" type="4" refreshedVersion="0" background="1">
    <webPr xml="1" sourceData="1" url="Z:\Dosis pacientes\Alertas_Intervencionismo\PRUEBAHIBRIDO\20210729-20210730.xml" htmlTables="1" htmlFormat="all"/>
  </connection>
  <connection id="279" name="20210729-202107301" type="4" refreshedVersion="0" background="1">
    <webPr xml="1" sourceData="1" url="Z:\Dosis pacientes\Alertas_Intervencionismo\PRUEBAHIBRIDO\20210729-20210730.xml" htmlTables="1" htmlFormat="all"/>
  </connection>
  <connection id="280" name="20210803-20210804" type="4" refreshedVersion="0" background="1">
    <webPr xml="1" sourceData="1" url="Z:\Dosis pacientes\Alertas_Intervencionismo\PRUEBAHIBRIDO\20210803-20210804.xml" htmlTables="1" htmlFormat="all"/>
  </connection>
  <connection id="281" name="20210804-20210805" type="4" refreshedVersion="0" background="1">
    <webPr xml="1" sourceData="1" url="Z:\Dosis pacientes\Alertas_Intervencionismo\PRUEBAHIBRIDO\20210804-20210805.xml" htmlTables="1" htmlFormat="all"/>
  </connection>
  <connection id="282" name="20210804-202108051" type="4" refreshedVersion="0" background="1">
    <webPr xml="1" sourceData="1" url="Z:\Dosis pacientes\Alertas_Intervencionismo\PRUEBAHIBRIDO\20210804-20210805.xml" htmlTables="1" htmlFormat="all"/>
  </connection>
  <connection id="283" name="20210805-20210809" type="4" refreshedVersion="0" background="1">
    <webPr xml="1" sourceData="1" url="Z:\Dosis pacientes\Alertas_Intervencionismo\PRUEBAHIBRIDO\20210805-20210809.xml" htmlTables="1" htmlFormat="all"/>
  </connection>
  <connection id="284" name="20210805-202108091" type="4" refreshedVersion="0" background="1">
    <webPr xml="1" sourceData="1" url="Z:\Dosis pacientes\Alertas_Intervencionismo\PRUEBAHIBRIDO\20210805-20210809.xml" htmlTables="1" htmlFormat="all"/>
  </connection>
  <connection id="285" name="20210809-20210811" type="4" refreshedVersion="0" background="1">
    <webPr xml="1" sourceData="1" url="Z:\Dosis pacientes\Alertas_Intervencionismo\PRUEBAHIBRIDO\20210809-20210811.xml" htmlTables="1" htmlFormat="all"/>
  </connection>
  <connection id="286" name="20210811-20210812" type="4" refreshedVersion="0" background="1">
    <webPr xml="1" sourceData="1" url="Z:\Dosis pacientes\Alertas_Intervencionismo\PRUEBAHIBRIDO\20210811-20210812.xml" htmlTables="1" htmlFormat="all"/>
  </connection>
  <connection id="287" name="20210812-20210813" type="4" refreshedVersion="0" background="1">
    <webPr xml="1" sourceData="1" url="Z:\Dosis pacientes\Alertas_Intervencionismo\PRUEBAHIBRIDO\20210812-20210813.xml" htmlTables="1" htmlFormat="all"/>
  </connection>
  <connection id="288" name="20210812-202108131" type="4" refreshedVersion="0" background="1">
    <webPr xml="1" sourceData="1" url="Z:\Dosis pacientes\Alertas_Intervencionismo\PRUEBAHIBRIDO\20210812-20210813.xml" htmlTables="1" htmlFormat="all"/>
  </connection>
  <connection id="289" name="20210812-202108132" type="4" refreshedVersion="0" background="1">
    <webPr xml="1" sourceData="1" url="Z:\Dosis pacientes\Alertas_Intervencionismo\PRUEBAHIBRIDO\20210812-20210813.xml" htmlTables="1" htmlFormat="all"/>
  </connection>
  <connection id="290" name="20210820-20210823" type="4" refreshedVersion="0" background="1">
    <webPr xml="1" sourceData="1" url="Z:\Dosis pacientes\Alertas_Intervencionismo\PRUEBAHIBRIDO\20210820-20210823.xml" htmlTables="1" htmlFormat="all"/>
  </connection>
  <connection id="291" name="20210823-20210824" type="4" refreshedVersion="0" background="1">
    <webPr xml="1" sourceData="1" url="Z:\Dosis pacientes\Alertas_Intervencionismo\PRUEBAHIBRIDO\20210823-20210824.xml" htmlTables="1" htmlFormat="all"/>
  </connection>
  <connection id="292" name="20210824-20210826" type="4" refreshedVersion="0" background="1">
    <webPr xml="1" sourceData="1" url="Z:\Dosis pacientes\Alertas_Intervencionismo\PRUEBAHIBRIDO\20210824-20210826.xml" htmlTables="1" htmlFormat="all"/>
  </connection>
  <connection id="293" name="20210824-202108261" type="4" refreshedVersion="0" background="1">
    <webPr xml="1" sourceData="1" url="Z:\Dosis pacientes\Alertas_Intervencionismo\PRUEBAHIBRIDO\20210824-20210826.xml" htmlTables="1" htmlFormat="all"/>
  </connection>
  <connection id="294" name="20210830-20210831" type="4" refreshedVersion="0" background="1">
    <webPr xml="1" sourceData="1" url="Z:\Dosis pacientes\Alertas_Intervencionismo\PRUEBAHIBRIDO\20210830-20210831.xml" htmlTables="1" htmlFormat="all"/>
  </connection>
  <connection id="295" name="20210831-20210901" type="4" refreshedVersion="0" background="1">
    <webPr xml="1" sourceData="1" url="Z:\Dosis pacientes\Alertas_Intervencionismo\PRUEBAHIBRIDO\20210831-20210901.xml" htmlTables="1" htmlFormat="all"/>
  </connection>
  <connection id="296" name="20210901-20210902" type="4" refreshedVersion="0" background="1">
    <webPr xml="1" sourceData="1" url="Z:\Dosis pacientes\Alertas_Intervencionismo\PRUEBAHIBRIDO\20210901-20210902.xml" htmlTables="1" htmlFormat="all"/>
  </connection>
  <connection id="297" name="20210902-20210903" type="4" refreshedVersion="0" background="1">
    <webPr xml="1" sourceData="1" url="Z:\Dosis pacientes\Alertas_Intervencionismo\PRUEBAHIBRIDO\20210902-20210903.xml" htmlTables="1" htmlFormat="all"/>
  </connection>
  <connection id="298" name="20210903-20210906" type="4" refreshedVersion="0" background="1">
    <webPr xml="1" sourceData="1" url="Z:\Dosis pacientes\Alertas_Intervencionismo\PRUEBAHIBRIDO\20210903-20210906.xml" htmlTables="1" htmlFormat="all"/>
  </connection>
  <connection id="299" name="20210906-20210907" type="4" refreshedVersion="0" background="1">
    <webPr xml="1" sourceData="1" url="Z:\Dosis pacientes\Alertas_Intervencionismo\PRUEBAHIBRIDO\20210906-20210907.xml" htmlTables="1" htmlFormat="all"/>
  </connection>
  <connection id="300" name="20210906-202109071" type="4" refreshedVersion="0" background="1">
    <webPr xml="1" sourceData="1" url="Z:\Dosis pacientes\Alertas_Intervencionismo\PRUEBAHIBRIDO\20210906-20210907.xml" htmlTables="1" htmlFormat="all"/>
  </connection>
  <connection id="301" name="20210907-20210909" type="4" refreshedVersion="0" background="1">
    <webPr xml="1" sourceData="1" url="Z:\Dosis pacientes\Alertas_Intervencionismo\PRUEBAHIBRIDO\20210907-20210909.xml" htmlTables="1" htmlFormat="all"/>
  </connection>
  <connection id="302" name="20210909-20210910" type="4" refreshedVersion="0" background="1">
    <webPr xml="1" sourceData="1" url="Z:\Dosis pacientes\Alertas_Intervencionismo\PRUEBAHIBRIDO\20210909-20210910.xml" htmlTables="1" htmlFormat="all"/>
  </connection>
  <connection id="303" name="20210910-20210913" type="4" refreshedVersion="0" background="1">
    <webPr xml="1" sourceData="1" url="Z:\Dosis pacientes\Alertas_Intervencionismo\PRUEBAHIBRIDO\20210910-20210913.xml" htmlTables="1" htmlFormat="all"/>
  </connection>
  <connection id="304" name="20210913-20210914" type="4" refreshedVersion="0" background="1">
    <webPr xml="1" sourceData="1" url="Z:\Dosis pacientes\Alertas_Intervencionismo\PRUEBAHIBRIDO\20210913-20210914.xml" htmlTables="1" htmlFormat="all"/>
  </connection>
  <connection id="305" name="20210914-20210915" type="4" refreshedVersion="0" background="1">
    <webPr xml="1" sourceData="1" url="Z:\Dosis pacientes\Alertas_Intervencionismo\PRUEBAHIBRIDO\20210914-20210915.xml" htmlTables="1" htmlFormat="all"/>
  </connection>
  <connection id="306" name="20210915-20210916" type="4" refreshedVersion="0" background="1">
    <webPr xml="1" sourceData="1" url="Z:\Dosis pacientes\Alertas_Intervencionismo\PRUEBAHIBRIDO\20210915-20210916.xml" htmlTables="1" htmlFormat="all"/>
  </connection>
  <connection id="307" name="20210916-20210917" type="4" refreshedVersion="0" background="1">
    <webPr xml="1" sourceData="1" url="Z:\Dosis pacientes\Alertas_Intervencionismo\PRUEBAHIBRIDO\20210916-20210917.xml" htmlTables="1" htmlFormat="all"/>
  </connection>
  <connection id="308" name="20210916-202109171" type="4" refreshedVersion="0" background="1">
    <webPr xml="1" sourceData="1" url="Z:\Dosis pacientes\Alertas_Intervencionismo\PRUEBAHIBRIDO\20210916-20210917.xml" htmlTables="1" htmlFormat="all"/>
  </connection>
  <connection id="309" name="20210917-20210921" type="4" refreshedVersion="0" background="1">
    <webPr xml="1" sourceData="1" url="Z:\Dosis pacientes\Alertas_Intervencionismo\PRUEBAHIBRIDO\20210917-20210921.xml" htmlTables="1" htmlFormat="all"/>
  </connection>
  <connection id="310" name="20210921-20210922" type="4" refreshedVersion="0" background="1">
    <webPr xml="1" sourceData="1" url="Z:\Dosis pacientes\Alertas_Intervencionismo\PRUEBAHIBRIDO\20210921-20210922.xml" htmlTables="1" htmlFormat="all"/>
  </connection>
  <connection id="311" name="20210922-20210923" type="4" refreshedVersion="0" background="1">
    <webPr xml="1" sourceData="1" url="Z:\Dosis pacientes\Alertas_Intervencionismo\PRUEBAHIBRIDO\20210922-20210923.xml" htmlTables="1" htmlFormat="all"/>
  </connection>
  <connection id="312" name="20210923-20210924" type="4" refreshedVersion="0" background="1">
    <webPr xml="1" sourceData="1" url="Z:\Dosis pacientes\Alertas_Intervencionismo\PRUEBAHIBRIDO\20210923-20210924.xml" htmlTables="1" htmlFormat="all"/>
  </connection>
  <connection id="313" name="20210924-20210927" type="4" refreshedVersion="0" background="1">
    <webPr xml="1" sourceData="1" url="Z:\Dosis pacientes\Alertas_Intervencionismo\PRUEBAHIBRIDO\20210924-20210927.xml" htmlTables="1" htmlFormat="all"/>
  </connection>
  <connection id="314" name="20210927-20210928" type="4" refreshedVersion="0" background="1">
    <webPr xml="1" sourceData="1" url="Z:\Dosis pacientes\Alertas_Intervencionismo\PRUEBAHIBRIDO\20210927-20210928.xml" htmlTables="1" htmlFormat="all"/>
  </connection>
  <connection id="315" name="20210928-20210929" type="4" refreshedVersion="0" background="1">
    <webPr xml="1" sourceData="1" url="Z:\Dosis pacientes\Alertas_Intervencionismo\PRUEBAHIBRIDO\20210928-20210929.xml" htmlTables="1" htmlFormat="all"/>
  </connection>
  <connection id="316" name="20210928-202109291" type="4" refreshedVersion="0" background="1">
    <webPr xml="1" sourceData="1" url="Z:\Dosis pacientes\Alertas_Intervencionismo\PRUEBAHIBRIDO\20210928-20210929.xml" htmlTables="1" htmlFormat="all"/>
  </connection>
  <connection id="317" name="20210929-20211001" type="4" refreshedVersion="0" background="1">
    <webPr xml="1" sourceData="1" url="Z:\Dosis pacientes\Alertas_Intervencionismo\PRUEBAHIBRIDO\20210929-20211001.xml" htmlTables="1" htmlFormat="all"/>
  </connection>
  <connection id="318" name="20211001-20211004" type="4" refreshedVersion="0" background="1">
    <webPr xml="1" sourceData="1" url="Z:\Dosis pacientes\Alertas_Intervencionismo\PRUEBAHIBRIDO\20211001-20211004.xml" htmlTables="1" htmlFormat="all"/>
  </connection>
  <connection id="319" name="20211004-20211005" type="4" refreshedVersion="0" background="1">
    <webPr xml="1" sourceData="1" url="Z:\Dosis pacientes\Alertas_Intervencionismo\PRUEBAHIBRIDO\20211004-20211005.xml" htmlTables="1" htmlFormat="all"/>
  </connection>
  <connection id="320" name="20211005-20211006" type="4" refreshedVersion="0" background="1">
    <webPr xml="1" sourceData="1" url="Z:\Dosis pacientes\Alertas_Intervencionismo\PRUEBAHIBRIDO\20211005-20211006.xml" htmlTables="1" htmlFormat="all"/>
  </connection>
  <connection id="321" name="20211006-20211007" type="4" refreshedVersion="0" background="1">
    <webPr xml="1" sourceData="1" url="Z:\Dosis pacientes\Alertas_Intervencionismo\PRUEBAHIBRIDO\20211006-20211007.xml" htmlTables="1" htmlFormat="all"/>
  </connection>
  <connection id="322" name="20211007-20211008" type="4" refreshedVersion="0" background="1">
    <webPr xml="1" sourceData="1" url="Z:\Dosis pacientes\Alertas_Intervencionismo\PRUEBAHIBRIDO\20211007-20211008.xml" htmlTables="1" htmlFormat="all"/>
  </connection>
  <connection id="323" name="20211008-20211011" type="4" refreshedVersion="0" background="1">
    <webPr xml="1" sourceData="1" url="Z:\Dosis pacientes\Alertas_Intervencionismo\PRUEBAHIBRIDO\20211008-20211011.xml" htmlTables="1" htmlFormat="all"/>
  </connection>
  <connection id="324" name="20211008-202110111" type="4" refreshedVersion="0" background="1">
    <webPr xml="1" sourceData="1" url="Z:\Dosis pacientes\Alertas_Intervencionismo\PRUEBAHIBRIDO\20211008-20211011.xml" htmlTables="1" htmlFormat="all"/>
  </connection>
  <connection id="325" name="20211011-20211013" type="4" refreshedVersion="0" background="1">
    <webPr xml="1" sourceData="1" url="Z:\Dosis pacientes\Alertas_Intervencionismo\PRUEBAHIBRIDO\20211011-20211013.xml" htmlTables="1" htmlFormat="all"/>
  </connection>
  <connection id="326" name="20211013-20211014" type="4" refreshedVersion="0" background="1">
    <webPr xml="1" sourceData="1" url="Z:\Dosis pacientes\Alertas_Intervencionismo\PRUEBAHIBRIDO\20211013-20211014.xml" htmlTables="1" htmlFormat="all"/>
  </connection>
  <connection id="327" name="20211014-20211015" type="4" refreshedVersion="0" background="1">
    <webPr xml="1" sourceData="1" url="Z:\Dosis pacientes\Alertas_Intervencionismo\PRUEBAHIBRIDO\20211014-20211015.xml" htmlTables="1" htmlFormat="all"/>
  </connection>
  <connection id="328" name="20211015-20211018" type="4" refreshedVersion="0" background="1">
    <webPr xml="1" sourceData="1" url="Z:\Dosis pacientes\Alertas_Intervencionismo\PRUEBAHIBRIDO\20211015-20211018.xml" htmlTables="1" htmlFormat="all"/>
  </connection>
  <connection id="329" name="20211018-20211019" type="4" refreshedVersion="0" background="1">
    <webPr xml="1" sourceData="1" url="Z:\Dosis pacientes\Alertas_Intervencionismo\PRUEBAHIBRIDO\20211018-20211019.xml" htmlTables="1" htmlFormat="all"/>
  </connection>
  <connection id="330" name="20211019-20211020" type="4" refreshedVersion="0" background="1">
    <webPr xml="1" sourceData="1" url="Z:\Dosis pacientes\Alertas_Intervencionismo\PRUEBAHIBRIDO\20211019-20211020.xml" htmlTables="1" htmlFormat="all"/>
  </connection>
  <connection id="331" name="20211020-20211021" type="4" refreshedVersion="0" background="1">
    <webPr xml="1" sourceData="1" url="Z:\Dosis pacientes\Alertas_Intervencionismo\PRUEBAHIBRIDO\20211020-20211021.xml" htmlTables="1" htmlFormat="all"/>
  </connection>
  <connection id="332" name="20211021-20211022" type="4" refreshedVersion="0" background="1">
    <webPr xml="1" sourceData="1" url="Z:\Dosis pacientes\Alertas_Intervencionismo\PRUEBAHIBRIDO\20211021-20211022.xml" htmlTables="1" htmlFormat="all"/>
  </connection>
  <connection id="333" name="20211022-20211025" type="4" refreshedVersion="0" background="1">
    <webPr xml="1" sourceData="1" url="Z:\Dosis pacientes\Alertas_Intervencionismo\PRUEBAHIBRIDO\20211022-20211025.xml" htmlTables="1" htmlFormat="all"/>
  </connection>
  <connection id="334" name="20211025-20211026" type="4" refreshedVersion="0" background="1">
    <webPr xml="1" sourceData="1" url="Z:\Dosis pacientes\Alertas_Intervencionismo\PRUEBAHIBRIDO\20211025-20211026.xml" htmlTables="1" htmlFormat="all"/>
  </connection>
  <connection id="335" name="20211026-20211027" type="4" refreshedVersion="0" background="1">
    <webPr xml="1" sourceData="1" url="Z:\Dosis pacientes\Alertas_Intervencionismo\PRUEBAHIBRIDO\20211026-20211027.xml" htmlTables="1" htmlFormat="all"/>
  </connection>
  <connection id="336" name="20211027-20211028" type="4" refreshedVersion="0" background="1">
    <webPr xml="1" sourceData="1" url="Z:\Dosis pacientes\Alertas_Intervencionismo\PRUEBAHIBRIDO\20211027-20211028.xml" htmlTables="1" htmlFormat="all"/>
  </connection>
  <connection id="337" name="20211028-20211029" type="4" refreshedVersion="0" background="1">
    <webPr xml="1" sourceData="1" url="Z:\Dosis pacientes\Alertas_Intervencionismo\PRUEBAHIBRIDO\20211028-20211029.xml" htmlTables="1" htmlFormat="all"/>
  </connection>
  <connection id="338" name="20211028-202110291" type="4" refreshedVersion="0" background="1">
    <webPr xml="1" sourceData="1" url="Z:\Dosis pacientes\Alertas_Intervencionismo\PRUEBAHIBRIDO\20211028-20211029.xml" htmlTables="1" htmlFormat="all"/>
  </connection>
  <connection id="339" name="20211029-20211102" type="4" refreshedVersion="0" background="1">
    <webPr xml="1" sourceData="1" url="Z:\Dosis pacientes\Alertas_Intervencionismo\PRUEBAHIBRIDO\20211029-20211102.xml" htmlTables="1" htmlFormat="all"/>
  </connection>
  <connection id="340" name="20211102-20211103" type="4" refreshedVersion="0" background="1">
    <webPr xml="1" sourceData="1" url="Z:\Dosis pacientes\Alertas_Intervencionismo\PRUEBAHIBRIDO\20211102-20211103.xml" htmlTables="1" htmlFormat="all"/>
  </connection>
  <connection id="341" name="20211103-20211104" type="4" refreshedVersion="0" background="1">
    <webPr xml="1" sourceData="1" url="Z:\Dosis pacientes\Alertas_Intervencionismo\PRUEBAHIBRIDO\20211103-20211104.xml" htmlTables="1" htmlFormat="all"/>
  </connection>
  <connection id="342" name="20211104-20211105" type="4" refreshedVersion="0" background="1">
    <webPr xml="1" sourceData="1" url="Z:\Dosis pacientes\Alertas_Intervencionismo\PRUEBAHIBRIDO\20211104-20211105.xml" htmlTables="1" htmlFormat="all"/>
  </connection>
  <connection id="343" name="20211109-20211110" type="4" refreshedVersion="0" background="1">
    <webPr xml="1" sourceData="1" url="Z:\Dosis pacientes\Alertas_Intervencionismo\PRUEBAHIBRIDO\20211109-20211110.xml" htmlTables="1" htmlFormat="all"/>
  </connection>
  <connection id="344" name="20211109-202111101" type="4" refreshedVersion="0" background="1">
    <webPr xml="1" sourceData="1" url="Z:\Dosis pacientes\Alertas_Intervencionismo\PRUEBAHIBRIDO\20211109-20211110.xml" htmlTables="1" htmlFormat="all"/>
  </connection>
  <connection id="345" name="20211110-20211111" type="4" refreshedVersion="0" background="1">
    <webPr xml="1" sourceData="1" url="Z:\Dosis pacientes\Alertas_Intervencionismo\PRUEBAHIBRIDO\20211110-20211111.xml" htmlTables="1" htmlFormat="all"/>
  </connection>
  <connection id="346" name="20211111-20211112" type="4" refreshedVersion="0" background="1">
    <webPr xml="1" sourceData="1" url="Z:\Dosis pacientes\Alertas_Intervencionismo\PRUEBAHIBRIDO\20211111-20211112.xml" htmlTables="1" htmlFormat="all"/>
  </connection>
  <connection id="347" name="20211112-20211115" type="4" refreshedVersion="0" background="1">
    <webPr xml="1" sourceData="1" url="Z:\Dosis pacientes\Alertas_Intervencionismo\PRUEBAHIBRIDO\20211112-20211115.xml" htmlTables="1" htmlFormat="all"/>
  </connection>
  <connection id="348" name="20211115-20211116" type="4" refreshedVersion="0" background="1">
    <webPr xml="1" sourceData="1" url="Z:\Dosis pacientes\Alertas_Intervencionismo\PRUEBAHIBRIDO\20211115-20211116.xml" htmlTables="1" htmlFormat="all"/>
  </connection>
  <connection id="349" name="20211116-20211117" type="4" refreshedVersion="0" background="1">
    <webPr xml="1" sourceData="1" url="Z:\Dosis pacientes\Alertas_Intervencionismo\PRUEBAHIBRIDO\20211116-20211117.xml" htmlTables="1" htmlFormat="all"/>
  </connection>
  <connection id="350" name="20211117-20211118" type="4" refreshedVersion="0" background="1">
    <webPr xml="1" sourceData="1" url="Z:\Dosis pacientes\Alertas_Intervencionismo\PRUEBAHIBRIDO\20211117-20211118.xml" htmlTables="1" htmlFormat="all"/>
  </connection>
  <connection id="351" name="20211118-20211119" type="4" refreshedVersion="0" background="1">
    <webPr xml="1" sourceData="1" url="Z:\Dosis pacientes\Alertas_Intervencionismo\PRUEBAHIBRIDO\20211118-20211119.xml" htmlTables="1" htmlFormat="all"/>
  </connection>
  <connection id="352" name="20211119-20211122" type="4" refreshedVersion="0" background="1">
    <webPr xml="1" sourceData="1" url="Z:\Dosis pacientes\Alertas_Intervencionismo\PRUEBAHIBRIDO\20211119-20211122.xml" htmlTables="1" htmlFormat="all"/>
  </connection>
  <connection id="353" name="20211122-20211123" type="4" refreshedVersion="0" background="1">
    <webPr xml="1" sourceData="1" url="Z:\Dosis pacientes\Alertas_Intervencionismo\PRUEBAHIBRIDO\20211122-20211123.xml" htmlTables="1" htmlFormat="all"/>
  </connection>
  <connection id="354" name="20211123-20211124" type="4" refreshedVersion="0" background="1">
    <webPr xml="1" sourceData="1" url="Z:\Dosis pacientes\Alertas_Intervencionismo\PRUEBAHIBRIDO\20211123-20211124.xml" htmlTables="1" htmlFormat="all"/>
  </connection>
  <connection id="355" name="20211124-20211125" type="4" refreshedVersion="0" background="1">
    <webPr xml="1" sourceData="1" url="Z:\Dosis pacientes\Alertas_Intervencionismo\PRUEBAHIBRIDO\20211124-20211125.xml" htmlTables="1" htmlFormat="all"/>
  </connection>
  <connection id="356" name="20211125-20211126" type="4" refreshedVersion="0" background="1">
    <webPr xml="1" sourceData="1" url="Z:\Dosis pacientes\Alertas_Intervencionismo\PRUEBAHIBRIDO\20211125-20211126.xml" htmlTables="1" htmlFormat="all"/>
  </connection>
  <connection id="357" name="20211126-20211129" type="4" refreshedVersion="0" background="1">
    <webPr xml="1" sourceData="1" url="Z:\Dosis pacientes\Alertas_Intervencionismo\PRUEBAHIBRIDO\20211126-20211129.xml" htmlTables="1" htmlFormat="all"/>
  </connection>
  <connection id="358" name="20211129-20211130" type="4" refreshedVersion="0" background="1">
    <webPr xml="1" sourceData="1" url="Z:\Dosis pacientes\Alertas_Intervencionismo\PRUEBAHIBRIDO\20211129-20211130.xml" htmlTables="1" htmlFormat="all"/>
  </connection>
  <connection id="359" name="20211130-20211201" type="4" refreshedVersion="0" background="1">
    <webPr xml="1" sourceData="1" url="Z:\Dosis pacientes\Alertas_Intervencionismo\PRUEBAHIBRIDO\20211130-20211201.xml" htmlTables="1" htmlFormat="all"/>
  </connection>
  <connection id="360" name="20211201-20211202" type="4" refreshedVersion="0" background="1">
    <webPr xml="1" sourceData="1" url="Z:\Dosis pacientes\Alertas_Intervencionismo\PRUEBAHIBRIDO\20211201-20211202.xml" htmlTables="1" htmlFormat="all"/>
  </connection>
  <connection id="361" name="20211202-20211203" type="4" refreshedVersion="0" background="1">
    <webPr xml="1" sourceData="1" url="Z:\Dosis pacientes\Alertas_Intervencionismo\PRUEBAHIBRIDO\20211202-20211203.xml" htmlTables="1" htmlFormat="all"/>
  </connection>
  <connection id="362" name="20211202-202112031" type="4" refreshedVersion="0" background="1">
    <webPr xml="1" sourceData="1" url="Z:\Dosis pacientes\Alertas_Intervencionismo\PRUEBAHIBRIDO\20211202-20211203.xml" htmlTables="1" htmlFormat="all"/>
  </connection>
  <connection id="363" name="20211202-202112032" type="4" refreshedVersion="0" background="1">
    <webPr xml="1" sourceData="1" url="Z:\Dosis pacientes\Alertas_Intervencionismo\PRUEBAHIBRIDO\20211202-20211203.xml" htmlTables="1" htmlFormat="all"/>
  </connection>
  <connection id="364" name="20211202-202112033" type="4" refreshedVersion="0" background="1">
    <webPr xml="1" sourceData="1" url="Z:\Dosis pacientes\Alertas_Intervencionismo\PRUEBAHIBRIDO\20211202-20211203.xml" htmlTables="1" htmlFormat="all"/>
  </connection>
  <connection id="365" name="20211203-20211209" type="4" refreshedVersion="0" background="1">
    <webPr xml="1" sourceData="1" url="Z:\Dosis pacientes\Alertas_Intervencionismo\PRUEBAHIBRIDO\20211203-20211209.xml" htmlTables="1" htmlFormat="all"/>
  </connection>
  <connection id="366" name="20211209-20211210" type="4" refreshedVersion="0" background="1">
    <webPr xml="1" sourceData="1" url="Z:\Dosis pacientes\Alertas_Intervencionismo\PRUEBAHIBRIDO\20211209-20211210.xml" htmlTables="1" htmlFormat="all"/>
  </connection>
  <connection id="367" name="20211213-20211214" type="4" refreshedVersion="0" background="1">
    <webPr xml="1" sourceData="1" url="Z:\Dosis pacientes\Alertas_Intervencionismo\PRUEBAHIBRIDO\20211213-20211214.xml" htmlTables="1" htmlFormat="all"/>
  </connection>
  <connection id="368" name="20211214-20211215" type="4" refreshedVersion="0" background="1">
    <webPr xml="1" sourceData="1" url="Z:\Dosis pacientes\Alertas_Intervencionismo\PRUEBAHIBRIDO\20211214-20211215.xml" htmlTables="1" htmlFormat="all"/>
  </connection>
  <connection id="369" name="20211215-20211216" type="4" refreshedVersion="0" background="1">
    <webPr xml="1" sourceData="1" url="Z:\Dosis pacientes\Alertas_Intervencionismo\PRUEBAHIBRIDO\20211215-20211216.xml" htmlTables="1" htmlFormat="all"/>
  </connection>
  <connection id="370" name="20211216-20211217" type="4" refreshedVersion="0" background="1">
    <webPr xml="1" sourceData="1" url="Z:\Dosis pacientes\Alertas_Intervencionismo\PRUEBAHIBRIDO\20211216-20211217.xml" htmlTables="1" htmlFormat="all"/>
  </connection>
  <connection id="371" name="20211216-202112171" type="4" refreshedVersion="0" background="1">
    <webPr xml="1" sourceData="1" url="Z:\Dosis pacientes\Alertas_Intervencionismo\PRUEBAHIBRIDO\20211216-20211217.xml" htmlTables="1" htmlFormat="all"/>
  </connection>
  <connection id="372" name="20211217-20211221" type="4" refreshedVersion="0" background="1">
    <webPr xml="1" sourceData="1" url="Z:\Dosis pacientes\Alertas_Intervencionismo\PRUEBAHIBRIDO\20211217-20211221.xml" htmlTables="1" htmlFormat="all"/>
  </connection>
  <connection id="373" name="20211221-20211222" type="4" refreshedVersion="0" background="1">
    <webPr xml="1" sourceData="1" url="Z:\Dosis pacientes\Alertas_Intervencionismo\PRUEBAHIBRIDO\20211221-20211222.xml" htmlTables="1" htmlFormat="all"/>
  </connection>
  <connection id="374" name="20211222-20211223" type="4" refreshedVersion="0" background="1">
    <webPr xml="1" sourceData="1" url="Z:\Dosis pacientes\Alertas_Intervencionismo\PRUEBAHIBRIDO\20211222-20211223.xml" htmlTables="1" htmlFormat="all"/>
  </connection>
  <connection id="375" name="20211222-202112231" type="4" refreshedVersion="0" background="1">
    <webPr xml="1" sourceData="1" url="Z:\Dosis pacientes\Alertas_Intervencionismo\PRUEBAHIBRIDO\20211222-20211223.xml" htmlTables="1" htmlFormat="all"/>
  </connection>
  <connection id="376" name="20211223-20211227" type="4" refreshedVersion="0" background="1">
    <webPr xml="1" sourceData="1" url="Z:\Dosis pacientes\Alertas_Intervencionismo\PRUEBAHIBRIDO\20211223-20211227.xml" htmlTables="1" htmlFormat="all"/>
  </connection>
  <connection id="377" name="20211227-20211228" type="4" refreshedVersion="0" background="1">
    <webPr xml="1" sourceData="1" url="Z:\Dosis pacientes\Alertas_Intervencionismo\PRUEBAHIBRIDO\20211227-20211228.xml" htmlTables="1" htmlFormat="all"/>
  </connection>
  <connection id="378" name="20211228-20211229" type="4" refreshedVersion="0" background="1">
    <webPr xml="1" sourceData="1" url="Z:\Dosis pacientes\Alertas_Intervencionismo\PRUEBAHIBRIDO\20211228-20211229.xml" htmlTables="1" htmlFormat="all"/>
  </connection>
  <connection id="379" name="20211228-202112291" type="4" refreshedVersion="0" background="1">
    <webPr xml="1" sourceData="1" url="Z:\Dosis pacientes\Alertas_Intervencionismo\PRUEBAHIBRIDO\20211228-20211229.xml" htmlTables="1" htmlFormat="all"/>
  </connection>
  <connection id="380" name="20211228-202112292" type="4" refreshedVersion="0" background="1">
    <webPr xml="1" sourceData="1" url="Z:\Dosis pacientes\Alertas_Intervencionismo\PRUEBAHIBRIDO\20211228-20211229.xml" htmlTables="1" htmlFormat="all"/>
  </connection>
  <connection id="381" name="20220113-20220114" type="4" refreshedVersion="0" background="1">
    <webPr xml="1" sourceData="1" url="Z:\Dosis pacientes\Alertas_Intervencionismo\PRUEBAHIBRIDO\20220113-20220114.xml" htmlTables="1" htmlFormat="all"/>
  </connection>
  <connection id="382" name="20220114-20220118" type="4" refreshedVersion="0" background="1">
    <webPr xml="1" sourceData="1" url="Z:\Dosis pacientes\Alertas_Intervencionismo\PRUEBAHIBRIDO\20220114-20220118.xml" htmlTables="1" htmlFormat="all"/>
  </connection>
  <connection id="383" name="20220118-20220119" type="4" refreshedVersion="0" background="1">
    <webPr xml="1" sourceData="1" url="Z:\Dosis pacientes\Alertas_Intervencionismo\PRUEBAHIBRIDO\20220118-20220119.xml" htmlTables="1" htmlFormat="all"/>
  </connection>
  <connection id="384" name="20220119-20220120" type="4" refreshedVersion="0" background="1">
    <webPr xml="1" sourceData="1" url="Z:\Dosis pacientes\Alertas_Intervencionismo\PRUEBAHIBRIDO\20220119-20220120.xml" htmlTables="1" htmlFormat="all"/>
  </connection>
  <connection id="385" name="20220120-20220121" type="4" refreshedVersion="0" background="1">
    <webPr xml="1" sourceData="1" url="Z:\Dosis pacientes\Alertas_Intervencionismo\PRUEBAHIBRIDO\20220120-20220121.xml" htmlTables="1" htmlFormat="all"/>
  </connection>
  <connection id="386" name="20220121-20220124" type="4" refreshedVersion="0" background="1">
    <webPr xml="1" sourceData="1" url="Z:\Dosis pacientes\Alertas_Intervencionismo\PRUEBAHIBRIDO\20220121-20220124.xml" htmlTables="1" htmlFormat="all"/>
  </connection>
  <connection id="387" name="20220124-20220125" type="4" refreshedVersion="0" background="1">
    <webPr xml="1" sourceData="1" url="Z:\Dosis pacientes\Alertas_Intervencionismo\PRUEBAHIBRIDO\20220124-20220125.xml" htmlTables="1" htmlFormat="all"/>
  </connection>
  <connection id="388" name="20220125-20220126" type="4" refreshedVersion="0" background="1">
    <webPr xml="1" sourceData="1" url="Z:\Dosis pacientes\Alertas_Intervencionismo\PRUEBAHIBRIDO\20220125-20220126.xml" htmlTables="1" htmlFormat="all"/>
  </connection>
  <connection id="389" name="20220126-20220127" type="4" refreshedVersion="0" background="1">
    <webPr xml="1" sourceData="1" url="Z:\Dosis pacientes\Alertas_Intervencionismo\PRUEBAHIBRIDO\20220126-20220127.xml" htmlTables="1" htmlFormat="all"/>
  </connection>
  <connection id="390" name="20220127-20220128" type="4" refreshedVersion="0" background="1">
    <webPr xml="1" sourceData="1" url="Z:\Dosis pacientes\Alertas_Intervencionismo\PRUEBAHIBRIDO\20220127-20220128.xml" htmlTables="1" htmlFormat="all"/>
  </connection>
  <connection id="391" name="20220131-20220202" type="4" refreshedVersion="0" background="1">
    <webPr xml="1" sourceData="1" url="Z:\Dosis pacientes\Alertas_Intervencionismo\PRUEBAHIBRIDO\20220131-20220202.xml" htmlTables="1" htmlFormat="all"/>
  </connection>
  <connection id="392" name="20220202-20220203" type="4" refreshedVersion="0" background="1">
    <webPr xml="1" sourceData="1" url="Z:\Dosis pacientes\Alertas_Intervencionismo\PRUEBAHIBRIDO\20220202-20220203.xml" htmlTables="1" htmlFormat="all"/>
  </connection>
  <connection id="393" name="20220203-20220204" type="4" refreshedVersion="0" background="1">
    <webPr xml="1" sourceData="1" url="Z:\Dosis pacientes\Alertas_Intervencionismo\PRUEBAHIBRIDO\20220203-20220204.xml" htmlTables="1" htmlFormat="all"/>
  </connection>
  <connection id="394" name="20220204-20220207" type="4" refreshedVersion="0" background="1">
    <webPr xml="1" sourceData="1" url="Z:\Dosis pacientes\Alertas_Intervencionismo\PRUEBAHIBRIDO\20220204-20220207.xml" htmlTables="1" htmlFormat="all"/>
  </connection>
  <connection id="395" name="20220207-20220208" type="4" refreshedVersion="0" background="1">
    <webPr xml="1" sourceData="1" url="Z:\Dosis pacientes\Alertas_Intervencionismo\PRUEBAHIBRIDO\20220207-20220208.xml" htmlTables="1" htmlFormat="all"/>
  </connection>
  <connection id="396" name="20220207-202202081" type="4" refreshedVersion="0" background="1">
    <webPr xml="1" sourceData="1" url="Z:\Dosis pacientes\Alertas_Intervencionismo\PRUEBAHIBRIDO\20220207-20220208.xml" htmlTables="1" htmlFormat="all"/>
  </connection>
  <connection id="397" name="20220208-20220210" type="4" refreshedVersion="0" background="1">
    <webPr xml="1" sourceData="1" url="Z:\Dosis pacientes\Alertas_Intervencionismo\PRUEBAHIBRIDO\20220208-20220210.xml" htmlTables="1" htmlFormat="all"/>
  </connection>
  <connection id="398" name="20220210-20220211" type="4" refreshedVersion="0" background="1">
    <webPr xml="1" sourceData="1" url="Z:\Dosis pacientes\Alertas_Intervencionismo\PRUEBAHIBRIDO\20220210-20220211.xml" htmlTables="1" htmlFormat="all"/>
  </connection>
  <connection id="399" name="20220211-20220214" type="4" refreshedVersion="0" background="1">
    <webPr xml="1" sourceData="1" url="Z:\Dosis pacientes\Alertas_Intervencionismo\PRUEBAHIBRIDO\20220211-20220214.xml" htmlTables="1" htmlFormat="all"/>
  </connection>
  <connection id="400" name="20220214-20220215" type="4" refreshedVersion="0" background="1">
    <webPr xml="1" sourceData="1" url="Z:\Dosis pacientes\Alertas_Intervencionismo\PRUEBAHIBRIDO\20220214-20220215.xml" htmlTables="1" htmlFormat="all"/>
  </connection>
  <connection id="401" name="20220215-20220216" type="4" refreshedVersion="0" background="1">
    <webPr xml="1" sourceData="1" url="Z:\Dosis pacientes\Alertas_Intervencionismo\PRUEBAHIBRIDO\20220215-20220216.xml" htmlTables="1" htmlFormat="all"/>
  </connection>
  <connection id="402" name="20220215-202202161" type="4" refreshedVersion="0" background="1">
    <webPr xml="1" sourceData="1" url="Z:\Dosis pacientes\Alertas_Intervencionismo\PRUEBAHIBRIDO\20220215-20220216.xml" htmlTables="1" htmlFormat="all"/>
  </connection>
  <connection id="403" name="20220216-20220218" type="4" refreshedVersion="0" background="1">
    <webPr xml="1" sourceData="1" url="Z:\Dosis pacientes\Alertas_Intervencionismo\PRUEBAHIBRIDO\20220216-20220218.xml" htmlTables="1" htmlFormat="all"/>
  </connection>
  <connection id="404" name="20220218-20220221" type="4" refreshedVersion="0" background="1">
    <webPr xml="1" sourceData="1" url="Z:\Dosis pacientes\Alertas_Intervencionismo\PRUEBAHIBRIDO\20220218-20220221.xml" htmlTables="1" htmlFormat="all"/>
  </connection>
  <connection id="405" name="20220221-20220222" type="4" refreshedVersion="0" background="1">
    <webPr xml="1" sourceData="1" url="Z:\Dosis pacientes\Alertas_Intervencionismo\PRUEBAHIBRIDO\20220221-20220222.xml" htmlTables="1" htmlFormat="all"/>
  </connection>
  <connection id="406" name="20220222-20220223" type="4" refreshedVersion="0" background="1">
    <webPr xml="1" sourceData="1" url="Z:\Dosis pacientes\Alertas_Intervencionismo\PRUEBAHIBRIDO\20220222-20220223.xml" htmlTables="1" htmlFormat="all"/>
  </connection>
  <connection id="407" name="20220223-20220224" type="4" refreshedVersion="0" background="1">
    <webPr xml="1" sourceData="1" url="Z:\Dosis pacientes\Alertas_Intervencionismo\PRUEBAHIBRIDO\20220223-20220224.xml" htmlTables="1" htmlFormat="all"/>
  </connection>
  <connection id="408" name="20220224-20220225" type="4" refreshedVersion="0" background="1">
    <webPr xml="1" sourceData="1" url="Z:\Dosis pacientes\Alertas_Intervencionismo\PRUEBAHIBRIDO\20220224-20220225.xml" htmlTables="1" htmlFormat="all"/>
  </connection>
  <connection id="409" name="20220228-20220301" type="4" refreshedVersion="0" background="1">
    <webPr xml="1" sourceData="1" url="Z:\Dosis pacientes\Alertas_Intervencionismo\PRUEBAHIBRIDO\20220228-20220301.xml" htmlTables="1" htmlFormat="all"/>
  </connection>
  <connection id="410" name="20220310-20220311" type="4" refreshedVersion="0" background="1">
    <webPr xml="1" sourceData="1" url="Z:\Dosis pacientes\Alertas_Intervencionismo\PRUEBAHIBRIDO\20220310-20220311.xml" htmlTables="1" htmlFormat="all"/>
  </connection>
  <connection id="411" name="20220314-20220315" type="4" refreshedVersion="0" background="1">
    <webPr xml="1" sourceData="1" url="Z:\Dosis pacientes\Alertas_Intervencionismo\PRUEBAHIBRIDO\20220314-20220315.xml" htmlTables="1" htmlFormat="all"/>
  </connection>
  <connection id="412" name="20220315-20220316" type="4" refreshedVersion="0" background="1">
    <webPr xml="1" sourceData="1" url="Z:\Dosis pacientes\Alertas_Intervencionismo\PRUEBAHIBRIDO\20220315-20220316.xml" htmlTables="1" htmlFormat="all"/>
  </connection>
  <connection id="413" name="20220316-20220317" type="4" refreshedVersion="0" background="1">
    <webPr xml="1" sourceData="1" url="Z:\Dosis pacientes\Alertas_Intervencionismo\PRUEBAHIBRIDO\20220316-20220317.xml" htmlTables="1" htmlFormat="all"/>
  </connection>
  <connection id="414" name="20220317-20220318" type="4" refreshedVersion="0" background="1">
    <webPr xml="1" sourceData="1" url="Z:\Dosis pacientes\Alertas_Intervencionismo\PRUEBAHIBRIDO\20220317-20220318.xml" htmlTables="1" htmlFormat="all"/>
  </connection>
  <connection id="415" name="20220318-20220321" type="4" refreshedVersion="0" background="1">
    <webPr xml="1" sourceData="1" url="Z:\Dosis pacientes\Alertas_Intervencionismo\PRUEBAHIBRIDO\20220318-20220321.xml" htmlTables="1" htmlFormat="all"/>
  </connection>
  <connection id="416" name="20220321-20220322" type="4" refreshedVersion="0" background="1">
    <webPr xml="1" sourceData="1" url="Z:\Dosis pacientes\Alertas_Intervencionismo\PRUEBAHIBRIDO\20220321-20220322.xml" htmlTables="1" htmlFormat="all"/>
  </connection>
  <connection id="417" name="20220322-20220323" type="4" refreshedVersion="0" background="1">
    <webPr xml="1" sourceData="1" url="Z:\Dosis pacientes\Alertas_Intervencionismo\PRUEBAHIBRIDO\20220322-20220323.xml" htmlTables="1" htmlFormat="all"/>
  </connection>
  <connection id="418" name="20220323-20220324" type="4" refreshedVersion="0" background="1">
    <webPr xml="1" sourceData="1" url="Z:\Dosis pacientes\Alertas_Intervencionismo\PRUEBAHIBRIDO\20220323-20220324.xml" htmlTables="1" htmlFormat="all"/>
  </connection>
  <connection id="419" name="20220323-202203241" type="4" refreshedVersion="0" background="1">
    <webPr xml="1" sourceData="1" url="Z:\Dosis pacientes\Alertas_Intervencionismo\PRUEBAHIBRIDO\20220323-20220324.xml" htmlTables="1" htmlFormat="all"/>
  </connection>
  <connection id="420" name="20220324-20220328" type="4" refreshedVersion="0" background="1">
    <webPr xml="1" sourceData="1" url="Z:\Dosis pacientes\Alertas_Intervencionismo\PRUEBAHIBRIDO\20220324-20220328.xml" htmlTables="1" htmlFormat="all"/>
  </connection>
  <connection id="421" name="20220328-20220329" type="4" refreshedVersion="0" background="1">
    <webPr xml="1" sourceData="1" url="Z:\Dosis pacientes\Alertas_Intervencionismo\PRUEBAHIBRIDO\20220328-20220329.xml" htmlTables="1" htmlFormat="all"/>
  </connection>
  <connection id="422" name="20220329-20220330" type="4" refreshedVersion="0" background="1">
    <webPr xml="1" sourceData="1" url="Z:\Dosis pacientes\Alertas_Intervencionismo\PRUEBAHIBRIDO\20220329-20220330.xml" htmlTables="1" htmlFormat="all"/>
  </connection>
  <connection id="423" name="20220329-202203301" type="4" refreshedVersion="0" background="1">
    <webPr xml="1" sourceData="1" url="Z:\Dosis pacientes\Alertas_Intervencionismo\PRUEBAHIBRIDO\20220329-20220330.xml" htmlTables="1" htmlFormat="all"/>
  </connection>
  <connection id="424" name="20220330-20220401" type="4" refreshedVersion="0" background="1">
    <webPr xml="1" sourceData="1" url="Z:\Dosis pacientes\Alertas_Intervencionismo\PRUEBAHIBRIDO\20220330-20220401.xml" htmlTables="1" htmlFormat="all"/>
  </connection>
  <connection id="425" name="20220401-20220404" type="4" refreshedVersion="0" background="1">
    <webPr xml="1" sourceData="1" url="Z:\Dosis pacientes\Alertas_Intervencionismo\PRUEBAHIBRIDO\20220401-20220404.xml" htmlTables="1" htmlFormat="all"/>
  </connection>
  <connection id="426" name="20220401-202204041" type="4" refreshedVersion="0" background="1">
    <webPr xml="1" sourceData="1" url="Z:\Dosis pacientes\Alertas_Intervencionismo\PRUEBAHIBRIDO\20220401-20220404.xml" htmlTables="1" htmlFormat="all"/>
  </connection>
  <connection id="427" name="20220404-20220406" type="4" refreshedVersion="0" background="1">
    <webPr xml="1" sourceData="1" url="Z:\Dosis pacientes\Alertas_Intervencionismo\PRUEBAHIBRIDO\20220404-20220406.xml" htmlTables="1" htmlFormat="all"/>
  </connection>
  <connection id="428" name="20220404-202204061" type="4" refreshedVersion="0" background="1">
    <webPr xml="1" sourceData="1" url="Z:\Dosis pacientes\Alertas_Intervencionismo\PRUEBAHIBRIDO\20220404-20220406.xml" htmlTables="1" htmlFormat="all"/>
  </connection>
  <connection id="429" name="20220406-20220408" type="4" refreshedVersion="0" background="1">
    <webPr xml="1" sourceData="1" url="Z:\Dosis pacientes\Alertas_Intervencionismo\PRUEBAHIBRIDO\20220406-20220408.xml" htmlTables="1" htmlFormat="all"/>
  </connection>
  <connection id="430" name="20220406-202204081" type="4" refreshedVersion="0" background="1">
    <webPr xml="1" sourceData="1" url="Z:\Dosis pacientes\Alertas_Intervencionismo\PRUEBAHIBRIDO\20220406-20220408.xml" htmlTables="1" htmlFormat="all"/>
  </connection>
  <connection id="431" name="20220408-20220412" type="4" refreshedVersion="0" background="1">
    <webPr xml="1" sourceData="1" url="Z:\Dosis pacientes\Alertas_Intervencionismo\PRUEBAHIBRIDO\20220408-20220412.xml" htmlTables="1" htmlFormat="all"/>
  </connection>
  <connection id="432" name="20220823-20220825" type="4" refreshedVersion="0" background="1">
    <webPr xml="1" sourceData="1" url="Z:\Dosis pacientes\Alertas_Intervencionismo\PRUEBAHIBRIDO\20220823-20220825.xml" htmlTables="1" htmlFormat="all"/>
  </connection>
  <connection id="433" name="20220829-20220830" type="4" refreshedVersion="0" background="1">
    <webPr xml="1" sourceData="1" url="Z:\Dosis pacientes\Alertas_Intervencionismo\PRUEBAHIBRIDO\20220829-20220830.xml" htmlTables="1" htmlFormat="all"/>
  </connection>
  <connection id="434" name="20220901-20220902" type="4" refreshedVersion="0" background="1">
    <webPr xml="1" sourceData="1" url="Z:\Dosis pacientes\Alertas_Intervencionismo\PRUEBAHIBRIDO\20220901-20220902.xml" htmlTables="1" htmlFormat="all"/>
  </connection>
  <connection id="435" name="20220901-202209021" type="4" refreshedVersion="0" background="1">
    <webPr xml="1" sourceData="1" url="Z:\Dosis pacientes\Alertas_Intervencionismo\PRUEBAHIBRIDO\20220901-20220902.xml" htmlTables="1" htmlFormat="all"/>
  </connection>
  <connection id="436" name="20220902-20220905" type="4" refreshedVersion="0" background="1">
    <webPr xml="1" sourceData="1" url="Z:\Dosis pacientes\Alertas_Intervencionismo\PRUEBAHIBRIDO\20220902-20220905.xml" htmlTables="1" htmlFormat="all"/>
  </connection>
  <connection id="437" name="20220914-20220915" type="4" refreshedVersion="0" background="1">
    <webPr xml="1" sourceData="1" url="Z:\Dosis pacientes\Alertas_Intervencionismo\PRUEBAHIBRIDO\20220914-20220915.xml" htmlTables="1" htmlFormat="all"/>
  </connection>
  <connection id="438" name="20220914-202209151" type="4" refreshedVersion="0" background="1">
    <webPr xml="1" sourceData="1" url="Z:\Dosis pacientes\Alertas_Intervencionismo\PRUEBAHIBRIDO\20220914-20220915.xml" htmlTables="1" htmlFormat="all"/>
  </connection>
  <connection id="439" name="20220915-20220916" type="4" refreshedVersion="0" background="1">
    <webPr xml="1" sourceData="1" url="Z:\Dosis pacientes\Alertas_Intervencionismo\PRUEBAHIBRIDO\20220915-20220916.xml" htmlTables="1" htmlFormat="all"/>
  </connection>
  <connection id="440" name="20220916-20220919" type="4" refreshedVersion="0" background="1">
    <webPr xml="1" sourceData="1" url="Z:\Dosis pacientes\Alertas_Intervencionismo\PRUEBAHIBRIDO\20220916-20220919.xml" htmlTables="1" htmlFormat="all"/>
  </connection>
  <connection id="441" name="20220916-202209191" type="4" refreshedVersion="0" background="1">
    <webPr xml="1" sourceData="1" url="Z:\Dosis pacientes\Alertas_Intervencionismo\PRUEBAHIBRIDO\20220916-20220919.xml" htmlTables="1" htmlFormat="all"/>
  </connection>
  <connection id="442" name="20220919-20220920" type="4" refreshedVersion="0" background="1">
    <webPr xml="1" sourceData="1" url="Z:\Dosis pacientes\Alertas_Intervencionismo\PRUEBAHIBRIDO\20220919-20220920.xml" htmlTables="1" htmlFormat="all"/>
  </connection>
  <connection id="443" name="20220920-20220921" type="4" refreshedVersion="0" background="1">
    <webPr xml="1" sourceData="1" url="Z:\Dosis pacientes\Alertas_Intervencionismo\PRUEBAHIBRIDO\20220920-20220921.xml" htmlTables="1" htmlFormat="all"/>
  </connection>
  <connection id="444" name="20220921-20220922" type="4" refreshedVersion="0" background="1">
    <webPr xml="1" sourceData="1" url="Z:\Dosis pacientes\Alertas_Intervencionismo\PRUEBAHIBRIDO\20220921-20220922.xml" htmlTables="1" htmlFormat="all"/>
  </connection>
  <connection id="445" name="20220922-20220923" type="4" refreshedVersion="0" background="1">
    <webPr xml="1" sourceData="1" url="Z:\Dosis pacientes\Alertas_Intervencionismo\PRUEBAHIBRIDO\20220922-20220923.xml" htmlTables="1" htmlFormat="all"/>
  </connection>
  <connection id="446" name="20220922-202209231" type="4" refreshedVersion="0" background="1">
    <webPr xml="1" sourceData="1" url="Z:\Dosis pacientes\Alertas_Intervencionismo\PRUEBAHIBRIDO\20220922-20220923.xml" htmlTables="1" htmlFormat="all"/>
  </connection>
  <connection id="447" name="20220923-20220927" type="4" refreshedVersion="0" background="1">
    <webPr xml="1" sourceData="1" url="Z:\Dosis pacientes\Alertas_Intervencionismo\PRUEBAHIBRIDO\20220923-20220927.xml" htmlTables="1" htmlFormat="all"/>
  </connection>
  <connection id="448" name="20220923-202209271" type="4" refreshedVersion="0" background="1">
    <webPr xml="1" sourceData="1" url="Z:\Dosis pacientes\Alertas_Intervencionismo\PRUEBAHIBRIDO\20220923-20220927.xml" htmlTables="1" htmlFormat="all"/>
  </connection>
  <connection id="449" name="20220927-20220929" type="4" refreshedVersion="0" background="1">
    <webPr xml="1" sourceData="1" url="Z:\Dosis pacientes\Alertas_Intervencionismo\PRUEBAHIBRIDO\20220927-20220929.xml" htmlTables="1" htmlFormat="all"/>
  </connection>
  <connection id="450" name="20220929-20220930" type="4" refreshedVersion="0" background="1">
    <webPr xml="1" sourceData="1" url="Z:\Dosis pacientes\Alertas_Intervencionismo\PRUEBAHIBRIDO\20220929-20220930.xml" htmlTables="1" htmlFormat="all"/>
  </connection>
  <connection id="451" name="20220930-20221003" type="4" refreshedVersion="0" background="1">
    <webPr xml="1" sourceData="1" url="Z:\Dosis pacientes\Alertas_Intervencionismo\PRUEBAHIBRIDO\20220930-20221003.xml" htmlTables="1" htmlFormat="all"/>
  </connection>
  <connection id="452" name="20221004-20221005" type="4" refreshedVersion="0" background="1">
    <webPr xml="1" sourceData="1" url="Z:\Dosis pacientes\Alertas_Intervencionismo\PRUEBAHIBRIDO\20221004-20221005.xml" htmlTables="1" htmlFormat="all"/>
  </connection>
  <connection id="453" name="20221005-20221006" type="4" refreshedVersion="0" background="1">
    <webPr xml="1" sourceData="1" url="Z:\Dosis pacientes\Alertas_Intervencionismo\PRUEBAHIBRIDO\20221005-20221006.xml" htmlTables="1" htmlFormat="all"/>
  </connection>
  <connection id="454" name="20221006-20221007" type="4" refreshedVersion="0" background="1">
    <webPr xml="1" sourceData="1" url="Z:\Dosis pacientes\Alertas_Intervencionismo\PRUEBAHIBRIDO\20221006-20221007.xml" htmlTables="1" htmlFormat="all"/>
  </connection>
  <connection id="455" name="20221008-20221010" type="4" refreshedVersion="0" background="1">
    <webPr xml="1" sourceData="1" url="Z:\Dosis pacientes\Alertas_Intervencionismo\PRUEBAHIBRIDO\20221008-20221010.xml" htmlTables="1" htmlFormat="all"/>
  </connection>
  <connection id="456" name="20221010-20221011" type="4" refreshedVersion="0" background="1">
    <webPr xml="1" sourceData="1" url="Z:\Dosis pacientes\Alertas_Intervencionismo\PRUEBAHIBRIDO\20221010-20221011.xml" htmlTables="1" htmlFormat="all"/>
  </connection>
  <connection id="457" name="20221010-202210111" type="4" refreshedVersion="0" background="1">
    <webPr xml="1" sourceData="1" url="Z:\Dosis pacientes\Alertas_Intervencionismo\PRUEBAHIBRIDO\20221010-20221011.xml" htmlTables="1" htmlFormat="all"/>
  </connection>
  <connection id="458" name="20221011-20221013" type="4" refreshedVersion="0" background="1">
    <webPr xml="1" sourceData="1" url="Z:\Dosis pacientes\Alertas_Intervencionismo\PRUEBAHIBRIDO\20221011-20221013.xml" htmlTables="1" htmlFormat="all"/>
  </connection>
  <connection id="459" name="20221013-20221014" type="4" refreshedVersion="0" background="1">
    <webPr xml="1" sourceData="1" url="Z:\Dosis pacientes\Alertas_Intervencionismo\PRUEBAHIBRIDO\20221013-20221014.xml" htmlTables="1" htmlFormat="all"/>
  </connection>
  <connection id="460" name="20221017-20221018" type="4" refreshedVersion="0" background="1">
    <webPr xml="1" sourceData="1" url="Z:\Dosis pacientes\Alertas_Intervencionismo\PRUEBAHIBRIDO\20221017-20221018.xml" htmlTables="1" htmlFormat="all"/>
  </connection>
  <connection id="461" name="20221018-20221019" type="4" refreshedVersion="0" background="1">
    <webPr xml="1" sourceData="1" url="Z:\Dosis pacientes\Alertas_Intervencionismo\PRUEBAHIBRIDO\20221018-20221019.xml" htmlTables="1" htmlFormat="all"/>
  </connection>
  <connection id="462" name="20221019-20221020" type="4" refreshedVersion="0" background="1">
    <webPr xml="1" sourceData="1" url="Z:\Dosis pacientes\Alertas_Intervencionismo\PRUEBAHIBRIDO\20221019-20221020.xml" htmlTables="1" htmlFormat="all"/>
  </connection>
  <connection id="463" name="20221020-20221021" type="4" refreshedVersion="0" background="1">
    <webPr xml="1" sourceData="1" url="Z:\Dosis pacientes\Alertas_Intervencionismo\PRUEBAHIBRIDO\20221020-20221021.xml" htmlTables="1" htmlFormat="all"/>
  </connection>
  <connection id="464" name="20221021-20221024" type="4" refreshedVersion="0" background="1">
    <webPr xml="1" sourceData="1" url="Z:\Dosis pacientes\Alertas_Intervencionismo\PRUEBAHIBRIDO\20221021-20221024.xml" htmlTables="1" htmlFormat="all"/>
  </connection>
  <connection id="465" name="20221024-20221025" type="4" refreshedVersion="0" background="1">
    <webPr xml="1" sourceData="1" url="Z:\Dosis pacientes\Alertas_Intervencionismo\PRUEBAHIBRIDO\20221024-20221025.xml" htmlTables="1" htmlFormat="all"/>
  </connection>
  <connection id="466" name="20221025-20221026" type="4" refreshedVersion="0" background="1">
    <webPr xml="1" sourceData="1" url="Z:\Dosis pacientes\Alertas_Intervencionismo\PRUEBAHIBRIDO\20221025-20221026.xml" htmlTables="1" htmlFormat="all"/>
  </connection>
  <connection id="467" name="20221026-20221027" type="4" refreshedVersion="0" background="1">
    <webPr xml="1" sourceData="1" url="Z:\Dosis pacientes\Alertas_Intervencionismo\PRUEBAHIBRIDO\20221026-20221027.xml" htmlTables="1" htmlFormat="all"/>
  </connection>
  <connection id="468" name="20221026-202210271" type="4" refreshedVersion="0" background="1">
    <webPr xml="1" sourceData="1" url="Z:\Dosis pacientes\Alertas_Intervencionismo\PRUEBAHIBRIDO\20221026-20221027.xml" htmlTables="1" htmlFormat="all"/>
  </connection>
  <connection id="469" name="20221027-20221031" type="4" refreshedVersion="0" background="1">
    <webPr xml="1" sourceData="1" url="Z:\Dosis pacientes\Alertas_Intervencionismo\PRUEBAHIBRIDO\20221027-20221031.xml" htmlTables="1" htmlFormat="all"/>
  </connection>
  <connection id="470" name="20221027-202210311" type="4" refreshedVersion="0" background="1">
    <webPr xml="1" sourceData="1" url="Z:\Dosis pacientes\Alertas_Intervencionismo\PRUEBAHIBRIDO\20221027-20221031.xml" htmlTables="1" htmlFormat="all"/>
  </connection>
  <connection id="471" name="20221031-20221102" type="4" refreshedVersion="0" background="1">
    <webPr xml="1" sourceData="1" url="Z:\Dosis pacientes\Alertas_Intervencionismo\PRUEBAHIBRIDO\20221031-20221102.xml" htmlTables="1" htmlFormat="all"/>
  </connection>
  <connection id="472" name="20221102-20221103" type="4" refreshedVersion="0" background="1">
    <webPr xml="1" sourceData="1" url="Z:\Dosis pacientes\Alertas_Intervencionismo\PRUEBAHIBRIDO\20221102-20221103.xml" htmlTables="1" htmlFormat="all"/>
  </connection>
  <connection id="473" name="20221103-20221104" type="4" refreshedVersion="0" background="1">
    <webPr xml="1" sourceData="1" url="Z:\Dosis pacientes\Alertas_Intervencionismo\PRUEBAHIBRIDO\20221103-20221104.xml" htmlTables="1" htmlFormat="all"/>
  </connection>
  <connection id="474" name="20221103-202211041" type="4" refreshedVersion="0" background="1">
    <webPr xml="1" sourceData="1" url="Z:\Dosis pacientes\Alertas_Intervencionismo\PRUEBAHIBRIDO\20221103-20221104.xml" htmlTables="1" htmlFormat="all"/>
  </connection>
  <connection id="475" name="20221103-202211042" type="4" refreshedVersion="0" background="1">
    <webPr xml="1" sourceData="1" url="Z:\Dosis pacientes\Alertas_Intervencionismo\PRUEBAHIBRIDO\20221103-20221104.xml" htmlTables="1" htmlFormat="all"/>
  </connection>
  <connection id="476" name="20221103-202211043" type="4" refreshedVersion="0" background="1">
    <webPr xml="1" sourceData="1" url="Z:\Dosis pacientes\Alertas_Intervencionismo\PRUEBAHIBRIDO\20221103-20221104.xml" htmlTables="1" htmlFormat="all"/>
  </connection>
  <connection id="477" name="20221103-202211044" type="4" refreshedVersion="0" background="1">
    <webPr xml="1" sourceData="1" url="Z:\Dosis pacientes\Alertas_Intervencionismo\PRUEBAHIBRIDO\20221103-20221104.xml" htmlTables="1" htmlFormat="all"/>
  </connection>
  <connection id="478" name="20221103-202211045" type="4" refreshedVersion="0" background="1">
    <webPr xml="1" sourceData="1" url="Z:\Dosis pacientes\Alertas_Intervencionismo\PRUEBAHIBRIDO\20221103-20221104.xml" htmlTables="1" htmlFormat="all"/>
  </connection>
  <connection id="479" name="20221104-20221107" type="4" refreshedVersion="0" background="1">
    <webPr xml="1" sourceData="1" url="Z:\Dosis pacientes\Alertas_Intervencionismo\PRUEBAHIBRIDO\20221104-20221107.xml" htmlTables="1" htmlFormat="all"/>
  </connection>
  <connection id="480" name="20221104-202211071" type="4" refreshedVersion="0" background="1">
    <webPr xml="1" sourceData="1" url="Z:\Dosis pacientes\Alertas_Intervencionismo\PRUEBAHIBRIDO\20221104-20221107.xml" htmlTables="1" htmlFormat="all"/>
  </connection>
  <connection id="481" name="20221104-202211072" type="4" refreshedVersion="0" background="1">
    <webPr xml="1" sourceData="1" url="Z:\Dosis pacientes\Alertas_Intervencionismo\PRUEBAHIBRIDO\20221104-20221107.xml" htmlTables="1" htmlFormat="all"/>
  </connection>
  <connection id="482" name="20221107-20221108" type="4" refreshedVersion="0" background="1">
    <webPr xml="1" sourceData="1" url="Z:\Dosis pacientes\Alertas_Intervencionismo\PRUEBAHIBRIDO\20221107-20221108.xml" htmlTables="1" htmlFormat="all"/>
  </connection>
  <connection id="483" name="20221108-20221109" type="4" refreshedVersion="0" background="1">
    <webPr xml="1" sourceData="1" url="Z:\Dosis pacientes\Alertas_Intervencionismo\PRUEBAHIBRIDO\20221108-20221109.xml" htmlTables="1" htmlFormat="all"/>
  </connection>
  <connection id="484" name="20221109-20221110" type="4" refreshedVersion="0" background="1">
    <webPr xml="1" sourceData="1" url="Z:\Dosis pacientes\Alertas_Intervencionismo\PRUEBAHIBRIDO\20221109-20221110.xml" htmlTables="1" htmlFormat="all"/>
  </connection>
  <connection id="485" name="20221110-20221111" type="4" refreshedVersion="0" background="1">
    <webPr xml="1" sourceData="1" url="Z:\Dosis pacientes\Alertas_Intervencionismo\PRUEBAHIBRIDO\20221110-20221111.xml" htmlTables="1" htmlFormat="all"/>
  </connection>
  <connection id="486" name="20221111-20221114" type="4" refreshedVersion="0" background="1">
    <webPr xml="1" sourceData="1" url="Z:\Dosis pacientes\Alertas_Intervencionismo\PRUEBAHIBRIDO\20221111-20221114.xml" htmlTables="1" htmlFormat="all"/>
  </connection>
  <connection id="487" name="20221114-20221115" type="4" refreshedVersion="0" background="1">
    <webPr xml="1" sourceData="1" url="Z:\Dosis pacientes\Alertas_Intervencionismo\PRUEBAHIBRIDO\20221114-20221115.xml" htmlTables="1" htmlFormat="all"/>
  </connection>
  <connection id="488" name="20221115-20221116" type="4" refreshedVersion="0" background="1">
    <webPr xml="1" sourceData="1" url="Z:\Dosis pacientes\Alertas_Intervencionismo\PRUEBAHIBRIDO\20221115-20221116.xml" htmlTables="1" htmlFormat="all"/>
  </connection>
  <connection id="489" name="20221116-20221117" type="4" refreshedVersion="0" background="1">
    <webPr xml="1" sourceData="1" url="Z:\Dosis pacientes\Alertas_Intervencionismo\PRUEBAHIBRIDO\20221116-20221117.xml" htmlTables="1" htmlFormat="all"/>
  </connection>
  <connection id="490" name="20221117-20221118" type="4" refreshedVersion="0" background="1">
    <webPr xml="1" sourceData="1" url="Z:\Dosis pacientes\Alertas_Intervencionismo\PRUEBAHIBRIDO\20221117-20221118.xml" htmlTables="1" htmlFormat="all"/>
  </connection>
  <connection id="491" name="20221122-20221123" type="4" refreshedVersion="0" background="1">
    <webPr xml="1" sourceData="1" url="Z:\Dosis pacientes\Alertas_Intervencionismo\PRUEBAHIBRIDO\20221122-20221123.xml" htmlTables="1" htmlFormat="all"/>
  </connection>
  <connection id="492" name="20221122-202211231" type="4" refreshedVersion="0" background="1">
    <webPr xml="1" sourceData="1" url="Z:\Dosis pacientes\Alertas_Intervencionismo\PRUEBAHIBRIDO\20221122-20221123.xml" htmlTables="1" htmlFormat="all"/>
  </connection>
  <connection id="493" name="20221123-20221124" type="4" refreshedVersion="0" background="1">
    <webPr xml="1" sourceData="1" url="Z:\Dosis pacientes\Alertas_Intervencionismo\PRUEBAHIBRIDO\20221123-20221124.xml" htmlTables="1" htmlFormat="all"/>
  </connection>
  <connection id="494" name="20221124-20221125" type="4" refreshedVersion="0" background="1">
    <webPr xml="1" sourceData="1" url="Z:\Dosis pacientes\Alertas_Intervencionismo\PRUEBAHIBRIDO\20221124-20221125.xml" htmlTables="1" htmlFormat="all"/>
  </connection>
  <connection id="495" name="20221125-20221128" type="4" refreshedVersion="0" background="1">
    <webPr xml="1" sourceData="1" url="Z:\Dosis pacientes\Alertas_Intervencionismo\PRUEBAHIBRIDO\20221125-20221128.xml" htmlTables="1" htmlFormat="all"/>
  </connection>
  <connection id="496" name="20221128-20221129" type="4" refreshedVersion="0" background="1">
    <webPr xml="1" sourceData="1" url="Z:\Dosis pacientes\Alertas_Intervencionismo\PRUEBAHIBRIDO\20221128-20221129.xml" htmlTables="1" htmlFormat="all"/>
  </connection>
  <connection id="497" name="20221129-20221130" type="4" refreshedVersion="0" background="1">
    <webPr xml="1" sourceData="1" url="Z:\Dosis pacientes\Alertas_Intervencionismo\PRUEBAHIBRIDO\20221129-20221130.xml" htmlTables="1" htmlFormat="all"/>
  </connection>
  <connection id="498" name="20221130-20221201" type="4" refreshedVersion="0" background="1">
    <webPr xml="1" sourceData="1" url="Z:\Dosis pacientes\Alertas_Intervencionismo\PRUEBAHIBRIDO\20221130-20221201.xml" htmlTables="1" htmlFormat="all"/>
  </connection>
  <connection id="499" name="20221201-20221202" type="4" refreshedVersion="0" background="1">
    <webPr xml="1" sourceData="1" url="Z:\Dosis pacientes\Alertas_Intervencionismo\PRUEBAHIBRIDO\20221201-20221202.xml" htmlTables="1" htmlFormat="all"/>
  </connection>
  <connection id="500" name="20221201-202212021" type="4" refreshedVersion="0" background="1">
    <webPr xml="1" sourceData="1" url="Z:\Dosis pacientes\Alertas_Intervencionismo\PRUEBAHIBRIDO\20221201-20221202.xml" htmlTables="1" htmlFormat="all"/>
  </connection>
  <connection id="501" name="20221201-202212022" type="4" refreshedVersion="0" background="1">
    <webPr xml="1" sourceData="1" url="Z:\Dosis pacientes\Alertas_Intervencionismo\PRUEBAHIBRIDO\20221201-20221202.xml" htmlTables="1" htmlFormat="all"/>
  </connection>
  <connection id="502" name="20221201-202212023" type="4" refreshedVersion="0" background="1">
    <webPr xml="1" sourceData="1" url="Z:\Dosis pacientes\Alertas_Intervencionismo\PRUEBAHIBRIDO\20221201-20221202.xml" htmlTables="1" htmlFormat="all"/>
  </connection>
  <connection id="503" name="20221201-202212024" type="4" refreshedVersion="0" background="1">
    <webPr xml="1" sourceData="1" url="Z:\Dosis pacientes\Alertas_Intervencionismo\PRUEBAHIBRIDO\20221201-20221202.xml" htmlTables="1" htmlFormat="all"/>
  </connection>
  <connection id="504" name="20221201-202212025" type="4" refreshedVersion="0" background="1">
    <webPr xml="1" sourceData="1" url="Z:\Dosis pacientes\Alertas_Intervencionismo\PRUEBAHIBRIDO\20221201-20221202.xml" htmlTables="1" htmlFormat="all"/>
  </connection>
  <connection id="505" name="20221202-20221212" type="4" refreshedVersion="0" background="1">
    <webPr xml="1" sourceData="1" url="Z:\Dosis pacientes\Alertas_Intervencionismo\PRUEBAHIBRIDO\20221202-20221212.xml" htmlTables="1" htmlFormat="all"/>
  </connection>
  <connection id="506" name="20221212-20221213" type="4" refreshedVersion="0" background="1">
    <webPr xml="1" sourceData="1" url="Z:\Dosis pacientes\Alertas_Intervencionismo\PRUEBAHIBRIDO\20221212-20221213.xml" htmlTables="1" htmlFormat="all"/>
  </connection>
  <connection id="507" name="20221213-20221214" type="4" refreshedVersion="0" background="1">
    <webPr xml="1" sourceData="1" url="Z:\Dosis pacientes\Alertas_Intervencionismo\PRUEBAHIBRIDO\20221213-20221214.xml" htmlTables="1" htmlFormat="all"/>
  </connection>
  <connection id="508" name="20221216-20221219" type="4" refreshedVersion="0" background="1">
    <webPr xml="1" sourceData="1" url="Z:\Dosis pacientes\Alertas_Intervencionismo\PRUEBAHIBRIDO\20221216-20221219.xml" htmlTables="1" htmlFormat="all"/>
  </connection>
  <connection id="509" name="20221216-202212191" type="4" refreshedVersion="0" background="1">
    <webPr xml="1" sourceData="1" url="Z:\Dosis pacientes\Alertas_Intervencionismo\PRUEBAHIBRIDO\20221216-20221219.xml" htmlTables="1" htmlFormat="all"/>
  </connection>
  <connection id="510" name="20221219-20221221" type="4" refreshedVersion="0" background="1">
    <webPr xml="1" sourceData="1" url="Z:\Dosis pacientes\Alertas_Intervencionismo\PRUEBAHIBRIDO\20221219-20221221.xml" htmlTables="1" htmlFormat="all"/>
  </connection>
  <connection id="511" name="20221227-20221228" type="4" refreshedVersion="0" background="1">
    <webPr xml="1" sourceData="1" url="Z:\Dosis pacientes\Alertas_Intervencionismo\PRUEBAHIBRIDO\20221227-20221228.xml" htmlTables="1" htmlFormat="all"/>
  </connection>
  <connection id="512" name="20221227-202212281" type="4" refreshedVersion="0" background="1">
    <webPr xml="1" sourceData="1" url="Z:\Dosis pacientes\Alertas_Intervencionismo\PRUEBAHIBRIDO\20221227-20221228.xml" htmlTables="1" htmlFormat="all"/>
  </connection>
  <connection id="513" name="20221227-202212282" type="4" refreshedVersion="0" background="1">
    <webPr xml="1" sourceData="1" url="Z:\Dosis pacientes\Alertas_Intervencionismo\PRUEBAHIBRIDO\20221227-20221228.xml" htmlTables="1" htmlFormat="all"/>
  </connection>
  <connection id="514" name="20221228-20221229" type="4" refreshedVersion="0" background="1">
    <webPr xml="1" sourceData="1" url="Z:\Dosis pacientes\Alertas_Intervencionismo\PRUEBAHIBRIDO\20221228-20221229.xml" htmlTables="1" htmlFormat="all"/>
  </connection>
  <connection id="515" name="20230105-20230109" type="4" refreshedVersion="0" background="1">
    <webPr xml="1" sourceData="1" url="Z:\Dosis pacientes\Alertas_Intervencionismo\PRUEBAHIBRIDO\20230105-20230109.xml" htmlTables="1" htmlFormat="all"/>
  </connection>
  <connection id="516" name="20230109-20230110" type="4" refreshedVersion="0" background="1">
    <webPr xml="1" sourceData="1" url="Z:\Dosis pacientes\Alertas_Intervencionismo\PRUEBAHIBRIDO\20230109-20230110.xml" htmlTables="1" htmlFormat="all"/>
  </connection>
  <connection id="517" name="20230109-202301101" type="4" refreshedVersion="0" background="1">
    <webPr xml="1" sourceData="1" url="Z:\Dosis pacientes\Alertas_Intervencionismo\PRUEBAHIBRIDO\20230109-20230110.xml" htmlTables="1" htmlFormat="all"/>
  </connection>
  <connection id="518" name="20230110-20230111" type="4" refreshedVersion="0" background="1">
    <webPr xml="1" sourceData="1" url="Z:\Dosis pacientes\Alertas_Intervencionismo\PRUEBAHIBRIDO\20230110-20230111.xml" htmlTables="1" htmlFormat="all"/>
  </connection>
  <connection id="519" name="20230111-20230112" type="4" refreshedVersion="0" background="1">
    <webPr xml="1" sourceData="1" url="Z:\Dosis pacientes\Alertas_Intervencionismo\PRUEBAHIBRIDO\20230111-20230112.xml" htmlTables="1" htmlFormat="all"/>
  </connection>
  <connection id="520" name="20230116-20230117" type="4" refreshedVersion="0" background="1">
    <webPr xml="1" sourceData="1" url="Z:\Dosis pacientes\Alertas_Intervencionismo\PRUEBAHIBRIDO\20230116-20230117.xml" htmlTables="1" htmlFormat="all"/>
  </connection>
  <connection id="521" name="20230116-202301171" type="4" refreshedVersion="0" background="1">
    <webPr xml="1" sourceData="1" url="Z:\Dosis pacientes\Alertas_Intervencionismo\PRUEBAHIBRIDO\20230116-20230117.xml" htmlTables="1" htmlFormat="all"/>
  </connection>
  <connection id="522" name="20230117-20230118" type="4" refreshedVersion="0" background="1">
    <webPr xml="1" sourceData="1" url="Z:\Dosis pacientes\Alertas_Intervencionismo\PRUEBAHIBRIDO\20230117-20230118.xml" htmlTables="1" htmlFormat="all"/>
  </connection>
  <connection id="523" name="20230117-202301181" type="4" refreshedVersion="0" background="1">
    <webPr xml="1" sourceData="1" url="Z:\Dosis pacientes\Alertas_Intervencionismo\PRUEBAHIBRIDO\20230117-20230118.xml" htmlTables="1" htmlFormat="all"/>
  </connection>
  <connection id="524" name="20230118-20230120" type="4" refreshedVersion="0" background="1">
    <webPr xml="1" sourceData="1" url="Z:\Dosis pacientes\Alertas_Intervencionismo\PRUEBAHIBRIDO\20230118-20230120.xml" htmlTables="1" htmlFormat="all"/>
  </connection>
  <connection id="525" name="20230120-20230123" type="4" refreshedVersion="0" background="1">
    <webPr xml="1" sourceData="1" url="Z:\Dosis pacientes\Alertas_Intervencionismo\PRUEBAHIBRIDO\20230120-20230123.xml" htmlTables="1" htmlFormat="all"/>
  </connection>
  <connection id="526" name="20230124-20230125" type="4" refreshedVersion="0" background="1">
    <webPr xml="1" sourceData="1" url="Z:\Dosis pacientes\Alertas_Intervencionismo\PRUEBAHIBRIDO\20230124-20230125.xml" htmlTables="1" htmlFormat="all"/>
  </connection>
  <connection id="527" name="20230124-202301251" type="4" refreshedVersion="0" background="1">
    <webPr xml="1" sourceData="1" url="Z:\Dosis pacientes\Alertas_Intervencionismo\PRUEBAHIBRIDO\20230124-20230125.xml" htmlTables="1" htmlFormat="all"/>
  </connection>
  <connection id="528" name="20230124-202301252" type="4" refreshedVersion="0" background="1">
    <webPr xml="1" sourceData="1" url="Z:\Dosis pacientes\Alertas_Intervencionismo\PRUEBAHIBRIDO\20230124-20230125.xml" htmlTables="1" htmlFormat="all"/>
  </connection>
  <connection id="529" name="20230124-202301253" type="4" refreshedVersion="0" background="1">
    <webPr xml="1" sourceData="1" url="Z:\Dosis pacientes\Alertas_Intervencionismo\PRUEBAHIBRIDO\20230124-20230125.xml" htmlTables="1" htmlFormat="all"/>
  </connection>
  <connection id="530" name="20230125-20230130" type="4" refreshedVersion="0" background="1">
    <webPr xml="1" sourceData="1" url="Z:\Dosis pacientes\Alertas_Intervencionismo\PRUEBAHIBRIDO\20230125-20230130.xml" htmlTables="1" htmlFormat="all"/>
  </connection>
  <connection id="531" name="20230125-202301301" type="4" refreshedVersion="0" background="1">
    <webPr xml="1" sourceData="1" url="Z:\Dosis pacientes\Alertas_Intervencionismo\PRUEBAHIBRIDO\20230125-20230130.xml" htmlTables="1" htmlFormat="all"/>
  </connection>
  <connection id="532" name="20230130-20230201" type="4" refreshedVersion="0" background="1">
    <webPr xml="1" sourceData="1" url="Z:\Dosis pacientes\Alertas_Intervencionismo\PRUEBAHIBRIDO\20230130-20230201.xml" htmlTables="1" htmlFormat="all"/>
  </connection>
  <connection id="533" name="20230201-20230202" type="4" refreshedVersion="0" background="1">
    <webPr xml="1" sourceData="1" url="Z:\Dosis pacientes\Alertas_Intervencionismo\PRUEBAHIBRIDO\20230201-20230202.xml" htmlTables="1" htmlFormat="all"/>
  </connection>
  <connection id="534" name="20230201-202302021" type="4" refreshedVersion="0" background="1">
    <webPr xml="1" sourceData="1" url="Z:\Dosis pacientes\Alertas_Intervencionismo\PRUEBAHIBRIDO\20230201-20230202.xml" htmlTables="1" htmlFormat="all"/>
  </connection>
  <connection id="535" name="20230206-20230206" type="4" refreshedVersion="0" background="1">
    <webPr xml="1" sourceData="1" url="Z:\Dosis pacientes\Alertas_Intervencionismo\PRUEBAHIBRIDO\20230206-20230206.xml" htmlTables="1" htmlFormat="all"/>
  </connection>
  <connection id="536" name="20230206-202302061" type="4" refreshedVersion="0" background="1">
    <webPr xml="1" sourceData="1" url="Z:\Dosis pacientes\Alertas_Intervencionismo\PRUEBAHIBRIDO\20230206-20230206.xml" htmlTables="1" htmlFormat="all"/>
  </connection>
  <connection id="537" name="20230206-202302062" type="4" refreshedVersion="0" background="1">
    <webPr xml="1" sourceData="1" url="Z:\Dosis pacientes\Alertas_Intervencionismo\PRUEBAHIBRIDO\20230206-20230206.xml" htmlTables="1" htmlFormat="all"/>
  </connection>
  <connection id="538" name="20230206-20230209" type="4" refreshedVersion="0" background="1">
    <webPr xml="1" sourceData="1" url="Z:\Dosis pacientes\Alertas_Intervencionismo\PRUEBAHIBRIDO\20230206-20230209.xml" htmlTables="1" htmlFormat="all"/>
  </connection>
  <connection id="539" name="20230206-202302091" type="4" refreshedVersion="0" background="1">
    <webPr xml="1" sourceData="1" url="Z:\Dosis pacientes\Alertas_Intervencionismo\PRUEBAHIBRIDO\20230206-20230209.xml" htmlTables="1" htmlFormat="all"/>
  </connection>
  <connection id="540" name="20230209-20230213" type="4" refreshedVersion="0" background="1">
    <webPr xml="1" sourceData="1" url="Z:\Dosis pacientes\Alertas_Intervencionismo\PRUEBAHIBRIDO\20230209-20230213.xml" htmlTables="1" htmlFormat="all"/>
  </connection>
  <connection id="541" name="20230213-20230214" type="4" refreshedVersion="0" background="1">
    <webPr xml="1" sourceData="1" url="Z:\Dosis pacientes\Alertas_Intervencionismo\PRUEBAHIBRIDO\20230213-20230214.xml" htmlTables="1" htmlFormat="all"/>
  </connection>
  <connection id="542" name="20230214-20230215" type="4" refreshedVersion="0" background="1">
    <webPr xml="1" sourceData="1" url="Z:\Dosis pacientes\Alertas_Intervencionismo\PRUEBAHIBRIDO\20230214-20230215.xml" htmlTables="1" htmlFormat="all"/>
  </connection>
  <connection id="543" name="20230214-202302151" type="4" refreshedVersion="0" background="1">
    <webPr xml="1" sourceData="1" url="Z:\Dosis pacientes\Alertas_Intervencionismo\PRUEBAHIBRIDO\20230214-20230215.xml" htmlTables="1" htmlFormat="all"/>
  </connection>
  <connection id="544" name="20230215-20230217" type="4" refreshedVersion="0" background="1">
    <webPr xml="1" sourceData="1" url="Z:\Dosis pacientes\Alertas_Intervencionismo\PRUEBAHIBRIDO\20230215-20230217.xml" htmlTables="1" htmlFormat="all"/>
  </connection>
  <connection id="545" name="20230217-20230220" type="4" refreshedVersion="0" background="1">
    <webPr xml="1" sourceData="1" url="Z:\Dosis pacientes\Alertas_Intervencionismo\PRUEBAHIBRIDO\20230217-20230220.xml" htmlTables="1" htmlFormat="all"/>
  </connection>
  <connection id="546" name="20230217-202302201" type="4" refreshedVersion="0" background="1">
    <webPr xml="1" sourceData="1" url="Z:\Dosis pacientes\Alertas_Intervencionismo\PRUEBAHIBRIDO\20230217-20230220.xml" htmlTables="1" htmlFormat="all"/>
  </connection>
  <connection id="547" name="20230220-20230222" type="4" refreshedVersion="0" background="1">
    <webPr xml="1" sourceData="1" url="Z:\Dosis pacientes\Alertas_Intervencionismo\PRUEBAHIBRIDO\20230220-20230222.xml" htmlTables="1" htmlFormat="all"/>
  </connection>
  <connection id="548" name="20230222-20230223" type="4" refreshedVersion="0" background="1">
    <webPr xml="1" sourceData="1" url="Z:\Dosis pacientes\Alertas_Intervencionismo\PRUEBAHIBRIDO\20230222-20230223.xml" htmlTables="1" htmlFormat="all"/>
  </connection>
  <connection id="549" name="20230223-20230224" type="4" refreshedVersion="0" background="1">
    <webPr xml="1" sourceData="1" url="Z:\Dosis pacientes\Alertas_Intervencionismo\PRUEBAHIBRIDO\20230223-20230224.xml" htmlTables="1" htmlFormat="all"/>
  </connection>
  <connection id="550" name="20230226-20230227" type="4" refreshedVersion="0" background="1">
    <webPr xml="1" sourceData="1" url="Z:\Dosis pacientes\Alertas_Intervencionismo\PRUEBAHIBRIDO\20230226-20230227.xml" htmlTables="1" htmlFormat="all"/>
  </connection>
  <connection id="551" name="20230307-20230308" type="4" refreshedVersion="0" background="1">
    <webPr xml="1" sourceData="1" url="Z:\Dosis pacientes\Alertas_Intervencionismo\PRUEBAHIBRIDO\20230307-20230308.xml" htmlTables="1" htmlFormat="all"/>
  </connection>
  <connection id="552" name="20230307-202303081" type="4" refreshedVersion="0" background="1">
    <webPr xml="1" sourceData="1" url="Z:\Dosis pacientes\Alertas_Intervencionismo\PRUEBAHIBRIDO\20230307-20230308.xml" htmlTables="1" htmlFormat="all"/>
  </connection>
  <connection id="553" name="20230309-20230310" type="4" refreshedVersion="0" background="1">
    <webPr xml="1" sourceData="1" url="Z:\Dosis pacientes\Alertas_Intervencionismo\PRUEBAHIBRIDO\20230309-20230310.xml" htmlTables="1" htmlFormat="all"/>
  </connection>
  <connection id="554" name="20230312-20230313" type="4" refreshedVersion="0" background="1">
    <webPr xml="1" sourceData="1" url="Z:\Dosis pacientes\Alertas_Intervencionismo\PRUEBAHIBRIDO\20230312-20230313.xml" htmlTables="1" htmlFormat="all"/>
  </connection>
  <connection id="555" name="20230313-20230315" type="4" refreshedVersion="0" background="1">
    <webPr xml="1" sourceData="1" url="Z:\Dosis pacientes\Alertas_Intervencionismo\PRUEBAHIBRIDO\20230313-20230315.xml" htmlTables="1" htmlFormat="all"/>
  </connection>
  <connection id="556" name="20230315-20230316" type="4" refreshedVersion="0" background="1">
    <webPr xml="1" sourceData="1" url="Z:\Dosis pacientes\Alertas_Intervencionismo\PRUEBAHIBRIDO\20230315-20230316.xml" htmlTables="1" htmlFormat="all"/>
  </connection>
  <connection id="557" name="20230402-20230403" type="4" refreshedVersion="0" background="1">
    <webPr xml="1" sourceData="1" url="Z:\Dosis pacientes\Alertas_Intervencionismo\PRUEBAHIBRIDO\20230402-20230403.xml" htmlTables="1" htmlFormat="all"/>
  </connection>
  <connection id="558" name="20230405-20230410" type="4" refreshedVersion="0" background="1">
    <webPr xml="1" sourceData="1" url="Z:\Dosis pacientes\Alertas_Intervencionismo\PRUEBAHIBRIDO\20230405-20230410.xml" htmlTables="1" htmlFormat="all"/>
  </connection>
  <connection id="559" name="20230410-20230411" type="4" refreshedVersion="0" background="1">
    <webPr xml="1" sourceData="1" url="Z:\Dosis pacientes\Alertas_Intervencionismo\PRUEBAHIBRIDO\20230410-20230411.xml" htmlTables="1" htmlFormat="all"/>
  </connection>
  <connection id="560" name="20230410-202304111" type="4" refreshedVersion="0" background="1">
    <webPr xml="1" sourceData="1" url="Z:\Dosis pacientes\Alertas_Intervencionismo\PRUEBAHIBRIDO\20230410-20230411.xml" htmlTables="1" htmlFormat="all"/>
  </connection>
  <connection id="561" name="20230411-20230413" type="4" refreshedVersion="0" background="1">
    <webPr xml="1" sourceData="1" url="Z:\Dosis pacientes\Alertas_Intervencionismo\PRUEBAHIBRIDO\20230411-20230413.xml" htmlTables="1" htmlFormat="all"/>
  </connection>
  <connection id="562" name="20230416-20230418" type="4" refreshedVersion="0" background="1">
    <webPr xml="1" sourceData="1" url="Z:\Dosis pacientes\Alertas_Intervencionismo\PRUEBAHIBRIDO\20230416-20230418.xml" htmlTables="1" htmlFormat="all"/>
  </connection>
  <connection id="563" name="20230416-202304181" type="4" refreshedVersion="0" background="1">
    <webPr xml="1" sourceData="1" url="Z:\Dosis pacientes\Alertas_Intervencionismo\PRUEBAHIBRIDO\20230416-20230418.xml" htmlTables="1" htmlFormat="all"/>
  </connection>
  <connection id="564" name="20230418-20230419" type="4" refreshedVersion="0" background="1">
    <webPr xml="1" sourceData="1" url="Z:\Dosis pacientes\Alertas_Intervencionismo\PRUEBAHIBRIDO\20230418-20230419.xml" htmlTables="1" htmlFormat="all"/>
  </connection>
  <connection id="565" name="20230419-20230420" type="4" refreshedVersion="0" background="1">
    <webPr xml="1" sourceData="1" url="Z:\Dosis pacientes\Alertas_Intervencionismo\PRUEBAHIBRIDO\20230419-20230420.xml" htmlTables="1" htmlFormat="all"/>
  </connection>
  <connection id="566" name="20230425-20230426" type="4" refreshedVersion="0" background="1">
    <webPr xml="1" sourceData="1" url="Z:\Dosis pacientes\Alertas_Intervencionismo\PRUEBAHIBRIDO\20230425-20230426.xml" htmlTables="1" htmlFormat="all"/>
  </connection>
  <connection id="567" name="20230425-202304261" type="4" refreshedVersion="0" background="1">
    <webPr xml="1" sourceData="1" url="Z:\Dosis pacientes\Alertas_Intervencionismo\PRUEBAHIBRIDO\20230425-20230426.xml" htmlTables="1" htmlFormat="all"/>
  </connection>
  <connection id="568" name="20230425-202304262" type="4" refreshedVersion="0" background="1">
    <webPr xml="1" sourceData="1" url="Z:\Dosis pacientes\Alertas_Intervencionismo\PRUEBAHIBRIDO\20230425-20230426.xml" htmlTables="1" htmlFormat="all"/>
  </connection>
  <connection id="569" name="20230426-20230503" type="4" refreshedVersion="0" background="1">
    <webPr xml="1" sourceData="1" url="Z:\Dosis pacientes\Alertas_Intervencionismo\PRUEBAHIBRIDO\20230426-20230503.xml" htmlTables="1" htmlFormat="all"/>
  </connection>
  <connection id="570" name="20230503-20230504" type="4" refreshedVersion="0" background="1">
    <webPr xml="1" sourceData="1" url="Z:\Dosis pacientes\Alertas_Intervencionismo\PRUEBAHIBRIDO\20230503-20230504.xml" htmlTables="1" htmlFormat="all"/>
  </connection>
  <connection id="571" name="20230504-20230505" type="4" refreshedVersion="0" background="1">
    <webPr xml="1" sourceData="1" url="Z:\Dosis pacientes\Alertas_Intervencionismo\PRUEBAHIBRIDO\20230504-20230505.xml" htmlTables="1" htmlFormat="all"/>
  </connection>
  <connection id="572" name="20230505-20230508" type="4" refreshedVersion="0" background="1">
    <webPr xml="1" sourceData="1" url="Z:\Dosis pacientes\Alertas_Intervencionismo\PRUEBAHIBRIDO\20230505-20230508.xml" htmlTables="1" htmlFormat="all"/>
  </connection>
  <connection id="573" name="20230508-20230509" type="4" refreshedVersion="0" background="1">
    <webPr xml="1" sourceData="1" url="Z:\Dosis pacientes\Alertas_Intervencionismo\PRUEBAHIBRIDO\20230508-20230509.xml" htmlTables="1" htmlFormat="all"/>
  </connection>
  <connection id="574" name="20230509-20230510" type="4" refreshedVersion="0" background="1">
    <webPr xml="1" sourceData="1" url="Z:\Dosis pacientes\Alertas_Intervencionismo\PRUEBAHIBRIDO\20230509-20230510.xml" htmlTables="1" htmlFormat="all"/>
  </connection>
  <connection id="575" name="20230510-20230511" type="4" refreshedVersion="0" background="1">
    <webPr xml="1" sourceData="1" url="Z:\Dosis pacientes\Alertas_Intervencionismo\PRUEBAHIBRIDO\20230510-20230511.xml" htmlTables="1" htmlFormat="all"/>
  </connection>
  <connection id="576" name="20230515-20230517" type="4" refreshedVersion="0" background="1">
    <webPr xml="1" sourceData="1" url="Z:\Dosis pacientes\Alertas_Intervencionismo\PRUEBAHIBRIDO\20230515-20230517.xml" htmlTables="1" htmlFormat="all"/>
  </connection>
  <connection id="577" name="20230517-20230518" type="4" refreshedVersion="0" background="1">
    <webPr xml="1" sourceData="1" url="Z:\Dosis pacientes\Alertas_Intervencionismo\PRUEBAHIBRIDO\20230517-20230518.xml" htmlTables="1" htmlFormat="all"/>
  </connection>
  <connection id="578" name="20230522-20230523" type="4" refreshedVersion="0" background="1">
    <webPr xml="1" sourceData="1" url="Z:\Dosis pacientes\Alertas_Intervencionismo\PRUEBAHIBRIDO\20230522-20230523.xml" htmlTables="1" htmlFormat="all"/>
  </connection>
  <connection id="579" name="20230523-20230524" type="4" refreshedVersion="0" background="1">
    <webPr xml="1" sourceData="1" url="Z:\Dosis pacientes\Alertas_Intervencionismo\PRUEBAHIBRIDO\20230523-20230524.xml" htmlTables="1" htmlFormat="all"/>
  </connection>
  <connection id="580" name="20230524-20230525" type="4" refreshedVersion="0" background="1">
    <webPr xml="1" sourceData="1" url="Z:\Dosis pacientes\Alertas_Intervencionismo\PRUEBAHIBRIDO\20230524-20230525.xml" htmlTables="1" htmlFormat="all"/>
  </connection>
  <connection id="581" name="20230528-20230529" type="4" refreshedVersion="0" background="1">
    <webPr xml="1" sourceData="1" url="Z:\Dosis pacientes\Alertas_Intervencionismo\PRUEBAHIBRIDO\20230528-20230529.xml" htmlTables="1" htmlFormat="all"/>
  </connection>
  <connection id="582" name="20230529-20230530" type="4" refreshedVersion="0" background="1">
    <webPr xml="1" sourceData="1" url="Z:\Dosis pacientes\Alertas_Intervencionismo\PRUEBAHIBRIDO\20230529-20230530.xml" htmlTables="1" htmlFormat="all"/>
  </connection>
  <connection id="583" name="20230530-20230531" type="4" refreshedVersion="0" background="1">
    <webPr xml="1" sourceData="1" url="Z:\Dosis pacientes\Alertas_Intervencionismo\PRUEBAHIBRIDO\20230530-20230531.xml" htmlTables="1" htmlFormat="all"/>
  </connection>
  <connection id="584" name="20230601-20230602" type="4" refreshedVersion="0" background="1">
    <webPr xml="1" sourceData="1" url="Z:\Dosis pacientes\Alertas_Intervencionismo\PRUEBAHIBRIDO\20230601-20230602.xml" htmlTables="1" htmlFormat="all"/>
  </connection>
  <connection id="585" name="20230605-20230606" type="4" refreshedVersion="0" background="1">
    <webPr xml="1" sourceData="1" url="Z:\Dosis pacientes\Alertas_Intervencionismo\PRUEBAHIBRIDO\20230605-20230606.xml" htmlTables="1" htmlFormat="all"/>
  </connection>
  <connection id="586" name="20230605-202306061" type="4" refreshedVersion="0" background="1">
    <webPr xml="1" sourceData="1" url="Z:\Dosis pacientes\Alertas_Intervencionismo\PRUEBAHIBRIDO\20230605-20230606.xml" htmlTables="1" htmlFormat="all"/>
  </connection>
  <connection id="587" name="20230605-202306062" type="4" refreshedVersion="0" background="1">
    <webPr xml="1" sourceData="1" url="Z:\Dosis pacientes\Alertas_Intervencionismo\PRUEBAHIBRIDO\20230605-20230606.xml" htmlTables="1" htmlFormat="all"/>
  </connection>
  <connection id="588" name="20230606-20230607" type="4" refreshedVersion="0" background="1">
    <webPr xml="1" sourceData="1" url="Z:\Dosis pacientes\Alertas_Intervencionismo\PRUEBAHIBRIDO\20230606-20230607.xml" htmlTables="1" htmlFormat="all"/>
  </connection>
  <connection id="589" name="20230606-202306071" type="4" refreshedVersion="0" background="1">
    <webPr xml="1" sourceData="1" url="Z:\Dosis pacientes\Alertas_Intervencionismo\PRUEBAHIBRIDO\20230606-20230607.xml" htmlTables="1" htmlFormat="all"/>
  </connection>
  <connection id="590" name="20230607-20230609" type="4" refreshedVersion="0" background="1">
    <webPr xml="1" sourceData="1" url="Z:\Dosis pacientes\Alertas_Intervencionismo\PRUEBAHIBRIDO\20230607-20230609.xml" htmlTables="1" htmlFormat="all"/>
  </connection>
  <connection id="591" name="20230607-202306091" type="4" refreshedVersion="0" background="1">
    <webPr xml="1" sourceData="1" url="Z:\Dosis pacientes\Alertas_Intervencionismo\PRUEBAHIBRIDO\20230607-20230609.xml" htmlTables="1" htmlFormat="all"/>
  </connection>
  <connection id="592" name="20230607-202306092" type="4" refreshedVersion="0" background="1">
    <webPr xml="1" sourceData="1" url="Z:\Dosis pacientes\Alertas_Intervencionismo\PRUEBAHIBRIDO\20230607-20230609.xml" htmlTables="1" htmlFormat="all"/>
  </connection>
  <connection id="593" name="20230619-20230620" type="4" refreshedVersion="0" background="1">
    <webPr xml="1" sourceData="1" url="Z:\Dosis pacientes\Alertas_Intervencionismo\PRUEBAHIBRIDO\20230619-20230620.xml" htmlTables="1" htmlFormat="all"/>
  </connection>
  <connection id="594" name="20230619-202306201" type="4" refreshedVersion="0" background="1">
    <webPr xml="1" sourceData="1" url="Z:\Dosis pacientes\Alertas_Intervencionismo\PRUEBAHIBRIDO\20230619-20230620.xml" htmlTables="1" htmlFormat="all"/>
  </connection>
  <connection id="595" name="20230619-202306202" type="4" refreshedVersion="0" background="1">
    <webPr xml="1" sourceData="1" url="Z:\Dosis pacientes\Alertas_Intervencionismo\PRUEBAHIBRIDO\20230619-20230620.xml" htmlTables="1" htmlFormat="all"/>
  </connection>
  <connection id="596" name="20230620-20230622" type="4" refreshedVersion="0" background="1">
    <webPr xml="1" sourceData="1" url="Z:\Dosis pacientes\Alertas_Intervencionismo\PRUEBAHIBRIDO\20230620-20230622.xml" htmlTables="1" htmlFormat="all"/>
  </connection>
  <connection id="597" name="20230622-20230623" type="4" refreshedVersion="0" background="1">
    <webPr xml="1" sourceData="1" url="Z:\Dosis pacientes\Alertas_Intervencionismo\PRUEBAHIBRIDO\20230622-20230623.xml" htmlTables="1" htmlFormat="all"/>
  </connection>
  <connection id="598" name="20230625-20230626" type="4" refreshedVersion="0" background="1">
    <webPr xml="1" sourceData="1" url="Z:\Dosis pacientes\Alertas_Intervencionismo\PRUEBAHIBRIDO\20230625-20230626.xml" htmlTables="1" htmlFormat="all"/>
  </connection>
  <connection id="599" name="20230626-20230627" type="4" refreshedVersion="0" background="1">
    <webPr xml="1" sourceData="1" url="Z:\Dosis pacientes\Alertas_Intervencionismo\PRUEBAHIBRIDO\20230626-20230627.xml" htmlTables="1" htmlFormat="all"/>
  </connection>
  <connection id="600" name="20230626-202306271" type="4" refreshedVersion="0" background="1">
    <webPr xml="1" sourceData="1" url="Z:\Dosis pacientes\Alertas_Intervencionismo\PRUEBAHIBRIDO\20230626-20230627.xml" htmlTables="1" htmlFormat="all"/>
  </connection>
  <connection id="601" name="20230627-20230629" type="4" refreshedVersion="0" background="1">
    <webPr xml="1" sourceData="1" url="Z:\Dosis pacientes\Alertas_Intervencionismo\PRUEBAHIBRIDO\20230627-20230629.xml" htmlTables="1" htmlFormat="all"/>
  </connection>
  <connection id="602" name="20230702-20230703" type="4" refreshedVersion="0" background="1">
    <webPr xml="1" sourceData="1" url="Z:\Dosis pacientes\Alertas_Intervencionismo\PRUEBAHIBRIDO\20230702-20230703.xml" htmlTables="1" htmlFormat="all"/>
  </connection>
  <connection id="603" name="20230703-20230704" type="4" refreshedVersion="0" background="1">
    <webPr xml="1" sourceData="1" url="Z:\Dosis pacientes\Alertas_Intervencionismo\PRUEBAHIBRIDO\20230703-20230704.xml" htmlTables="1" htmlFormat="all"/>
  </connection>
  <connection id="604" name="20230704-20230705" type="4" refreshedVersion="0" background="1">
    <webPr xml="1" sourceData="1" url="Z:\Dosis pacientes\Alertas_Intervencionismo\PRUEBAHIBRIDO\20230704-20230705.xml" htmlTables="1" htmlFormat="all"/>
  </connection>
  <connection id="605" name="20230705-20230706" type="4" refreshedVersion="0" background="1">
    <webPr xml="1" sourceData="1" url="Z:\Dosis pacientes\Alertas_Intervencionismo\PRUEBAHIBRIDO\20230705-20230706.xml" htmlTables="1" htmlFormat="all"/>
  </connection>
  <connection id="606" name="20230705-202307061" type="4" refreshedVersion="0" background="1">
    <webPr xml="1" sourceData="1" url="Z:\Dosis pacientes\Alertas_Intervencionismo\PRUEBAHIBRIDO\20230705-20230706.xml" htmlTables="1" htmlFormat="all"/>
  </connection>
  <connection id="607" name="20230705-202307062" type="4" refreshedVersion="0" background="1">
    <webPr xml="1" sourceData="1" url="Z:\Dosis pacientes\Alertas_Intervencionismo\PRUEBAHIBRIDO\20230705-20230706.xml" htmlTables="1" htmlFormat="all"/>
  </connection>
  <connection id="608" name="20230705-202307063" type="4" refreshedVersion="0" background="1">
    <webPr xml="1" sourceData="1" url="Z:\Dosis pacientes\Alertas_Intervencionismo\PRUEBAHIBRIDO\20230705-20230706.xml" htmlTables="1" htmlFormat="all"/>
  </connection>
  <connection id="609" name="20230705-202307064" type="4" refreshedVersion="0" background="1">
    <webPr xml="1" sourceData="1" url="Z:\Dosis pacientes\Alertas_Intervencionismo\PRUEBAHIBRIDO\20230705-20230706.xml" htmlTables="1" htmlFormat="all"/>
  </connection>
  <connection id="610" name="20230706-20230711" type="4" refreshedVersion="0" background="1">
    <webPr xml="1" sourceData="1" url="Z:\Dosis pacientes\Alertas_Intervencionismo\PRUEBAHIBRIDO\20230706-20230711.xml" htmlTables="1" htmlFormat="all"/>
  </connection>
  <connection id="611" name="20230711-20230712" type="4" refreshedVersion="0" background="1">
    <webPr xml="1" sourceData="1" url="Z:\Dosis pacientes\Alertas_Intervencionismo\PRUEBAHIBRIDO\20230711-20230712.xml" htmlTables="1" htmlFormat="all"/>
  </connection>
  <connection id="612" name="20230712-20230713" type="4" refreshedVersion="0" background="1">
    <webPr xml="1" sourceData="1" url="Z:\Dosis pacientes\Alertas_Intervencionismo\PRUEBAHIBRIDO\20230712-20230713.xml" htmlTables="1" htmlFormat="all"/>
  </connection>
  <connection id="613" name="20230713-20230714" type="4" refreshedVersion="0" background="1">
    <webPr xml="1" sourceData="1" url="Z:\Dosis pacientes\Alertas_Intervencionismo\PRUEBAHIBRIDO\20230713-20230714.xml" htmlTables="1" htmlFormat="all"/>
  </connection>
  <connection id="614" name="20230713-202307141" type="4" refreshedVersion="0" background="1">
    <webPr xml="1" sourceData="1" url="Z:\Dosis pacientes\Alertas_Intervencionismo\PRUEBAHIBRIDO\20230713-20230714.xml" htmlTables="1" htmlFormat="all"/>
  </connection>
  <connection id="615" name="20230713-202307142" type="4" refreshedVersion="0" background="1">
    <webPr xml="1" sourceData="1" url="Z:\Dosis pacientes\Alertas_Intervencionismo\PRUEBAHIBRIDO\20230713-20230714.xml" htmlTables="1" htmlFormat="all"/>
  </connection>
  <connection id="616" name="20230713-202307143" type="4" refreshedVersion="0" background="1">
    <webPr xml="1" sourceData="1" url="Z:\Dosis pacientes\Alertas_Intervencionismo\PRUEBAHIBRIDO\20230713-20230714.xml" htmlTables="1" htmlFormat="all"/>
  </connection>
  <connection id="617" name="20230713-202307144" type="4" refreshedVersion="0" background="1">
    <webPr xml="1" sourceData="1" url="Z:\Dosis pacientes\Alertas_Intervencionismo\PRUEBAHIBRIDO\20230713-20230714.xml" htmlTables="1" htmlFormat="all"/>
  </connection>
  <connection id="618" name="20230714-20230719" type="4" refreshedVersion="0" background="1">
    <webPr xml="1" sourceData="1" url="Z:\Dosis pacientes\Alertas_Intervencionismo\PRUEBAHIBRIDO\20230714-20230719.xml" htmlTables="1" htmlFormat="all"/>
  </connection>
  <connection id="619" name="20230719-20230720" type="4" refreshedVersion="0" background="1">
    <webPr xml="1" sourceData="1" url="Z:\Dosis pacientes\Alertas_Intervencionismo\PRUEBAHIBRIDO\20230719-20230720.xml" htmlTables="1" htmlFormat="all"/>
  </connection>
  <connection id="620" name="20230720-20230721" type="4" refreshedVersion="0" background="1">
    <webPr xml="1" sourceData="1" url="Z:\Dosis pacientes\Alertas_Intervencionismo\PRUEBAHIBRIDO\20230720-20230721.xml" htmlTables="1" htmlFormat="all"/>
  </connection>
  <connection id="621" name="20230720-202307211" type="4" refreshedVersion="0" background="1">
    <webPr xml="1" sourceData="1" url="Z:\Dosis pacientes\Alertas_Intervencionismo\PRUEBAHIBRIDO\20230720-20230721.xml" htmlTables="1" htmlFormat="all"/>
  </connection>
  <connection id="622" name="20230720-202307212" type="4" refreshedVersion="0" background="1">
    <webPr xml="1" sourceData="1" url="Z:\Dosis pacientes\Alertas_Intervencionismo\PRUEBAHIBRIDO\20230720-20230721.xml" htmlTables="1" htmlFormat="all"/>
  </connection>
  <connection id="623" name="20230721-20230724" type="4" refreshedVersion="0" background="1">
    <webPr xml="1" sourceData="1" url="Z:\Dosis pacientes\Alertas_Intervencionismo\PRUEBAHIBRIDO\20230721-20230724.xml" htmlTables="1" htmlFormat="all"/>
  </connection>
  <connection id="624" name="20230721-202307241" type="4" refreshedVersion="0" background="1">
    <webPr xml="1" sourceData="1" url="Z:\Dosis pacientes\Alertas_Intervencionismo\PRUEBAHIBRIDO\20230721-20230724.xml" htmlTables="1" htmlFormat="all"/>
  </connection>
  <connection id="625" name="20230724-20230726" type="4" refreshedVersion="0" background="1">
    <webPr xml="1" sourceData="1" url="Z:\Dosis pacientes\Alertas_Intervencionismo\PRUEBAHIBRIDO\20230724-20230726.xml" htmlTables="1" htmlFormat="all"/>
  </connection>
  <connection id="626" name="20230726-20230727" type="4" refreshedVersion="0" background="1">
    <webPr xml="1" sourceData="1" url="Z:\Dosis pacientes\Alertas_Intervencionismo\PRUEBAHIBRIDO\20230726-20230727.xml" htmlTables="1" htmlFormat="all"/>
  </connection>
  <connection id="627" name="20230727-20230728" type="4" refreshedVersion="0" background="1">
    <webPr xml="1" sourceData="1" url="Z:\Dosis pacientes\Alertas_Intervencionismo\PRUEBAHIBRIDO\20230727-20230728.xml" htmlTables="1" htmlFormat="all"/>
  </connection>
  <connection id="628" name="20230727-202307281" type="4" refreshedVersion="0" background="1">
    <webPr xml="1" sourceData="1" url="Z:\Dosis pacientes\Alertas_Intervencionismo\PRUEBAHIBRIDO\20230727-20230728.xml" htmlTables="1" htmlFormat="all"/>
  </connection>
  <connection id="629" name="20230727-202307282" type="4" refreshedVersion="0" background="1">
    <webPr xml="1" sourceData="1" url="Z:\Dosis pacientes\Alertas_Intervencionismo\PRUEBAHIBRIDO\20230727-20230728.xml" htmlTables="1" htmlFormat="all"/>
  </connection>
  <connection id="630" name="20230728-20230731" type="4" refreshedVersion="0" background="1">
    <webPr xml="1" sourceData="1" url="Z:\Dosis pacientes\Alertas_Intervencionismo\PRUEBAHIBRIDO\20230728-20230731.xml" htmlTables="1" htmlFormat="all"/>
  </connection>
  <connection id="631" name="20230731-20230801" type="4" refreshedVersion="0" background="1">
    <webPr xml="1" sourceData="1" url="Z:\Dosis pacientes\Alertas_Intervencionismo\PRUEBAHIBRIDO\20230731-20230801.xml" htmlTables="1" htmlFormat="all"/>
  </connection>
  <connection id="632" name="20230801-20230802" type="4" refreshedVersion="0" background="1">
    <webPr xml="1" sourceData="1" url="Z:\Dosis pacientes\Alertas_Intervencionismo\PRUEBAHIBRIDO\20230801-20230802.xml" htmlTables="1" htmlFormat="all"/>
  </connection>
  <connection id="633" name="20230802-20230803" type="4" refreshedVersion="0" background="1">
    <webPr xml="1" sourceData="1" url="Z:\Dosis pacientes\Alertas_Intervencionismo\PRUEBAHIBRIDO\20230802-20230803.xml" htmlTables="1" htmlFormat="all"/>
  </connection>
  <connection id="634" name="20230802-202308031" type="4" refreshedVersion="0" background="1">
    <webPr xml="1" sourceData="1" url="Z:\Dosis pacientes\Alertas_Intervencionismo\PRUEBAHIBRIDO\20230802-20230803.xml" htmlTables="1" htmlFormat="all"/>
  </connection>
  <connection id="635" name="20230802-202308032" type="4" refreshedVersion="0" background="1">
    <webPr xml="1" sourceData="1" url="Z:\Dosis pacientes\Alertas_Intervencionismo\PRUEBAHIBRIDO\20230802-20230803.xml" htmlTables="1" htmlFormat="all"/>
  </connection>
  <connection id="636" name="20230802-202308033" type="4" refreshedVersion="0" background="1">
    <webPr xml="1" sourceData="1" url="Z:\Dosis pacientes\Alertas_Intervencionismo\PRUEBAHIBRIDO\20230802-20230803.xml" htmlTables="1" htmlFormat="all"/>
  </connection>
  <connection id="637" name="20230803-20230807" type="4" refreshedVersion="0" background="1">
    <webPr xml="1" sourceData="1" url="Z:\Dosis pacientes\Alertas_Intervencionismo\PRUEBAHIBRIDO\20230803-20230807.xml" htmlTables="1" htmlFormat="all"/>
  </connection>
  <connection id="638" name="20230807-20230808" type="4" refreshedVersion="0" background="1">
    <webPr xml="1" sourceData="1" url="Z:\Dosis pacientes\Alertas_Intervencionismo\PRUEBAHIBRIDO\20230807-20230808.xml" htmlTables="1" htmlFormat="all"/>
  </connection>
  <connection id="639" name="20230808-20230809" type="4" refreshedVersion="0" background="1">
    <webPr xml="1" sourceData="1" url="Z:\Dosis pacientes\Alertas_Intervencionismo\PRUEBAHIBRIDO\20230808-20230809.xml" htmlTables="1" htmlFormat="all"/>
  </connection>
  <connection id="640" name="20230809-20230810" type="4" refreshedVersion="0" background="1">
    <webPr xml="1" sourceData="1" url="Z:\Dosis pacientes\Alertas_Intervencionismo\PRUEBAHIBRIDO\20230809-20230810.xml" htmlTables="1" htmlFormat="all"/>
  </connection>
  <connection id="641" name="20230810-20230811" type="4" refreshedVersion="0" background="1">
    <webPr xml="1" sourceData="1" url="Z:\Dosis pacientes\Alertas_Intervencionismo\PRUEBAHIBRIDO\20230810-20230811.xml" htmlTables="1" htmlFormat="all"/>
  </connection>
  <connection id="642" name="20230810-202308111" type="4" refreshedVersion="0" background="1">
    <webPr xml="1" sourceData="1" url="Z:\Dosis pacientes\Alertas_Intervencionismo\PRUEBAHIBRIDO\20230810-20230811.xml" htmlTables="1" htmlFormat="all"/>
  </connection>
  <connection id="643" name="20230810-202308112" type="4" refreshedVersion="0" background="1">
    <webPr xml="1" sourceData="1" url="Z:\Dosis pacientes\Alertas_Intervencionismo\PRUEBAHIBRIDO\20230810-20230811.xml" htmlTables="1" htmlFormat="all"/>
  </connection>
  <connection id="644" name="20230817-20230818" type="4" refreshedVersion="0" background="1">
    <webPr xml="1" sourceData="1" url="Z:\Dosis pacientes\Alertas_Intervencionismo\PRUEBAHIBRIDO\20230817-20230818.xml" htmlTables="1" htmlFormat="all"/>
  </connection>
  <connection id="645" name="20230817-202308181" type="4" refreshedVersion="0" background="1">
    <webPr xml="1" sourceData="1" url="Z:\Dosis pacientes\Alertas_Intervencionismo\PRUEBAHIBRIDO\20230817-20230818.xml" htmlTables="1" htmlFormat="all"/>
  </connection>
  <connection id="646" name="20230818-20230821" type="4" refreshedVersion="0" background="1">
    <webPr xml="1" sourceData="1" url="Z:\Dosis pacientes\Alertas_Intervencionismo\PRUEBAHIBRIDO\20230818-20230821.xml" htmlTables="1" htmlFormat="all"/>
  </connection>
  <connection id="647" name="20230818-202308211" type="4" refreshedVersion="0" background="1">
    <webPr xml="1" sourceData="1" url="Z:\Dosis pacientes\Alertas_Intervencionismo\PRUEBAHIBRIDO\20230818-20230821.xml" htmlTables="1" htmlFormat="all"/>
  </connection>
  <connection id="648" name="20230818-202308212" type="4" refreshedVersion="0" background="1">
    <webPr xml="1" sourceData="1" url="Z:\Dosis pacientes\Alertas_Intervencionismo\PRUEBAHIBRIDO\20230818-20230821.xml" htmlTables="1" htmlFormat="all"/>
  </connection>
  <connection id="649" name="20230818-202308213" type="4" refreshedVersion="0" background="1">
    <webPr xml="1" sourceData="1" url="Z:\Dosis pacientes\Alertas_Intervencionismo\PRUEBAHIBRIDO\20230818-20230821.xml" htmlTables="1" htmlFormat="all"/>
  </connection>
  <connection id="650" name="20230821-20230824" type="4" refreshedVersion="0" background="1">
    <webPr xml="1" sourceData="1" url="Z:\Dosis pacientes\Alertas_Intervencionismo\PRUEBAHIBRIDO\20230821-20230824.xml" htmlTables="1" htmlFormat="all"/>
  </connection>
  <connection id="651" name="20230825-20230829" type="4" refreshedVersion="0" background="1">
    <webPr xml="1" sourceData="1" url="Z:\Dosis pacientes\Alertas_Intervencionismo\PRUEBAHIBRIDO\20230825-20230829.xml" htmlTables="1" htmlFormat="all"/>
  </connection>
  <connection id="652" name="20230829-20230830" type="4" refreshedVersion="0" background="1">
    <webPr xml="1" sourceData="1" url="Z:\Dosis pacientes\Alertas_Intervencionismo\PRUEBAHIBRIDO\20230829-20230830.xml" htmlTables="1" htmlFormat="all"/>
  </connection>
  <connection id="653" name="20230830-20230831" type="4" refreshedVersion="0" background="1">
    <webPr xml="1" sourceData="1" url="Z:\Dosis pacientes\Alertas_Intervencionismo\PRUEBAHIBRIDO\20230830-20230831.xml" htmlTables="1" htmlFormat="all"/>
  </connection>
  <connection id="654" name="20230901-20230904" type="4" refreshedVersion="0" background="1">
    <webPr xml="1" sourceData="1" url="Z:\Dosis pacientes\Alertas_Intervencionismo\PRUEBAHIBRIDO\20230901-20230904.xml" htmlTables="1" htmlFormat="all"/>
  </connection>
  <connection id="655" name="20230904-20230905" type="4" refreshedVersion="0" background="1">
    <webPr xml="1" sourceData="1" url="Z:\Dosis pacientes\Alertas_Intervencionismo\PRUEBAHIBRIDO\20230904-20230905.xml" htmlTables="1" htmlFormat="all"/>
  </connection>
  <connection id="656" name="20230904-202309051" type="4" refreshedVersion="0" background="1">
    <webPr xml="1" sourceData="1" url="Z:\Dosis pacientes\Alertas_Intervencionismo\PRUEBAHIBRIDO\20230904-20230905.xml" htmlTables="1" htmlFormat="all"/>
  </connection>
  <connection id="657" name="20230905-20230907" type="4" refreshedVersion="0" background="1">
    <webPr xml="1" sourceData="1" url="Z:\Dosis pacientes\Alertas_Intervencionismo\PRUEBAHIBRIDO\20230905-20230907.xml" htmlTables="1" htmlFormat="all"/>
  </connection>
  <connection id="658" name="20230905-202309071" type="4" refreshedVersion="0" background="1">
    <webPr xml="1" sourceData="1" url="Z:\Dosis pacientes\Alertas_Intervencionismo\PRUEBAHIBRIDO\20230905-20230907.xml" htmlTables="1" htmlFormat="all"/>
  </connection>
  <connection id="659" name="20230910-20230911" type="4" refreshedVersion="0" background="1">
    <webPr xml="1" sourceData="1" url="Z:\Dosis pacientes\Alertas_Intervencionismo\PRUEBAHIBRIDO\20230910-20230911.xml" htmlTables="1" htmlFormat="all"/>
  </connection>
  <connection id="660" name="20230911-20230912" type="4" refreshedVersion="0" background="1">
    <webPr xml="1" sourceData="1" url="Z:\Dosis pacientes\Alertas_Intervencionismo\PRUEBAHIBRIDO\20230911-20230912.xml" htmlTables="1" htmlFormat="all"/>
  </connection>
  <connection id="661" name="20230912-20230913" type="4" refreshedVersion="0" background="1">
    <webPr xml="1" sourceData="1" url="Z:\Dosis pacientes\Alertas_Intervencionismo\PRUEBAHIBRIDO\20230912-20230913.xml" htmlTables="1" htmlFormat="all"/>
  </connection>
  <connection id="662" name="20230913-20230914" type="4" refreshedVersion="0" background="1">
    <webPr xml="1" sourceData="1" url="Z:\Dosis pacientes\Alertas_Intervencionismo\PRUEBAHIBRIDO\20230913-20230914.xml" htmlTables="1" htmlFormat="all"/>
  </connection>
  <connection id="663" name="20230914-20230915" type="4" refreshedVersion="0" background="1">
    <webPr xml="1" sourceData="1" url="Z:\Dosis pacientes\Alertas_Intervencionismo\PRUEBAHIBRIDO\20230914-20230915.xml" htmlTables="1" htmlFormat="all"/>
  </connection>
  <connection id="664" name="20230915-20230918" type="4" refreshedVersion="0" background="1">
    <webPr xml="1" sourceData="1" url="Z:\Dosis pacientes\Alertas_Intervencionismo\PRUEBAHIBRIDO\20230915-20230918.xml" htmlTables="1" htmlFormat="all"/>
  </connection>
  <connection id="665" name="20230918-20230919" type="4" refreshedVersion="0" background="1">
    <webPr xml="1" sourceData="1" url="Z:\Dosis pacientes\Alertas_Intervencionismo\PRUEBAHIBRIDO\20230918-20230919.xml" htmlTables="1" htmlFormat="all"/>
  </connection>
  <connection id="666" name="20230919-20230920" type="4" refreshedVersion="0" background="1">
    <webPr xml="1" sourceData="1" url="Z:\Dosis pacientes\Alertas_Intervencionismo\PRUEBAHIBRIDO\20230919-20230920.xml" htmlTables="1" htmlFormat="all"/>
  </connection>
  <connection id="667" name="20230920-20230921" type="4" refreshedVersion="0" background="1">
    <webPr xml="1" sourceData="1" url="Z:\Dosis pacientes\Alertas_Intervencionismo\PRUEBAHIBRIDO\20230920-20230921.xml" htmlTables="1" htmlFormat="all"/>
  </connection>
  <connection id="668" name="20230921-20230922" type="4" refreshedVersion="0" background="1">
    <webPr xml="1" sourceData="1" url="Z:\Dosis pacientes\Alertas_Intervencionismo\PRUEBAHIBRIDO\20230921-20230922.xml" htmlTables="1" htmlFormat="all"/>
  </connection>
  <connection id="669" name="20230921-202309221" type="4" refreshedVersion="0" background="1">
    <webPr xml="1" sourceData="1" url="Z:\Dosis pacientes\Alertas_Intervencionismo\PRUEBAHIBRIDO\20230921-20230922.xml" htmlTables="1" htmlFormat="all"/>
  </connection>
  <connection id="670" name="20230922-20230925" type="4" refreshedVersion="0" background="1">
    <webPr xml="1" sourceData="1" url="Z:\Dosis pacientes\Alertas_Intervencionismo\PRUEBAHIBRIDO\20230922-20230925.xml" htmlTables="1" htmlFormat="all"/>
  </connection>
  <connection id="671" name="20230925-20230926" type="4" refreshedVersion="0" background="1">
    <webPr xml="1" sourceData="1" url="Z:\Dosis pacientes\Alertas_Intervencionismo\PRUEBAHIBRIDO\20230925-20230926.xml" htmlTables="1" htmlFormat="all"/>
  </connection>
  <connection id="672" name="20230926-20230927" type="4" refreshedVersion="0" background="1">
    <webPr xml="1" sourceData="1" url="Z:\Dosis pacientes\Alertas_Intervencionismo\PRUEBAHIBRIDO\20230926-20230927.xml" htmlTables="1" htmlFormat="all"/>
  </connection>
  <connection id="673" name="20230927-20230928" type="4" refreshedVersion="0" background="1">
    <webPr xml="1" sourceData="1" url="Z:\Dosis pacientes\Alertas_Intervencionismo\PRUEBAHIBRIDO\20230927-20230928.xml" htmlTables="1" htmlFormat="all"/>
  </connection>
  <connection id="674" name="20230928-20230929" type="4" refreshedVersion="0" background="1">
    <webPr xml="1" sourceData="1" url="Z:\Dosis pacientes\Alertas_Intervencionismo\PRUEBAHIBRIDO\20230928-20230929.xml" htmlTables="1" htmlFormat="all"/>
  </connection>
  <connection id="675" name="20230929-20231002" type="4" refreshedVersion="0" background="1">
    <webPr xml="1" sourceData="1" url="Z:\Dosis pacientes\Alertas_Intervencionismo\PRUEBAHIBRIDO\20230929-20231002.xml" htmlTables="1" htmlFormat="all"/>
  </connection>
  <connection id="676" name="20231002-20231005" type="4" refreshedVersion="0" background="1">
    <webPr xml="1" sourceData="1" url="Z:\Dosis pacientes\Alertas_Intervencionismo\PRUEBAHIBRIDO\20231002-20231005.xml" htmlTables="1" htmlFormat="all"/>
  </connection>
  <connection id="677" name="20231005-20231006" type="4" refreshedVersion="0" background="1">
    <webPr xml="1" sourceData="1" url="Z:\Dosis pacientes\Alertas_Intervencionismo\PRUEBAHIBRIDO\20231005-20231006.xml" htmlTables="1" htmlFormat="all"/>
  </connection>
  <connection id="678" name="20231006-20231009" type="4" refreshedVersion="0" background="1">
    <webPr xml="1" sourceData="1" url="Z:\Dosis pacientes\Alertas_Intervencionismo\PRUEBAHIBRIDO\20231006-20231009.xml" htmlTables="1" htmlFormat="all"/>
  </connection>
  <connection id="679" name="20231006-202310091" type="4" refreshedVersion="0" background="1">
    <webPr xml="1" sourceData="1" url="Z:\Dosis pacientes\Alertas_Intervencionismo\PRUEBAHIBRIDO\20231006-20231009.xml" htmlTables="1" htmlFormat="all"/>
  </connection>
  <connection id="680" name="20231009-20231010" type="4" refreshedVersion="0" background="1">
    <webPr xml="1" sourceData="1" url="Z:\Dosis pacientes\Alertas_Intervencionismo\PRUEBAHIBRIDO\20231009-20231010.xml" htmlTables="1" htmlFormat="all"/>
  </connection>
  <connection id="681" name="20231010-20231011" type="4" refreshedVersion="0" background="1">
    <webPr xml="1" sourceData="1" url="Z:\Dosis pacientes\Alertas_Intervencionismo\PRUEBAHIBRIDO\20231010-20231011.xml" htmlTables="1" htmlFormat="all"/>
  </connection>
  <connection id="682" name="20231010-202310111" type="4" refreshedVersion="0" background="1">
    <webPr xml="1" sourceData="1" url="Z:\Dosis pacientes\Alertas_Intervencionismo\PRUEBAHIBRIDO\20231010-20231011.xml" htmlTables="1" htmlFormat="all"/>
  </connection>
  <connection id="683" name="20231013-20231016" type="4" refreshedVersion="0" background="1">
    <webPr xml="1" sourceData="1" url="Z:\Dosis pacientes\Alertas_Intervencionismo\PRUEBAHIBRIDO\20231013-20231016.xml" htmlTables="1" htmlFormat="all"/>
  </connection>
  <connection id="684" name="20231016-20231017" type="4" refreshedVersion="0" background="1">
    <webPr xml="1" sourceData="1" url="Z:\Dosis pacientes\Alertas_Intervencionismo\PRUEBAHIBRIDO\20231016-20231017.xml" htmlTables="1" htmlFormat="all"/>
  </connection>
  <connection id="685" name="20231018-20231019" type="4" refreshedVersion="0" background="1">
    <webPr xml="1" sourceData="1" url="Z:\Dosis pacientes\Alertas_Intervencionismo\PRUEBAHIBRIDO\20231018-20231019.xml" htmlTables="1" htmlFormat="all"/>
  </connection>
  <connection id="686" name="20231019-20231020" type="4" refreshedVersion="0" background="1">
    <webPr xml="1" sourceData="1" url="Z:\Dosis pacientes\Alertas_Intervencionismo\PRUEBAHIBRIDO\20231019-20231020.xml" htmlTables="1" htmlFormat="all"/>
  </connection>
  <connection id="687" name="20231019-202310201" type="4" refreshedVersion="0" background="1">
    <webPr xml="1" sourceData="1" url="Z:\Dosis pacientes\Alertas_Intervencionismo\PRUEBAHIBRIDO\20231019-20231020.xml" htmlTables="1" htmlFormat="all"/>
  </connection>
  <connection id="688" name="20231020-20231023" type="4" refreshedVersion="0" background="1">
    <webPr xml="1" sourceData="1" url="Z:\Dosis pacientes\Alertas_Intervencionismo\PRUEBAHIBRIDO\20231020-20231023.xml" htmlTables="1" htmlFormat="all"/>
  </connection>
  <connection id="689" name="20231023-20231024" type="4" refreshedVersion="0" background="1">
    <webPr xml="1" sourceData="1" url="Z:\Dosis pacientes\Alertas_Intervencionismo\PRUEBAHIBRIDO\20231023-20231024.xml" htmlTables="1" htmlFormat="all"/>
  </connection>
  <connection id="690" name="20231024-20231025" type="4" refreshedVersion="0" background="1">
    <webPr xml="1" sourceData="1" url="Z:\Dosis pacientes\Alertas_Intervencionismo\PRUEBAHIBRIDO\20231024-20231025.xml" htmlTables="1" htmlFormat="all"/>
  </connection>
  <connection id="691" name="20231025-20231026" type="4" refreshedVersion="0" background="1">
    <webPr xml="1" sourceData="1" url="Z:\Dosis pacientes\Alertas_Intervencionismo\PRUEBAHIBRIDO\20231025-20231026.xml" htmlTables="1" htmlFormat="all"/>
  </connection>
  <connection id="692" name="20231025-202310261" type="4" refreshedVersion="0" background="1">
    <webPr xml="1" sourceData="1" url="Z:\Dosis pacientes\Alertas_Intervencionismo\PRUEBAHIBRIDO\20231025-20231026.xml" htmlTables="1" htmlFormat="all"/>
  </connection>
  <connection id="693" name="20231026-20231030" type="4" refreshedVersion="0" background="1">
    <webPr xml="1" sourceData="1" url="Z:\Dosis pacientes\Alertas_Intervencionismo\PRUEBAHIBRIDO\20231026-20231030.xml" htmlTables="1" htmlFormat="all"/>
  </connection>
  <connection id="694" name="20231030-20231031" type="4" refreshedVersion="0" background="1">
    <webPr xml="1" sourceData="1" url="Z:\Dosis pacientes\Alertas_Intervencionismo\PRUEBAHIBRIDO\20231030-20231031.xml" htmlTables="1" htmlFormat="all"/>
  </connection>
  <connection id="695" name="20231030-202310311" type="4" refreshedVersion="0" background="1">
    <webPr xml="1" sourceData="1" url="Z:\Dosis pacientes\Alertas_Intervencionismo\PRUEBAHIBRIDO\20231030-20231031.xml" htmlTables="1" htmlFormat="all"/>
  </connection>
  <connection id="696" name="20231031-20231102" type="4" refreshedVersion="0" background="1">
    <webPr xml="1" sourceData="1" url="Z:\Dosis pacientes\Alertas_Intervencionismo\PRUEBAHIBRIDO\20231031-20231102.xml" htmlTables="1" htmlFormat="all"/>
  </connection>
  <connection id="697" name="20231102-20231103" type="4" refreshedVersion="0" background="1">
    <webPr xml="1" sourceData="1" url="Z:\Dosis pacientes\Alertas_Intervencionismo\PRUEBAHIBRIDO\20231102-20231103.xml" htmlTables="1" htmlFormat="all"/>
  </connection>
  <connection id="698" name="20231106-20231107" type="4" refreshedVersion="0" background="1">
    <webPr xml="1" sourceData="1" url="Z:\Dosis pacientes\Alertas_Intervencionismo\PRUEBAHIBRIDO\20231106-20231107.xml" htmlTables="1" htmlFormat="all"/>
  </connection>
  <connection id="699" name="20231107-20231108" type="4" refreshedVersion="0" background="1">
    <webPr xml="1" sourceData="1" url="Z:\Dosis pacientes\Alertas_Intervencionismo\PRUEBAHIBRIDO\20231107-20231108.xml" htmlTables="1" htmlFormat="all"/>
  </connection>
  <connection id="700" name="20231108-20231109" type="4" refreshedVersion="0" background="1">
    <webPr xml="1" sourceData="1" url="Z:\Dosis pacientes\Alertas_Intervencionismo\PRUEBAHIBRIDO\20231108-20231109.xml" htmlTables="1" htmlFormat="all"/>
  </connection>
  <connection id="701" name="20231108-202311091" type="4" refreshedVersion="0" background="1">
    <webPr xml="1" sourceData="1" url="Z:\Dosis pacientes\Alertas_Intervencionismo\PRUEBAHIBRIDO\20231108-20231109.xml" htmlTables="1" htmlFormat="all"/>
  </connection>
  <connection id="702" name="20231112-20231113" type="4" refreshedVersion="0" background="1">
    <webPr xml="1" sourceData="1" url="Z:\Dosis pacientes\Alertas_Intervencionismo\PRUEBAHIBRIDO\20231112-20231113.xml" htmlTables="1" htmlFormat="all"/>
  </connection>
  <connection id="703" name="20231113-20231114" type="4" refreshedVersion="0" background="1">
    <webPr xml="1" sourceData="1" url="Z:\Dosis pacientes\Alertas_Intervencionismo\PRUEBAHIBRIDO\20231113-20231114.xml" htmlTables="1" htmlFormat="all"/>
  </connection>
  <connection id="704" name="20231113-202311141" type="4" refreshedVersion="0" background="1">
    <webPr xml="1" sourceData="1" url="Z:\Dosis pacientes\Alertas_Intervencionismo\PRUEBAHIBRIDO\20231113-20231114.xml" htmlTables="1" htmlFormat="all"/>
  </connection>
  <connection id="705" name="20231114-20231115" type="4" refreshedVersion="0" background="1">
    <webPr xml="1" sourceData="1" url="Z:\Dosis pacientes\Alertas_Intervencionismo\PRUEBAHIBRIDO\20231114-20231115.xml" htmlTables="1" htmlFormat="all"/>
  </connection>
  <connection id="706" name="20231115-20231116" type="4" refreshedVersion="0" background="1">
    <webPr xml="1" sourceData="1" url="Z:\Dosis pacientes\Alertas_Intervencionismo\PRUEBAHIBRIDO\20231115-20231116.xml" htmlTables="1" htmlFormat="all"/>
  </connection>
  <connection id="707" name="20231116-20231117" type="4" refreshedVersion="0" background="1">
    <webPr xml="1" sourceData="1" url="Z:\Dosis pacientes\Alertas_Intervencionismo\PRUEBAHIBRIDO\20231116-20231117.xml" htmlTables="1" htmlFormat="all"/>
  </connection>
  <connection id="708" name="20231118-20231120" type="4" refreshedVersion="0" background="1">
    <webPr xml="1" sourceData="1" url="Z:\Dosis pacientes\Alertas_Intervencionismo\PRUEBAHIBRIDO\20231118-20231120.xml" htmlTables="1" htmlFormat="all"/>
  </connection>
  <connection id="709" name="20231120-20231121" type="4" refreshedVersion="0" background="1">
    <webPr xml="1" sourceData="1" url="Z:\Dosis pacientes\Alertas_Intervencionismo\PRUEBAHIBRIDO\20231120-20231121.xml" htmlTables="1" htmlFormat="all"/>
  </connection>
  <connection id="710" name="20231120-202311211" type="4" refreshedVersion="0" background="1">
    <webPr xml="1" sourceData="1" url="Z:\Dosis pacientes\Alertas_Intervencionismo\PRUEBAHIBRIDO\20231120-20231121.xml" htmlTables="1" htmlFormat="all"/>
  </connection>
  <connection id="711" name="20231120-202311212" type="4" refreshedVersion="0" background="1">
    <webPr xml="1" sourceData="1" url="Z:\Dosis pacientes\Alertas_Intervencionismo\PRUEBAHIBRIDO\20231120-20231121.xml" htmlTables="1" htmlFormat="all"/>
  </connection>
  <connection id="712" name="20231124-20231124" type="4" refreshedVersion="0" background="1">
    <webPr xml="1" sourceData="1" url="Z:\Dosis pacientes\Alertas_Intervencionismo\PRUEBAHIBRIDO\20231124-20231124.xml" htmlTables="1" htmlFormat="all"/>
  </connection>
  <connection id="713" name="20231124-20231127" type="4" refreshedVersion="0" background="1">
    <webPr xml="1" sourceData="1" url="Z:\Dosis pacientes\Alertas_Intervencionismo\PRUEBAHIBRIDO\20231124-20231127.xml" htmlTables="1" htmlFormat="all"/>
  </connection>
  <connection id="714" name="20231128-20231128" type="4" refreshedVersion="0" background="1">
    <webPr xml="1" sourceData="1" url="Z:\Dosis pacientes\Alertas_Intervencionismo\PRUEBAHIBRIDO\20231128-20231128.xml" htmlTables="1" htmlFormat="all"/>
  </connection>
  <connection id="715" name="20231129-20231130" type="4" refreshedVersion="0" background="1">
    <webPr xml="1" sourceData="1" url="Z:\Dosis pacientes\Alertas_Intervencionismo\PRUEBAHIBRIDO\20231129-20231130.xml" htmlTables="1" htmlFormat="all"/>
  </connection>
  <connection id="716" name="20231130-20231201" type="4" refreshedVersion="0" background="1">
    <webPr xml="1" sourceData="1" url="Z:\Dosis pacientes\Alertas_Intervencionismo\PRUEBAHIBRIDO\20231130-20231201.xml" htmlTables="1" htmlFormat="all"/>
  </connection>
  <connection id="717" name="20231201-20231204" type="4" refreshedVersion="0" background="1">
    <webPr xml="1" sourceData="1" url="Z:\Dosis pacientes\Alertas_Intervencionismo\PRUEBAHIBRIDO\20231201-20231204.xml" htmlTables="1" htmlFormat="all"/>
  </connection>
  <connection id="718" name="20231204-20231205" type="4" refreshedVersion="0" background="1">
    <webPr xml="1" sourceData="1" url="Z:\Dosis pacientes\Alertas_Intervencionismo\PRUEBAHIBRIDO\20231204-20231205.xml" htmlTables="1" htmlFormat="all"/>
  </connection>
  <connection id="719" name="20231204-202312051" type="4" refreshedVersion="0" background="1">
    <webPr xml="1" sourceData="1" url="Z:\Dosis pacientes\Alertas_Intervencionismo\PRUEBAHIBRIDO\20231204-20231205.xml" htmlTables="1" htmlFormat="all"/>
  </connection>
  <connection id="720" name="20231205-20231207" type="4" refreshedVersion="0" background="1">
    <webPr xml="1" sourceData="1" url="Z:\Dosis pacientes\Alertas_Intervencionismo\PRUEBAHIBRIDO\20231205-20231207.xml" htmlTables="1" htmlFormat="all"/>
  </connection>
  <connection id="721" name="20231205-202312071" type="4" refreshedVersion="0" background="1">
    <webPr xml="1" sourceData="1" url="Z:\Dosis pacientes\Alertas_Intervencionismo\PRUEBAHIBRIDO\20231205-20231207.xml" htmlTables="1" htmlFormat="all"/>
  </connection>
  <connection id="722" name="20231207-20231211" type="4" refreshedVersion="0" background="1">
    <webPr xml="1" sourceData="1" url="Z:\Dosis pacientes\Alertas_Intervencionismo\PRUEBAHIBRIDO\20231207-20231211.xml" htmlTables="1" htmlFormat="all"/>
  </connection>
  <connection id="723" name="20231211-20231212" type="4" refreshedVersion="0" background="1">
    <webPr xml="1" sourceData="1" url="Z:\Dosis pacientes\Alertas_Intervencionismo\PRUEBAHIBRIDO\20231211-20231212.xml" htmlTables="1" htmlFormat="all"/>
  </connection>
  <connection id="724" name="20231212-20231213" type="4" refreshedVersion="0" background="1">
    <webPr xml="1" sourceData="1" url="Z:\Dosis pacientes\Alertas_Intervencionismo\PRUEBAHIBRIDO\20231212-20231213.xml" htmlTables="1" htmlFormat="all"/>
  </connection>
  <connection id="725" name="20231213-20231214" type="4" refreshedVersion="0" background="1">
    <webPr xml="1" sourceData="1" url="Z:\Dosis pacientes\Alertas_Intervencionismo\PRUEBAHIBRIDO\20231213-20231214.xml" htmlTables="1" htmlFormat="all"/>
  </connection>
  <connection id="726" name="20231214-20231215" type="4" refreshedVersion="0" background="1">
    <webPr xml="1" sourceData="1" url="Z:\Dosis pacientes\Alertas_Intervencionismo\PRUEBAHIBRIDO\20231214-20231215.xml" htmlTables="1" htmlFormat="all"/>
  </connection>
  <connection id="727" name="20231215-20231218" type="4" refreshedVersion="0" background="1">
    <webPr xml="1" sourceData="1" url="Z:\Dosis pacientes\Alertas_Intervencionismo\PRUEBAHIBRIDO\20231215-20231218.xml" htmlTables="1" htmlFormat="all"/>
  </connection>
  <connection id="728" name="20231218-20231219" type="4" refreshedVersion="0" background="1">
    <webPr xml="1" sourceData="1" url="Z:\Dosis pacientes\Alertas_Intervencionismo\PRUEBAHIBRIDO\20231218-20231219.xml" htmlTables="1" htmlFormat="all"/>
  </connection>
  <connection id="729" name="20231219-20231220" type="4" refreshedVersion="0" background="1">
    <webPr xml="1" sourceData="1" url="Z:\Dosis pacientes\Alertas_Intervencionismo\PRUEBAHIBRIDO\20231219-20231220.xml" htmlTables="1" htmlFormat="all"/>
  </connection>
  <connection id="730" name="20231219-202312201" type="4" refreshedVersion="0" background="1">
    <webPr xml="1" sourceData="1" url="Z:\Dosis pacientes\Alertas_Intervencionismo\PRUEBAHIBRIDO\20231219-20231220.xml" htmlTables="1" htmlFormat="all"/>
  </connection>
  <connection id="731" name="20231219-202312202" type="4" refreshedVersion="0" background="1">
    <webPr xml="1" sourceData="1" url="Z:\Dosis pacientes\Alertas_Intervencionismo\PRUEBAHIBRIDO\20231219-20231220.xml" htmlTables="1" htmlFormat="all"/>
  </connection>
  <connection id="732" name="20231219-202312203" type="4" refreshedVersion="0" background="1">
    <webPr xml="1" sourceData="1" url="Z:\Dosis pacientes\Alertas_Intervencionismo\PRUEBAHIBRIDO\20231219-20231220.xml" htmlTables="1" htmlFormat="all"/>
  </connection>
  <connection id="733" name="20231219-202312204" type="4" refreshedVersion="0" background="1">
    <webPr xml="1" sourceData="1" url="Z:\Dosis pacientes\Alertas_Intervencionismo\PRUEBAHIBRIDO\20231219-20231220.xml" htmlTables="1" htmlFormat="all"/>
  </connection>
  <connection id="734" name="20231220-20231221" type="4" refreshedVersion="0" background="1">
    <webPr xml="1" sourceData="1" url="Z:\Dosis pacientes\Alertas_Intervencionismo\PRUEBAHIBRIDO\20231220-20231221.xml" htmlTables="1" htmlFormat="all"/>
  </connection>
  <connection id="735" name="20231221-20231222" type="4" refreshedVersion="0" background="1">
    <webPr xml="1" sourceData="1" url="Z:\Dosis pacientes\Alertas_Intervencionismo\PRUEBAHIBRIDO\20231221-20231222.xml" htmlTables="1" htmlFormat="all"/>
  </connection>
  <connection id="736" name="20231221-202312221" type="4" refreshedVersion="0" background="1">
    <webPr xml="1" sourceData="1" url="Z:\Dosis pacientes\Alertas_Intervencionismo\PRUEBAHIBRIDO\20231221-20231222.xml" htmlTables="1" htmlFormat="all"/>
  </connection>
  <connection id="737" name="20231222-20231226" type="4" refreshedVersion="0" background="1">
    <webPr xml="1" sourceData="1" url="Z:\Dosis pacientes\Alertas_Intervencionismo\PRUEBAHIBRIDO\20231222-20231226.xml" htmlTables="1" htmlFormat="all"/>
  </connection>
  <connection id="738" name="20231226-20231227" type="4" refreshedVersion="0" background="1">
    <webPr xml="1" sourceData="1" url="Z:\Dosis pacientes\Alertas_Intervencionismo\PRUEBAHIBRIDO\20231226-20231227.xml" htmlTables="1" htmlFormat="all"/>
  </connection>
  <connection id="739" name="20231226-202312271" type="4" refreshedVersion="0" background="1">
    <webPr xml="1" sourceData="1" url="Z:\Dosis pacientes\Alertas_Intervencionismo\PRUEBAHIBRIDO\20231226-20231227.xml" htmlTables="1" htmlFormat="all"/>
  </connection>
  <connection id="740" name="20231227-20231228" type="4" refreshedVersion="0" background="1">
    <webPr xml="1" sourceData="1" url="Z:\Dosis pacientes\Alertas_Intervencionismo\PRUEBAHIBRIDO\20231227-20231228.xml" htmlTables="1" htmlFormat="all"/>
  </connection>
  <connection id="741" name="20231227-202312281" type="4" refreshedVersion="0" background="1">
    <webPr xml="1" sourceData="1" url="Z:\Dosis pacientes\Alertas_Intervencionismo\PRUEBAHIBRIDO\20231227-20231228.xml" htmlTables="1" htmlFormat="all"/>
  </connection>
  <connection id="742" name="20231228-20231229" type="4" refreshedVersion="0" background="1">
    <webPr xml="1" sourceData="1" url="Z:\Dosis pacientes\Alertas_Intervencionismo\PRUEBAHIBRIDO\20231228-20231229.xml" htmlTables="1" htmlFormat="all"/>
  </connection>
  <connection id="743" name="20231228-202312291" type="4" refreshedVersion="0" background="1">
    <webPr xml="1" sourceData="1" url="Z:\Dosis pacientes\Alertas_Intervencionismo\PRUEBAHIBRIDO\20231228-20231229.xml" htmlTables="1" htmlFormat="all"/>
  </connection>
  <connection id="744" name="20231229-20240102" type="4" refreshedVersion="0" background="1">
    <webPr xml="1" sourceData="1" url="Z:\Dosis pacientes\Alertas_Intervencionismo\PRUEBAHIBRIDO\20231229-20240102.xml" htmlTables="1" htmlFormat="all"/>
  </connection>
  <connection id="745" name="20240102-20240103" type="4" refreshedVersion="0" background="1">
    <webPr xml="1" sourceData="1" url="Z:\Dosis pacientes\Alertas_Intervencionismo\PRUEBAHIBRIDO\20240102-20240103.xml" htmlTables="1" htmlFormat="all"/>
  </connection>
  <connection id="746" name="20240103-20240104" type="4" refreshedVersion="0" background="1">
    <webPr xml="1" sourceData="1" url="Z:\Dosis pacientes\Alertas_Intervencionismo\PRUEBAHIBRIDO\20240103-20240104.xml" htmlTables="1" htmlFormat="all"/>
  </connection>
  <connection id="747" name="20240104-20240105" type="4" refreshedVersion="0" background="1">
    <webPr xml="1" sourceData="1" url="Z:\Dosis pacientes\Alertas_Intervencionismo\PRUEBAHIBRIDO\20240104-20240105.xml" htmlTables="1" htmlFormat="all"/>
  </connection>
  <connection id="748" name="20240105-20240108" type="4" refreshedVersion="0" background="1">
    <webPr xml="1" sourceData="1" url="Z:\Dosis pacientes\Alertas_Intervencionismo\PRUEBAHIBRIDO\20240105-20240108.xml" htmlTables="1" htmlFormat="all"/>
  </connection>
  <connection id="749" name="20240108-20240109" type="4" refreshedVersion="0" background="1">
    <webPr xml="1" sourceData="1" url="Z:\Dosis pacientes\Alertas_Intervencionismo\PRUEBAHIBRIDO\20240108-20240109.xml" htmlTables="1" htmlFormat="all"/>
  </connection>
  <connection id="750" name="20240109-20240110" type="4" refreshedVersion="0" background="1">
    <webPr xml="1" sourceData="1" url="Z:\Dosis pacientes\Alertas_Intervencionismo\PRUEBAHIBRIDO\20240109-20240110.xml" htmlTables="1" htmlFormat="all"/>
  </connection>
  <connection id="751" name="20240110-20240111" type="4" refreshedVersion="0" background="1">
    <webPr xml="1" sourceData="1" url="Z:\Dosis pacientes\Alertas_Intervencionismo\PRUEBAHIBRIDO\20240110-20240111.xml" htmlTables="1" htmlFormat="all"/>
  </connection>
  <connection id="752" name="20240110-202401111" type="4" refreshedVersion="0" background="1">
    <webPr xml="1" sourceData="1" url="Z:\Dosis pacientes\Alertas_Intervencionismo\PRUEBAHIBRIDO\20240110-20240111.xml" htmlTables="1" htmlFormat="all"/>
  </connection>
  <connection id="753" name="20240111-20240115" type="4" refreshedVersion="0" background="1">
    <webPr xml="1" sourceData="1" url="Z:\Dosis pacientes\Alertas_Intervencionismo\PRUEBAHIBRIDO\20240111-20240115.xml" htmlTables="1" htmlFormat="all"/>
  </connection>
  <connection id="754" name="20240115-20240116" type="4" refreshedVersion="0" background="1">
    <webPr xml="1" sourceData="1" url="Z:\Dosis pacientes\Alertas_Intervencionismo\PRUEBAHIBRIDO\20240115-20240116.xml" htmlTables="1" htmlFormat="all"/>
  </connection>
  <connection id="755" name="20240116-20240117" type="4" refreshedVersion="0" background="1">
    <webPr xml="1" sourceData="1" url="Z:\Dosis pacientes\Alertas_Intervencionismo\PRUEBAHIBRIDO\20240116-20240117.xml" htmlTables="1" htmlFormat="all"/>
  </connection>
  <connection id="756" name="20240117-20240118" type="4" refreshedVersion="0" background="1">
    <webPr xml="1" sourceData="1" url="Z:\Dosis pacientes\Alertas_Intervencionismo\PRUEBAHIBRIDO\20240117-20240118.xml" htmlTables="1" htmlFormat="all"/>
  </connection>
  <connection id="757" name="20240117-202401181" type="4" refreshedVersion="0" background="1">
    <webPr xml="1" sourceData="1" url="Z:\Dosis pacientes\Alertas_Intervencionismo\PRUEBAHIBRIDO\20240117-20240118.xml" htmlTables="1" htmlFormat="all"/>
  </connection>
  <connection id="758" name="20240118-20240119" type="4" refreshedVersion="0" background="1">
    <webPr xml="1" sourceData="1" url="Z:\Dosis pacientes\Alertas_Intervencionismo\PRUEBAHIBRIDO\20240118-20240119.xml" htmlTables="1" htmlFormat="all"/>
  </connection>
  <connection id="759" name="20240119-20240122" type="4" refreshedVersion="0" background="1">
    <webPr xml="1" sourceData="1" url="Z:\Dosis pacientes\Alertas_Intervencionismo\PRUEBAHIBRIDO\20240119-20240122.xml" htmlTables="1" htmlFormat="all"/>
  </connection>
  <connection id="760" name="20240122-20240123" type="4" refreshedVersion="0" background="1">
    <webPr xml="1" sourceData="1" url="Z:\Dosis pacientes\Alertas_Intervencionismo\PRUEBAHIBRIDO\20240122-20240123.xml" htmlTables="1" htmlFormat="all"/>
  </connection>
  <connection id="761" name="20240123-20240124" type="4" refreshedVersion="0" background="1">
    <webPr xml="1" sourceData="1" url="Z:\Dosis pacientes\Alertas_Intervencionismo\PRUEBAHIBRIDO\20240123-20240124.xml" htmlTables="1" htmlFormat="all"/>
  </connection>
  <connection id="762" name="20240124-20240125" type="4" refreshedVersion="0" background="1">
    <webPr xml="1" sourceData="1" url="Z:\Dosis pacientes\Alertas_Intervencionismo\PRUEBAHIBRIDO\20240124-20240125.xml" htmlTables="1" htmlFormat="all"/>
  </connection>
  <connection id="763" name="20240125-20240126" type="4" refreshedVersion="0" background="1">
    <webPr xml="1" sourceData="1" url="Z:\Dosis pacientes\Alertas_Intervencionismo\PRUEBAHIBRIDO\20240125-20240126.xml" htmlTables="1" htmlFormat="all"/>
  </connection>
  <connection id="764" name="20240125-202401261" type="4" refreshedVersion="0" background="1">
    <webPr xml="1" sourceData="1" url="Z:\Dosis pacientes\Alertas_Intervencionismo\PRUEBAHIBRIDO\20240125-20240126.xml" htmlTables="1" htmlFormat="all"/>
  </connection>
  <connection id="765" name="20240126-20240130" type="4" refreshedVersion="0" background="1">
    <webPr xml="1" sourceData="1" url="Z:\Dosis pacientes\Alertas_Intervencionismo\PRUEBAHIBRIDO\20240126-20240130.xml" htmlTables="1" htmlFormat="all"/>
  </connection>
  <connection id="766" name="20240130-20240131" type="4" refreshedVersion="0" background="1">
    <webPr xml="1" sourceData="1" url="Z:\Dosis pacientes\Alertas_Intervencionismo\PRUEBAHIBRIDO\20240130-20240131.xml" htmlTables="1" htmlFormat="all"/>
  </connection>
  <connection id="767" name="20240131-20240201" type="4" refreshedVersion="0" background="1">
    <webPr xml="1" sourceData="1" url="Z:\Dosis pacientes\Alertas_Intervencionismo\PRUEBAHIBRIDO\20240131-20240201.xml" htmlTables="1" htmlFormat="all"/>
  </connection>
  <connection id="768" name="20240201-20240202" type="4" refreshedVersion="0" background="1">
    <webPr xml="1" sourceData="1" url="Z:\Dosis pacientes\Alertas_Intervencionismo\PRUEBAHIBRIDO\20240201-20240202.xml" htmlTables="1" htmlFormat="all"/>
  </connection>
  <connection id="769" name="20240202-20240205" type="4" refreshedVersion="0" background="1">
    <webPr xml="1" sourceData="1" url="Z:\Dosis pacientes\Alertas_Intervencionismo\PRUEBAHIBRIDO\20240202-20240205.xml" htmlTables="1" htmlFormat="all"/>
  </connection>
  <connection id="770" name="20240205-20240206" type="4" refreshedVersion="0" background="1">
    <webPr xml="1" sourceData="1" url="Z:\Dosis pacientes\Alertas_Intervencionismo\PRUEBAHIBRIDO\20240205-20240206.xml" htmlTables="1" htmlFormat="all"/>
  </connection>
  <connection id="771" name="20240206-20240207" type="4" refreshedVersion="0" background="1">
    <webPr xml="1" sourceData="1" url="Z:\Dosis pacientes\Alertas_Intervencionismo\PRUEBAHIBRIDO\20240206-20240207.xml" htmlTables="1" htmlFormat="all"/>
  </connection>
  <connection id="772" name="20240207-20240208" type="4" refreshedVersion="0" background="1">
    <webPr xml="1" sourceData="1" url="Z:\Dosis pacientes\Alertas_Intervencionismo\PRUEBAHIBRIDO\20240207-20240208.xml" htmlTables="1" htmlFormat="all"/>
  </connection>
  <connection id="773" name="20240208-20240209" type="4" refreshedVersion="0" background="1">
    <webPr xml="1" sourceData="1" url="Z:\Dosis pacientes\Alertas_Intervencionismo\PRUEBAHIBRIDO\20240208-20240209.xml" htmlTables="1" htmlFormat="all"/>
  </connection>
  <connection id="774" name="20240209-20240212" type="4" refreshedVersion="0" background="1">
    <webPr xml="1" sourceData="1" url="Z:\Dosis pacientes\Alertas_Intervencionismo\PRUEBAHIBRIDO\20240209-20240212.xml" htmlTables="1" htmlFormat="all"/>
  </connection>
  <connection id="775" name="20240212-20240213" type="4" refreshedVersion="0" background="1">
    <webPr xml="1" sourceData="1" url="Z:\Dosis pacientes\Alertas_Intervencionismo\PRUEBAHIBRIDO\20240212-20240213.xml" htmlTables="1" htmlFormat="all"/>
  </connection>
  <connection id="776" name="20240213-20240214" type="4" refreshedVersion="0" background="1">
    <webPr xml="1" sourceData="1" url="Z:\Dosis pacientes\Alertas_Intervencionismo\PRUEBAHIBRIDO\20240213-20240214.xml" htmlTables="1" htmlFormat="all"/>
  </connection>
  <connection id="777" name="20240214-20240215" type="4" refreshedVersion="0" background="1">
    <webPr xml="1" sourceData="1" url="Z:\Dosis pacientes\Alertas_Intervencionismo\PRUEBAHIBRIDO\20240214-20240215.xml" htmlTables="1" htmlFormat="all"/>
  </connection>
  <connection id="778" name="20240215-20240216" type="4" refreshedVersion="0" background="1">
    <webPr xml="1" sourceData="1" url="Z:\Dosis pacientes\Alertas_Intervencionismo\PRUEBAHIBRIDO\20240215-20240216.xml" htmlTables="1" htmlFormat="all"/>
  </connection>
  <connection id="779" name="20240216-20240219" type="4" refreshedVersion="0" background="1">
    <webPr xml="1" sourceData="1" url="Z:\Dosis pacientes\Alertas_Intervencionismo\PRUEBAHIBRIDO\20240216-20240219.xml" htmlTables="1" htmlFormat="all"/>
  </connection>
  <connection id="780" name="20240219-20240220" type="4" refreshedVersion="0" background="1">
    <webPr xml="1" sourceData="1" url="Z:\Dosis pacientes\Alertas_Intervencionismo\PRUEBAHIBRIDO\20240219-20240220.xml" htmlTables="1" htmlFormat="all"/>
  </connection>
  <connection id="781" name="20240220-20240221" type="4" refreshedVersion="0" background="1">
    <webPr xml="1" sourceData="1" url="Z:\Dosis pacientes\Alertas_Intervencionismo\PRUEBAHIBRIDO\20240220-20240221.xml" htmlTables="1" htmlFormat="all"/>
  </connection>
  <connection id="782" name="20240221-20240222" type="4" refreshedVersion="0" background="1">
    <webPr xml="1" sourceData="1" url="Z:\Dosis pacientes\Alertas_Intervencionismo\PRUEBAHIBRIDO\20240221-20240222.xml" htmlTables="1" htmlFormat="all"/>
  </connection>
  <connection id="783" name="20240222-20240223" type="4" refreshedVersion="0" background="1">
    <webPr xml="1" sourceData="1" url="Z:\Dosis pacientes\Alertas_Intervencionismo\PRUEBAHIBRIDO\20240222-20240223.xml" htmlTables="1" htmlFormat="all"/>
  </connection>
  <connection id="784" name="20240223-20240226" type="4" refreshedVersion="0" background="1">
    <webPr xml="1" sourceData="1" url="Z:\Dosis pacientes\Alertas_Intervencionismo\PRUEBAHIBRIDO\20240223-20240226.xml" htmlTables="1" htmlFormat="all"/>
  </connection>
  <connection id="785" name="20240226-20240227" type="4" refreshedVersion="0" background="1">
    <webPr xml="1" sourceData="1" url="Z:\Dosis pacientes\Alertas_Intervencionismo\PRUEBAHIBRIDO\20240226-20240227.xml" htmlTables="1" htmlFormat="all"/>
  </connection>
  <connection id="786" name="20240227-20240228" type="4" refreshedVersion="0" background="1">
    <webPr xml="1" sourceData="1" url="Z:\Dosis pacientes\Alertas_Intervencionismo\PRUEBAHIBRIDO\20240227-20240228.xml" htmlTables="1" htmlFormat="all"/>
  </connection>
  <connection id="787" name="20240228-20240229" type="4" refreshedVersion="0" background="1">
    <webPr xml="1" sourceData="1" url="Z:\Dosis pacientes\Alertas_Intervencionismo\PRUEBAHIBRIDO\20240228-20240229.xml" htmlTables="1" htmlFormat="all"/>
  </connection>
  <connection id="788" name="20240229-20240301" type="4" refreshedVersion="0" background="1">
    <webPr xml="1" sourceData="1" url="Z:\Dosis pacientes\Alertas_Intervencionismo\PRUEBAHIBRIDO\20240229-20240301.xml" htmlTables="1" htmlFormat="all"/>
  </connection>
  <connection id="789" name="20240301-20240304" type="4" refreshedVersion="0" background="1">
    <webPr xml="1" sourceData="1" url="Z:\Dosis pacientes\Alertas_Intervencionismo\PRUEBAHIBRIDO\20240301-20240304.xml" htmlTables="1" htmlFormat="all"/>
  </connection>
  <connection id="790" name="20240304-20240305" type="4" refreshedVersion="0" background="1">
    <webPr xml="1" sourceData="1" url="Z:\Dosis pacientes\Alertas_Intervencionismo\PRUEBAHIBRIDO\20240304-20240305.xml" htmlTables="1" htmlFormat="all"/>
  </connection>
  <connection id="791" name="20240305-20240306" type="4" refreshedVersion="0" background="1">
    <webPr xml="1" sourceData="1" url="Z:\Dosis pacientes\Alertas_Intervencionismo\PRUEBAHIBRIDO\20240305-20240306.xml" htmlTables="1" htmlFormat="all"/>
  </connection>
  <connection id="792" name="20240306-20240307" type="4" refreshedVersion="0" background="1">
    <webPr xml="1" sourceData="1" url="Z:\Dosis pacientes\Alertas_Intervencionismo\PRUEBAHIBRIDO\20240306-20240307.xml" htmlTables="1" htmlFormat="all"/>
  </connection>
  <connection id="793" name="20240307-20240308" type="4" refreshedVersion="0" background="1">
    <webPr xml="1" sourceData="1" url="Z:\Dosis pacientes\Alertas_Intervencionismo\PRUEBAHIBRIDO\20240307-20240308.xml" htmlTables="1" htmlFormat="all"/>
  </connection>
  <connection id="794" name="20240308-20240311" type="4" refreshedVersion="0" background="1">
    <webPr xml="1" sourceData="1" url="Z:\Dosis pacientes\Alertas_Intervencionismo\PRUEBAHIBRIDO\20240308-20240311.xml" htmlTables="1" htmlFormat="all"/>
  </connection>
  <connection id="795" name="20240311-20240312" type="4" refreshedVersion="0" background="1">
    <webPr xml="1" sourceData="1" url="Z:\Dosis pacientes\Alertas_Intervencionismo\PRUEBAHIBRIDO\20240311-20240312.xml" htmlTables="1" htmlFormat="all"/>
  </connection>
  <connection id="796" name="20240313-20240314" type="4" refreshedVersion="0" background="1">
    <webPr xml="1" sourceData="1" url="Z:\Dosis pacientes\Alertas_Intervencionismo\PRUEBAHIBRIDO\20240313-20240314.xml" htmlTables="1" htmlFormat="all"/>
  </connection>
  <connection id="797" name="20240314-20240315" type="4" refreshedVersion="0" background="1">
    <webPr xml="1" sourceData="1" url="Z:\Dosis pacientes\Alertas_Intervencionismo\PRUEBAHIBRIDO\20240314-20240315.xml" htmlTables="1" htmlFormat="all"/>
  </connection>
  <connection id="798" name="20240315-20240318" type="4" refreshedVersion="0" background="1">
    <webPr xml="1" sourceData="1" url="Z:\Dosis pacientes\Alertas_Intervencionismo\PRUEBAHIBRIDO\20240315-20240318.xml" htmlTables="1" htmlFormat="all"/>
  </connection>
  <connection id="799" name="20240315-202403181" type="4" refreshedVersion="0" background="1">
    <webPr xml="1" sourceData="1" url="Z:\Dosis pacientes\Alertas_Intervencionismo\PRUEBAHIBRIDO\20240315-20240318.xml" htmlTables="1" htmlFormat="all"/>
  </connection>
  <connection id="800" name="20240318-20240319" type="4" refreshedVersion="0" background="1">
    <webPr xml="1" sourceData="1" url="Z:\Dosis pacientes\Alertas_Intervencionismo\PRUEBAHIBRIDO\20240318-20240319.xml" htmlTables="1" htmlFormat="all"/>
  </connection>
  <connection id="801" name="20240319-20240320" type="4" refreshedVersion="0" background="1">
    <webPr xml="1" sourceData="1" url="Z:\Dosis pacientes\Alertas_Intervencionismo\PRUEBAHIBRIDO\20240319-20240320.xml" htmlTables="1" htmlFormat="all"/>
  </connection>
  <connection id="802" name="20240320-20240321" type="4" refreshedVersion="0" background="1">
    <webPr xml="1" sourceData="1" url="Z:\Dosis pacientes\Alertas_Intervencionismo\PRUEBAHIBRIDO\20240320-20240321.xml" htmlTables="1" htmlFormat="all"/>
  </connection>
  <connection id="803" name="20240320-202403211" type="4" refreshedVersion="0" background="1">
    <webPr xml="1" sourceData="1" url="Z:\Dosis pacientes\Alertas_Intervencionismo\PRUEBAHIBRIDO\20240320-20240321.xml" htmlTables="1" htmlFormat="all"/>
  </connection>
  <connection id="804" name="20240326-20240327" type="4" refreshedVersion="0" background="1">
    <webPr xml="1" sourceData="1" url="Z:\Dosis pacientes\Alertas_Intervencionismo\PRUEBAHIBRIDO\20240326-20240327.xml" htmlTables="1" htmlFormat="all"/>
  </connection>
  <connection id="805" name="20240327-20240401" type="4" refreshedVersion="0" background="1">
    <webPr xml="1" sourceData="1" url="Z:\Dosis pacientes\Alertas_Intervencionismo\PRUEBAHIBRIDO\20240327-20240401.xml" htmlTables="1" htmlFormat="all"/>
  </connection>
  <connection id="806" name="20240401-20240402" type="4" refreshedVersion="0" background="1">
    <webPr xml="1" sourceData="1" url="Z:\Dosis pacientes\Alertas_Intervencionismo\PRUEBAHIBRIDO\20240401-20240402.xml" htmlTables="1" htmlFormat="all"/>
  </connection>
  <connection id="807" name="20240402-20240403" type="4" refreshedVersion="0" background="1">
    <webPr xml="1" sourceData="1" url="Z:\Dosis pacientes\Alertas_Intervencionismo\PRUEBAHIBRIDO\20240402-20240403.xml" htmlTables="1" htmlFormat="all"/>
  </connection>
  <connection id="808" name="20240403-20240404" type="4" refreshedVersion="0" background="1">
    <webPr xml="1" sourceData="1" url="Z:\Dosis pacientes\Alertas_Intervencionismo\PRUEBAHIBRIDO\20240403-20240404.xml" htmlTables="1" htmlFormat="all"/>
  </connection>
  <connection id="809" name="20240403-202404041" type="4" refreshedVersion="0" background="1">
    <webPr xml="1" sourceData="1" url="Z:\Dosis pacientes\Alertas_Intervencionismo\PRUEBAHIBRIDO\20240403-20240404.xml" htmlTables="1" htmlFormat="all"/>
  </connection>
  <connection id="810" name="20240404-20240408" type="4" refreshedVersion="0" background="1">
    <webPr xml="1" sourceData="1" url="Z:\Dosis pacientes\Alertas_Intervencionismo\PRUEBAHIBRIDO\20240404-20240408.xml" htmlTables="1" htmlFormat="all"/>
  </connection>
  <connection id="811" name="20240408-20240409" type="4" refreshedVersion="0" background="1">
    <webPr xml="1" sourceData="1" url="Z:\Dosis pacientes\Alertas_Intervencionismo\PRUEBAHIBRIDO\20240408-20240409.xml" htmlTables="1" htmlFormat="all"/>
  </connection>
  <connection id="812" name="20240409-20240410" type="4" refreshedVersion="0" background="1">
    <webPr xml="1" sourceData="1" url="Z:\Dosis pacientes\Alertas_Intervencionismo\PRUEBAHIBRIDO\20240409-20240410.xml" htmlTables="1" htmlFormat="all"/>
  </connection>
  <connection id="813" name="20240410-20240411" type="4" refreshedVersion="0" background="1">
    <webPr xml="1" sourceData="1" url="Z:\Dosis pacientes\Alertas_Intervencionismo\PRUEBAHIBRIDO\20240410-20240411.xml" htmlTables="1" htmlFormat="all"/>
  </connection>
  <connection id="814" name="20240410-202404111" type="4" refreshedVersion="0" background="1">
    <webPr xml="1" sourceData="1" url="Z:\Dosis pacientes\Alertas_Intervencionismo\PRUEBAHIBRIDO\20240410-20240411.xml" htmlTables="1" htmlFormat="all"/>
  </connection>
  <connection id="815" name="20240411-20240415" type="4" refreshedVersion="0" background="1">
    <webPr xml="1" sourceData="1" url="Z:\Dosis pacientes\Alertas_Intervencionismo\PRUEBAHIBRIDO\20240411-20240415.xml" htmlTables="1" htmlFormat="all"/>
  </connection>
  <connection id="816" name="20240415-20240416" type="4" refreshedVersion="0" background="1">
    <webPr xml="1" sourceData="1" url="Z:\Dosis pacientes\Alertas_Intervencionismo\PRUEBAHIBRIDO\20240415-20240416.xml" htmlTables="1" htmlFormat="all"/>
  </connection>
  <connection id="817" name="20240416-20240417" type="4" refreshedVersion="0" background="1">
    <webPr xml="1" sourceData="1" url="Z:\Dosis pacientes\Alertas_Intervencionismo\PRUEBAHIBRIDO\20240416-20240417.xml" htmlTables="1" htmlFormat="all"/>
  </connection>
  <connection id="818" name="20240417-20240418" type="4" refreshedVersion="0" background="1">
    <webPr xml="1" sourceData="1" url="Z:\Dosis pacientes\Alertas_Intervencionismo\PRUEBAHIBRIDO\20240417-20240418.xml" htmlTables="1" htmlFormat="all"/>
  </connection>
  <connection id="819" name="20240418-20240419" type="4" refreshedVersion="0" background="1">
    <webPr xml="1" sourceData="1" url="Z:\Dosis pacientes\Alertas_Intervencionismo\PRUEBAHIBRIDO\20240418-20240419.xml" htmlTables="1" htmlFormat="all"/>
  </connection>
  <connection id="820" name="20240418-202404191" type="4" refreshedVersion="0" background="1">
    <webPr xml="1" sourceData="1" url="Z:\Dosis pacientes\Alertas_Intervencionismo\PRUEBAHIBRIDO\20240418-20240419.xml" htmlTables="1" htmlFormat="all"/>
  </connection>
  <connection id="821" name="20240419-20240424" type="4" refreshedVersion="0" background="1">
    <webPr xml="1" sourceData="1" url="Z:\Dosis pacientes\Alertas_Intervencionismo\PRUEBAHIBRIDO\20240419-20240424.xml" htmlTables="1" htmlFormat="all"/>
  </connection>
  <connection id="822" name="20240424-20240425" type="4" refreshedVersion="0" background="1">
    <webPr xml="1" sourceData="1" url="Z:\Dosis pacientes\Alertas_Intervencionismo\PRUEBAHIBRIDO\20240424-20240425.xml" htmlTables="1" htmlFormat="all"/>
  </connection>
  <connection id="823" name="20240424-202404251" type="4" refreshedVersion="0" background="1">
    <webPr xml="1" sourceData="1" url="Z:\Dosis pacientes\Alertas_Intervencionismo\PRUEBAHIBRIDO\20240424-20240425.xml" htmlTables="1" htmlFormat="all"/>
  </connection>
  <connection id="824" name="20240424-202404252" type="4" refreshedVersion="0" background="1">
    <webPr xml="1" sourceData="1" url="Z:\Dosis pacientes\Alertas_Intervencionismo\PRUEBAHIBRIDO\20240424-20240425.xml" htmlTables="1" htmlFormat="all"/>
  </connection>
  <connection id="825" name="20240425-20240429" type="4" refreshedVersion="0" background="1">
    <webPr xml="1" sourceData="1" url="Z:\Dosis pacientes\Alertas_Intervencionismo\PRUEBAHIBRIDO\20240425-20240429.xml" htmlTables="1" htmlFormat="all"/>
  </connection>
  <connection id="826" name="20240429-20240430" type="4" refreshedVersion="0" background="1">
    <webPr xml="1" sourceData="1" url="Z:\Dosis pacientes\Alertas_Intervencionismo\PRUEBAHIBRIDO\20240429-20240430.xml" htmlTables="1" htmlFormat="all"/>
  </connection>
  <connection id="827" name="20240429-202404301" type="4" refreshedVersion="0" background="1">
    <webPr xml="1" sourceData="1" url="Z:\Dosis pacientes\Alertas_Intervencionismo\PRUEBAHIBRIDO\20240429-20240430.xml" htmlTables="1" htmlFormat="all"/>
  </connection>
  <connection id="828" name="20240429-202404302" type="4" refreshedVersion="0" background="1">
    <webPr xml="1" sourceData="1" url="Z:\Dosis pacientes\Alertas_Intervencionismo\PRUEBAHIBRIDO\20240429-20240430.xml" htmlTables="1" htmlFormat="all"/>
  </connection>
  <connection id="829" name="20240430-20240502" type="4" refreshedVersion="0" background="1">
    <webPr xml="1" sourceData="1" url="Z:\Dosis pacientes\Alertas_Intervencionismo\PRUEBAHIBRIDO\20240430-20240502.xml" htmlTables="1" htmlFormat="all"/>
  </connection>
  <connection id="830" name="20240506-20240507" type="4" refreshedVersion="0" background="1">
    <webPr xml="1" sourceData="1" url="Z:\Dosis pacientes\Alertas_Intervencionismo\PRUEBAHIBRIDO\20240506-20240507.xml" htmlTables="1" htmlFormat="all"/>
  </connection>
  <connection id="831" name="20240506-202405071" type="4" refreshedVersion="0" background="1">
    <webPr xml="1" sourceData="1" url="Z:\Dosis pacientes\Alertas_Intervencionismo\PRUEBAHIBRIDO\20240506-20240507.xml" htmlTables="1" htmlFormat="all"/>
  </connection>
  <connection id="832" name="20240507-20240509" type="4" refreshedVersion="0" background="1">
    <webPr xml="1" sourceData="1" url="Z:\Dosis pacientes\Alertas_Intervencionismo\PRUEBAHIBRIDO\20240507-20240509.xml" htmlTables="1" htmlFormat="all"/>
  </connection>
  <connection id="833" name="20240509-20240510" type="4" refreshedVersion="0" background="1">
    <webPr xml="1" sourceData="1" url="Z:\Dosis pacientes\Alertas_Intervencionismo\PRUEBAHIBRIDO\20240509-20240510.xml" htmlTables="1" htmlFormat="all"/>
  </connection>
  <connection id="834" name="20240509-202405101" type="4" refreshedVersion="0" background="1">
    <webPr xml="1" sourceData="1" url="Z:\Dosis pacientes\Alertas_Intervencionismo\PRUEBAHIBRIDO\20240509-20240510.xml" htmlTables="1" htmlFormat="all"/>
  </connection>
  <connection id="835" name="20240509-202405102" type="4" refreshedVersion="0" background="1">
    <webPr xml="1" sourceData="1" url="Z:\Dosis pacientes\Alertas_Intervencionismo\PRUEBAHIBRIDO\20240509-20240510.xml" htmlTables="1" htmlFormat="all"/>
  </connection>
  <connection id="836" name="20240510-20240514" type="4" refreshedVersion="0" background="1">
    <webPr xml="1" sourceData="1" url="Z:\Dosis pacientes\Alertas_Intervencionismo\PRUEBAHIBRIDO\20240510-20240514.xml" htmlTables="1" htmlFormat="all"/>
  </connection>
  <connection id="837" name="20240514-20240515" type="4" refreshedVersion="0" background="1">
    <webPr xml="1" sourceData="1" url="Z:\Dosis pacientes\Alertas_Intervencionismo\PRUEBAHIBRIDO\20240514-20240515.xml" htmlTables="1" htmlFormat="all"/>
  </connection>
  <connection id="838" name="20240515-20240516" type="4" refreshedVersion="0" background="1">
    <webPr xml="1" sourceData="1" url="Z:\Dosis pacientes\Alertas_Intervencionismo\PRUEBAHIBRIDO\20240515-20240516.xml" htmlTables="1" htmlFormat="all"/>
  </connection>
  <connection id="839" name="20240516-20240517" type="4" refreshedVersion="0" background="1">
    <webPr xml="1" sourceData="1" url="Z:\Dosis pacientes\Alertas_Intervencionismo\PRUEBAHIBRIDO\20240516-20240517.xml" htmlTables="1" htmlFormat="all"/>
  </connection>
  <connection id="840" name="20240517-20240520" type="4" refreshedVersion="0" background="1">
    <webPr xml="1" sourceData="1" url="Z:\Dosis pacientes\Alertas_Intervencionismo\PRUEBAHIBRIDO\20240517-20240520.xml" htmlTables="1" htmlFormat="all"/>
  </connection>
  <connection id="841" name="20240520-20240521" type="4" refreshedVersion="0" background="1">
    <webPr xml="1" sourceData="1" url="Z:\Dosis pacientes\Alertas_Intervencionismo\PRUEBAHIBRIDO\20240520-20240521.xml" htmlTables="1" htmlFormat="all"/>
  </connection>
  <connection id="842" name="20240521-20240522" type="4" refreshedVersion="0" background="1">
    <webPr xml="1" sourceData="1" url="Z:\Dosis pacientes\Alertas_Intervencionismo\PRUEBAHIBRIDO\20240521-20240522.xml" htmlTables="1" htmlFormat="all"/>
  </connection>
  <connection id="843" name="20240523-20240524" type="4" refreshedVersion="0" background="1">
    <webPr xml="1" sourceData="1" url="Z:\Dosis pacientes\Alertas_Intervencionismo\PRUEBAHIBRIDO\20240523-20240524.xml" htmlTables="1" htmlFormat="all"/>
  </connection>
  <connection id="844" name="20240523-202405241" type="4" refreshedVersion="0" background="1">
    <webPr xml="1" sourceData="1" url="Z:\Dosis pacientes\Alertas_Intervencionismo\PRUEBAHIBRIDO\20240523-20240524.xml" htmlTables="1" htmlFormat="all"/>
  </connection>
  <connection id="845" name="20240524-20240527" type="4" refreshedVersion="0" background="1">
    <webPr xml="1" sourceData="1" url="Z:\Dosis pacientes\Alertas_Intervencionismo\PRUEBAHIBRIDO\20240524-20240527.xml" htmlTables="1" htmlFormat="all"/>
  </connection>
  <connection id="846" name="20240527-20240528" type="4" refreshedVersion="0" background="1">
    <webPr xml="1" sourceData="1" url="Z:\Dosis pacientes\Alertas_Intervencionismo\PRUEBAHIBRIDO\20240527-20240528.xml" htmlTables="1" htmlFormat="all"/>
  </connection>
  <connection id="847" name="20240528-20240529" type="4" refreshedVersion="0" background="1">
    <webPr xml="1" sourceData="1" url="Z:\Dosis pacientes\Alertas_Intervencionismo\PRUEBAHIBRIDO\20240528-20240529.xml" htmlTables="1" htmlFormat="all"/>
  </connection>
  <connection id="848" name="20240529-20240530" type="4" refreshedVersion="0" background="1">
    <webPr xml="1" sourceData="1" url="Z:\Dosis pacientes\Alertas_Intervencionismo\PRUEBAHIBRIDO\20240529-20240530.xml" htmlTables="1" htmlFormat="all"/>
  </connection>
  <connection id="849" name="20240530-20240531" type="4" refreshedVersion="0" background="1">
    <webPr xml="1" sourceData="1" url="Z:\Dosis pacientes\Alertas_Intervencionismo\PRUEBAHIBRIDO\20240530-20240531.xml" htmlTables="1" htmlFormat="all"/>
  </connection>
  <connection id="850" name="20240530-202405311" type="4" refreshedVersion="0" background="1">
    <webPr xml="1" sourceData="1" url="Z:\Dosis pacientes\Alertas_Intervencionismo\PRUEBAHIBRIDO\20240530-20240531.xml" htmlTables="1" htmlFormat="all"/>
  </connection>
  <connection id="851" name="20240531-20240603" type="4" refreshedVersion="0" background="1">
    <webPr xml="1" sourceData="1" url="Z:\Dosis pacientes\Alertas_Intervencionismo\PRUEBAHIBRIDO\20240531-20240603.xml" htmlTables="1" htmlFormat="all"/>
  </connection>
  <connection id="852" name="20240603-20240604" type="4" refreshedVersion="0" background="1">
    <webPr xml="1" sourceData="1" url="Z:\Dosis pacientes\Alertas_Intervencionismo\PRUEBAHIBRIDO\20240603-20240604.xml" htmlTables="1" htmlFormat="all"/>
  </connection>
  <connection id="853" name="20240604-20240605" type="4" refreshedVersion="0" background="1">
    <webPr xml="1" sourceData="1" url="Z:\Dosis pacientes\Alertas_Intervencionismo\PRUEBAHIBRIDO\20240604-20240605.xml" htmlTables="1" htmlFormat="all"/>
  </connection>
  <connection id="854" name="20240605-20240606" type="4" refreshedVersion="0" background="1">
    <webPr xml="1" sourceData="1" url="Z:\Dosis pacientes\Alertas_Intervencionismo\PRUEBAHIBRIDO\20240605-20240606.xml" htmlTables="1" htmlFormat="all"/>
  </connection>
  <connection id="855" name="20240606-20240607" type="4" refreshedVersion="0" background="1">
    <webPr xml="1" sourceData="1" url="Z:\Dosis pacientes\Alertas_Intervencionismo\PRUEBAHIBRIDO\20240606-20240607.xml" htmlTables="1" htmlFormat="all"/>
  </connection>
  <connection id="856" name="20240607-20240610" type="4" refreshedVersion="0" background="1">
    <webPr xml="1" sourceData="1" url="Z:\Dosis pacientes\Alertas_Intervencionismo\PRUEBAHIBRIDO\20240607-20240610.xml" htmlTables="1" htmlFormat="all"/>
  </connection>
  <connection id="857" name="20240607-202406101" type="4" refreshedVersion="0" background="1">
    <webPr xml="1" sourceData="1" url="Z:\Dosis pacientes\Alertas_Intervencionismo\PRUEBAHIBRIDO\20240607-20240610.xml" htmlTables="1" htmlFormat="all"/>
  </connection>
  <connection id="858" name="20240607-202406102" type="4" refreshedVersion="0" background="1">
    <webPr xml="1" sourceData="1" url="Z:\Dosis pacientes\Alertas_Intervencionismo\PRUEBAHIBRIDO\20240607-20240610.xml" htmlTables="1" htmlFormat="all"/>
  </connection>
  <connection id="859" name="20240610-20240613" type="4" refreshedVersion="0" background="1">
    <webPr xml="1" sourceData="1" url="Z:\Dosis pacientes\Alertas_Intervencionismo\PRUEBAHIBRIDO\20240610-20240613.xml" htmlTables="1" htmlFormat="all"/>
  </connection>
  <connection id="860" name="20240613-20240614" type="4" refreshedVersion="0" background="1">
    <webPr xml="1" sourceData="1" url="Z:\Dosis pacientes\Alertas_Intervencionismo\PRUEBAHIBRIDO\20240613-20240614.xml" htmlTables="1" htmlFormat="all"/>
  </connection>
  <connection id="861" name="20240614-20240617" type="4" refreshedVersion="0" background="1">
    <webPr xml="1" sourceData="1" url="Z:\Dosis pacientes\Alertas_Intervencionismo\PRUEBAHIBRIDO\20240614-20240617.xml" htmlTables="1" htmlFormat="all"/>
  </connection>
  <connection id="862" name="20240617-20240618" type="4" refreshedVersion="0" background="1">
    <webPr xml="1" sourceData="1" url="Z:\Dosis pacientes\Alertas_Intervencionismo\PRUEBAHIBRIDO\20240617-20240618.xml" htmlTables="1" htmlFormat="all"/>
  </connection>
  <connection id="863" name="20240618-20240619" type="4" refreshedVersion="0" background="1">
    <webPr xml="1" sourceData="1" url="Z:\Dosis pacientes\Alertas_Intervencionismo\PRUEBAHIBRIDO\20240618-20240619.xml" htmlTables="1" htmlFormat="all"/>
  </connection>
  <connection id="864" name="20240619-20240620" type="4" refreshedVersion="0" background="1">
    <webPr xml="1" sourceData="1" url="Z:\Dosis pacientes\Alertas_Intervencionismo\PRUEBAHIBRIDO\20240619-20240620.xml" htmlTables="1" htmlFormat="all"/>
  </connection>
  <connection id="865" name="20240620-20240621" type="4" refreshedVersion="0" background="1">
    <webPr xml="1" sourceData="1" url="Z:\Dosis pacientes\Alertas_Intervencionismo\PRUEBAHIBRIDO\20240620-20240621.xml" htmlTables="1" htmlFormat="all"/>
  </connection>
  <connection id="866" name="20240624-20240624" type="4" refreshedVersion="0" background="1">
    <webPr xml="1" sourceData="1" url="Z:\Dosis pacientes\Alertas_Intervencionismo\PRUEBAHIBRIDO\20240624-20240624.xml" htmlTables="1" htmlFormat="all"/>
  </connection>
  <connection id="867" name="20240624-20240625" type="4" refreshedVersion="0" background="1">
    <webPr xml="1" sourceData="1" url="Z:\Dosis pacientes\Alertas_Intervencionismo\PRUEBAHIBRIDO\20240624-20240625.xml" htmlTables="1" htmlFormat="all"/>
  </connection>
  <connection id="868" name="20240625-20240626" type="4" refreshedVersion="0" background="1">
    <webPr xml="1" sourceData="1" url="Z:\Dosis pacientes\Alertas_Intervencionismo\PRUEBAHIBRIDO\20240625-20240626.xml" htmlTables="1" htmlFormat="all"/>
  </connection>
  <connection id="869" name="20240626-20240627" type="4" refreshedVersion="0" background="1">
    <webPr xml="1" sourceData="1" url="Z:\Dosis pacientes\Alertas_Intervencionismo\PRUEBAHIBRIDO\20240626-20240627.xml" htmlTables="1" htmlFormat="all"/>
  </connection>
  <connection id="870" name="20240627-20240628" type="4" refreshedVersion="0" background="1">
    <webPr xml="1" sourceData="1" url="Z:\Dosis pacientes\Alertas_Intervencionismo\PRUEBAHIBRIDO\20240627-20240628.xml" htmlTables="1" htmlFormat="all"/>
  </connection>
  <connection id="871" name="20240628-20240701" type="4" refreshedVersion="0" background="1">
    <webPr xml="1" sourceData="1" url="Z:\Dosis pacientes\Alertas_Intervencionismo\PRUEBAHIBRIDO\20240628-20240701.xml" htmlTables="1" htmlFormat="all"/>
  </connection>
  <connection id="872" name="20240701-20240702" type="4" refreshedVersion="0" background="1">
    <webPr xml="1" sourceData="1" url="Z:\Dosis pacientes\Alertas_Intervencionismo\PRUEBAHIBRIDO\20240701-20240702.xml" htmlTables="1" htmlFormat="all"/>
  </connection>
  <connection id="873" name="20240702-20240703" type="4" refreshedVersion="0" background="1">
    <webPr xml="1" sourceData="1" url="Z:\Dosis pacientes\Alertas_Intervencionismo\PRUEBAHIBRIDO\20240702-20240703.xml" htmlTables="1" htmlFormat="all"/>
  </connection>
  <connection id="874" name="20240703-20240704" type="4" refreshedVersion="0" background="1">
    <webPr xml="1" sourceData="1" url="Z:\Dosis pacientes\Alertas_Intervencionismo\PRUEBAHIBRIDO\20240703-20240704.xml" htmlTables="1" htmlFormat="all"/>
  </connection>
  <connection id="875" name="20240705-20240708" type="4" refreshedVersion="0" background="1">
    <webPr xml="1" sourceData="1" url="Z:\Dosis pacientes\Alertas_Intervencionismo\PRUEBAHIBRIDO\20240705-20240708.xml" htmlTables="1" htmlFormat="all"/>
  </connection>
  <connection id="876" name="20240705-202407081" type="4" refreshedVersion="0" background="1">
    <webPr xml="1" sourceData="1" url="Z:\Dosis pacientes\Alertas_Intervencionismo\PRUEBAHIBRIDO\20240705-20240708.xml" htmlTables="1" htmlFormat="all"/>
  </connection>
  <connection id="877" name="20240708-20240710" type="4" refreshedVersion="0" background="1">
    <webPr xml="1" sourceData="1" url="Z:\Dosis pacientes\Alertas_Intervencionismo\PRUEBAHIBRIDO\20240708-20240710.xml" htmlTables="1" htmlFormat="all"/>
  </connection>
  <connection id="878" name="20240710-20240711" type="4" refreshedVersion="0" background="1">
    <webPr xml="1" sourceData="1" url="Z:\Dosis pacientes\Alertas_Intervencionismo\PRUEBAHIBRIDO\20240710-20240711.xml" htmlTables="1" htmlFormat="all"/>
  </connection>
  <connection id="879" name="20240715-20240716" type="4" refreshedVersion="0" background="1">
    <webPr xml="1" sourceData="1" url="Z:\Dosis pacientes\Alertas_Intervencionismo\PRUEBAHIBRIDO\20240715-20240716.xml" htmlTables="1" htmlFormat="all"/>
  </connection>
  <connection id="880" name="20240715-202407161" type="4" refreshedVersion="0" background="1">
    <webPr xml="1" sourceData="1" url="Z:\Dosis pacientes\Alertas_Intervencionismo\PRUEBAHIBRIDO\20240715-20240716.xml" htmlTables="1" htmlFormat="all"/>
  </connection>
  <connection id="881" name="20240717-20240719" type="4" refreshedVersion="0" background="1">
    <webPr xml="1" sourceData="1" url="Z:\Dosis pacientes\Alertas_Intervencionismo\PRUEBAHIBRIDO\20240717-20240719.xml" htmlTables="1" htmlFormat="all"/>
  </connection>
  <connection id="882" name="20240717-202407191" type="4" refreshedVersion="0" background="1">
    <webPr xml="1" sourceData="1" url="Z:\Dosis pacientes\Alertas_Intervencionismo\PRUEBAHIBRIDO\20240717-20240719.xml" htmlTables="1" htmlFormat="all"/>
  </connection>
  <connection id="883" name="20240719-20240722" type="4" refreshedVersion="0" background="1">
    <webPr xml="1" sourceData="1" url="Z:\Dosis pacientes\Alertas_Intervencionismo\PRUEBAHIBRIDO\20240719-20240722.xml" htmlTables="1" htmlFormat="all"/>
  </connection>
  <connection id="884" name="20240719-202407221" type="4" refreshedVersion="0" background="1">
    <webPr xml="1" sourceData="1" url="Z:\Dosis pacientes\Alertas_Intervencionismo\PRUEBAHIBRIDO\20240719-20240722.xml" htmlTables="1" htmlFormat="all"/>
  </connection>
  <connection id="885" name="20240724-20240725" type="4" refreshedVersion="0" background="1">
    <webPr xml="1" sourceData="1" url="Z:\Dosis pacientes\Alertas_Intervencionismo\PRUEBAHIBRIDO\20240724-20240725.xml" htmlTables="1" htmlFormat="all"/>
  </connection>
  <connection id="886" name="20240725-20240726" type="4" refreshedVersion="0" background="1">
    <webPr xml="1" sourceData="1" url="Z:\Dosis pacientes\Alertas_Intervencionismo\PRUEBAHIBRIDO\20240725-20240726.xml" htmlTables="1" htmlFormat="all"/>
  </connection>
  <connection id="887" name="20240725-202407261" type="4" refreshedVersion="0" background="1">
    <webPr xml="1" sourceData="1" url="Z:\Dosis pacientes\Alertas_Intervencionismo\PRUEBAHIBRIDO\20240725-20240726.xml" htmlTables="1" htmlFormat="all"/>
  </connection>
  <connection id="888" name="20240726-20240729" type="4" refreshedVersion="0" background="1">
    <webPr xml="1" sourceData="1" url="Z:\Dosis pacientes\Alertas_Intervencionismo\PRUEBAHIBRIDO\20240726-20240729.xml" htmlTables="1" htmlFormat="all"/>
  </connection>
  <connection id="889" name="20240729-20240730" type="4" refreshedVersion="0" background="1">
    <webPr xml="1" sourceData="1" url="Z:\Dosis pacientes\Alertas_Intervencionismo\PRUEBAHIBRIDO\20240729-20240730.xml" htmlTables="1" htmlFormat="all"/>
  </connection>
</connections>
</file>

<file path=xl/sharedStrings.xml><?xml version="1.0" encoding="utf-8"?>
<sst xmlns="http://schemas.openxmlformats.org/spreadsheetml/2006/main" count="262" uniqueCount="25">
  <si>
    <t>HIBRIDO</t>
  </si>
  <si>
    <t>DSA Extremities LD</t>
  </si>
  <si>
    <t>Equipo</t>
  </si>
  <si>
    <t>Servicio</t>
  </si>
  <si>
    <t>ID paciente</t>
  </si>
  <si>
    <t>Nombre paciente</t>
  </si>
  <si>
    <t>Fecha intervención</t>
  </si>
  <si>
    <t>Hora intervención</t>
  </si>
  <si>
    <t>Procedimiento</t>
  </si>
  <si>
    <r>
      <t>PDA total (Gycm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</si>
  <si>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Dosis Pref (Gy)</t>
  </si>
  <si>
    <t>Tiempo irradiación (min)</t>
  </si>
  <si>
    <t>letra K</t>
  </si>
  <si>
    <t>H</t>
  </si>
  <si>
    <t>I</t>
  </si>
  <si>
    <t>A</t>
  </si>
  <si>
    <t>Q</t>
  </si>
  <si>
    <t>AC</t>
  </si>
  <si>
    <t>AB</t>
  </si>
  <si>
    <t>AF</t>
  </si>
  <si>
    <t>0.01177</t>
  </si>
  <si>
    <t>NECESITA SEGUIMIENTO</t>
  </si>
  <si>
    <t/>
  </si>
  <si>
    <t>Tiempo irradiación fluoro (min)</t>
  </si>
  <si>
    <t>Tiempo irradiación adquisición (min)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</si>
</sst>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4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49" fontId="0" fillId="0" borderId="2" xfId="0" applyNumberFormat="1" applyFont="1" applyBorder="1"/>
    <xf numFmtId="0" fontId="1" fillId="2" borderId="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Fluoro_Mod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ype" form="unqualified" type="xsd:string"/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Fluoro_Mod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Performing_Physicia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Map ID="1" Name="root_Map" RootElement="root" SchemaID="Schema1" ShowImportExportValidationErrors="false" AutoFit="true" Append="false" PreserveSortAFLayout="true" PreserveFormat="true">
    <DataBinding FileBinding="true" ConnectionID="4" DataBindingLoadMode="1"/>
  </Map>
  <Map ID="2" Name="root_Map1" RootElement="root" SchemaID="Schema2" ShowImportExportValidationErrors="false" AutoFit="true" Append="false" PreserveSortAFLayout="true" PreserveFormat="true">
    <DataBinding FileBinding="true" ConnectionID="3" DataBindingLoadMode="1"/>
  </Map>
  <Map ID="11" Name="root_Map10" RootElement="root" SchemaID="Schema11" ShowImportExportValidationErrors="false" AutoFit="true" Append="false" PreserveSortAFLayout="true" PreserveFormat="true">
    <DataBinding FileBinding="true" ConnectionID="27" DataBindingLoadMode="1"/>
  </Map>
  <Map ID="283" Name="root_Map100" RootElement="root" SchemaID="Schema101" ShowImportExportValidationErrors="false" AutoFit="true" Append="false" PreserveSortAFLayout="true" PreserveFormat="true">
    <DataBinding FileBinding="true" ConnectionID="101" DataBindingLoadMode="1"/>
  </Map>
  <Map ID="381" Name="root_Map101" RootElement="root" SchemaID="Schema102" ShowImportExportValidationErrors="false" AutoFit="true" Append="false" PreserveSortAFLayout="true" PreserveFormat="true">
    <DataBinding FileBinding="true" ConnectionID="102" DataBindingLoadMode="1"/>
  </Map>
  <Map ID="479" Name="root_Map102" RootElement="root" SchemaID="Schema103" ShowImportExportValidationErrors="false" AutoFit="true" Append="false" PreserveSortAFLayout="true" PreserveFormat="true">
    <DataBinding FileBinding="true" ConnectionID="103" DataBindingLoadMode="1"/>
  </Map>
  <Map ID="577" Name="root_Map103" RootElement="root" SchemaID="Schema104" ShowImportExportValidationErrors="false" AutoFit="true" Append="false" PreserveSortAFLayout="true" PreserveFormat="true">
    <DataBinding FileBinding="true" ConnectionID="104" DataBindingLoadMode="1"/>
  </Map>
  <Map ID="675" Name="root_Map104" RootElement="root" SchemaID="Schema105" ShowImportExportValidationErrors="false" AutoFit="true" Append="false" PreserveSortAFLayout="true" PreserveFormat="true">
    <DataBinding FileBinding="true" ConnectionID="105" DataBindingLoadMode="1"/>
  </Map>
  <Map ID="773" Name="root_Map105" RootElement="root" SchemaID="Schema106" ShowImportExportValidationErrors="false" AutoFit="true" Append="false" PreserveSortAFLayout="true" PreserveFormat="true">
    <DataBinding FileBinding="true" ConnectionID="106" DataBindingLoadMode="1"/>
  </Map>
  <Map ID="871" Name="root_Map106" RootElement="root" SchemaID="Schema107" ShowImportExportValidationErrors="false" AutoFit="true" Append="false" PreserveSortAFLayout="true" PreserveFormat="true">
    <DataBinding FileBinding="true" ConnectionID="107" DataBindingLoadMode="1"/>
  </Map>
  <Map ID="969" Name="root_Map107" RootElement="root" SchemaID="Schema108" ShowImportExportValidationErrors="false" AutoFit="true" Append="false" PreserveSortAFLayout="true" PreserveFormat="true">
    <DataBinding FileBinding="true" ConnectionID="108" DataBindingLoadMode="1"/>
  </Map>
  <Map ID="1067" Name="root_Map108" RootElement="root" SchemaID="Schema109" ShowImportExportValidationErrors="false" AutoFit="true" Append="false" PreserveSortAFLayout="true" PreserveFormat="true">
    <DataBinding FileBinding="true" ConnectionID="109" DataBindingLoadMode="1"/>
  </Map>
  <Map ID="1165" Name="root_Map109" RootElement="root" SchemaID="Schema110" ShowImportExportValidationErrors="false" AutoFit="true" Append="false" PreserveSortAFLayout="true" PreserveFormat="true">
    <DataBinding FileBinding="true" ConnectionID="110" DataBindingLoadMode="1"/>
  </Map>
  <Map ID="12" Name="root_Map11" RootElement="root" SchemaID="Schema12" ShowImportExportValidationErrors="false" AutoFit="true" Append="false" PreserveSortAFLayout="true" PreserveFormat="true">
    <DataBinding FileBinding="true" ConnectionID="28" DataBindingLoadMode="1"/>
  </Map>
  <Map ID="1263" Name="root_Map110" RootElement="root" SchemaID="Schema111" ShowImportExportValidationErrors="false" AutoFit="true" Append="false" PreserveSortAFLayout="true" PreserveFormat="true">
    <DataBinding FileBinding="true" ConnectionID="111" DataBindingLoadMode="1"/>
  </Map>
  <Map ID="1360" Name="root_Map111" RootElement="root" SchemaID="Schema112" ShowImportExportValidationErrors="false" AutoFit="true" Append="false" PreserveSortAFLayout="true" PreserveFormat="true">
    <DataBinding FileBinding="true" ConnectionID="112" DataBindingLoadMode="1"/>
  </Map>
  <Map ID="1457" Name="root_Map112" RootElement="root" SchemaID="Schema113" ShowImportExportValidationErrors="false" AutoFit="true" Append="false" PreserveSortAFLayout="true" PreserveFormat="true">
    <DataBinding FileBinding="true" ConnectionID="113" DataBindingLoadMode="1"/>
  </Map>
  <Map ID="1554" Name="root_Map113" RootElement="root" SchemaID="Schema114" ShowImportExportValidationErrors="false" AutoFit="true" Append="false" PreserveSortAFLayout="true" PreserveFormat="true">
    <DataBinding FileBinding="true" ConnectionID="114" DataBindingLoadMode="1"/>
  </Map>
  <Map ID="1651" Name="root_Map114" RootElement="root" SchemaID="Schema115" ShowImportExportValidationErrors="false" AutoFit="true" Append="false" PreserveSortAFLayout="true" PreserveFormat="true">
    <DataBinding FileBinding="true" ConnectionID="115" DataBindingLoadMode="1"/>
  </Map>
  <Map ID="1748" Name="root_Map115" RootElement="root" SchemaID="Schema116" ShowImportExportValidationErrors="false" AutoFit="true" Append="false" PreserveSortAFLayout="true" PreserveFormat="true">
    <DataBinding FileBinding="true" ConnectionID="116" DataBindingLoadMode="1"/>
  </Map>
  <Map ID="1845" Name="root_Map116" RootElement="root" SchemaID="Schema117" ShowImportExportValidationErrors="false" AutoFit="true" Append="false" PreserveSortAFLayout="true" PreserveFormat="true">
    <DataBinding FileBinding="true" ConnectionID="117" DataBindingLoadMode="1"/>
  </Map>
  <Map ID="1942" Name="root_Map117" RootElement="root" SchemaID="Schema118" ShowImportExportValidationErrors="false" AutoFit="true" Append="false" PreserveSortAFLayout="true" PreserveFormat="true">
    <DataBinding FileBinding="true" ConnectionID="118" DataBindingLoadMode="1"/>
  </Map>
  <Map ID="2039" Name="root_Map118" RootElement="root" SchemaID="Schema119" ShowImportExportValidationErrors="false" AutoFit="true" Append="false" PreserveSortAFLayout="true" PreserveFormat="true">
    <DataBinding FileBinding="true" ConnectionID="119" DataBindingLoadMode="1"/>
  </Map>
  <Map ID="2136" Name="root_Map119" RootElement="root" SchemaID="Schema120" ShowImportExportValidationErrors="false" AutoFit="true" Append="false" PreserveSortAFLayout="true" PreserveFormat="true">
    <DataBinding FileBinding="true" ConnectionID="120" DataBindingLoadMode="1"/>
  </Map>
  <Map ID="13" Name="root_Map12" RootElement="root" SchemaID="Schema13" ShowImportExportValidationErrors="false" AutoFit="true" Append="false" PreserveSortAFLayout="true" PreserveFormat="true">
    <DataBinding FileBinding="true" ConnectionID="29" DataBindingLoadMode="1"/>
  </Map>
  <Map ID="2233" Name="root_Map120" RootElement="root" SchemaID="Schema121" ShowImportExportValidationErrors="false" AutoFit="true" Append="false" PreserveSortAFLayout="true" PreserveFormat="true">
    <DataBinding FileBinding="true" ConnectionID="121" DataBindingLoadMode="1"/>
  </Map>
  <Map ID="2329" Name="root_Map121" RootElement="root" SchemaID="Schema122" ShowImportExportValidationErrors="false" AutoFit="true" Append="false" PreserveSortAFLayout="true" PreserveFormat="true">
    <DataBinding FileBinding="true" ConnectionID="122" DataBindingLoadMode="1"/>
  </Map>
  <Map ID="2425" Name="root_Map122" RootElement="root" SchemaID="Schema123" ShowImportExportValidationErrors="false" AutoFit="true" Append="false" PreserveSortAFLayout="true" PreserveFormat="true">
    <DataBinding FileBinding="true" ConnectionID="123" DataBindingLoadMode="1"/>
  </Map>
  <Map ID="2521" Name="root_Map123" RootElement="root" SchemaID="Schema124" ShowImportExportValidationErrors="false" AutoFit="true" Append="false" PreserveSortAFLayout="true" PreserveFormat="true">
    <DataBinding FileBinding="true" ConnectionID="124" DataBindingLoadMode="1"/>
  </Map>
  <Map ID="2617" Name="root_Map124" RootElement="root" SchemaID="Schema125" ShowImportExportValidationErrors="false" AutoFit="true" Append="false" PreserveSortAFLayout="true" PreserveFormat="true">
    <DataBinding FileBinding="true" ConnectionID="125" DataBindingLoadMode="1"/>
  </Map>
  <Map ID="2713" Name="root_Map125" RootElement="root" SchemaID="Schema126" ShowImportExportValidationErrors="false" AutoFit="true" Append="false" PreserveSortAFLayout="true" PreserveFormat="true">
    <DataBinding FileBinding="true" ConnectionID="126" DataBindingLoadMode="1"/>
  </Map>
  <Map ID="2809" Name="root_Map126" RootElement="root" SchemaID="Schema127" ShowImportExportValidationErrors="false" AutoFit="true" Append="false" PreserveSortAFLayout="true" PreserveFormat="true">
    <DataBinding FileBinding="true" ConnectionID="127" DataBindingLoadMode="1"/>
  </Map>
  <Map ID="2905" Name="root_Map127" RootElement="root" SchemaID="Schema128" ShowImportExportValidationErrors="false" AutoFit="true" Append="false" PreserveSortAFLayout="true" PreserveFormat="true">
    <DataBinding FileBinding="true" ConnectionID="128" DataBindingLoadMode="1"/>
  </Map>
  <Map ID="3001" Name="root_Map128" RootElement="root" SchemaID="Schema129" ShowImportExportValidationErrors="false" AutoFit="true" Append="false" PreserveSortAFLayout="true" PreserveFormat="true">
    <DataBinding FileBinding="true" ConnectionID="129" DataBindingLoadMode="1"/>
  </Map>
  <Map ID="3097" Name="root_Map129" RootElement="root" SchemaID="Schema130" ShowImportExportValidationErrors="false" AutoFit="true" Append="false" PreserveSortAFLayout="true" PreserveFormat="true">
    <DataBinding FileBinding="true" ConnectionID="130" DataBindingLoadMode="1"/>
  </Map>
  <Map ID="14" Name="root_Map13" RootElement="root" SchemaID="Schema14" ShowImportExportValidationErrors="false" AutoFit="true" Append="false" PreserveSortAFLayout="true" PreserveFormat="true">
    <DataBinding FileBinding="true" ConnectionID="6" DataBindingLoadMode="1"/>
  </Map>
  <Map ID="3193" Name="root_Map130" RootElement="root" SchemaID="Schema131" ShowImportExportValidationErrors="false" AutoFit="true" Append="false" PreserveSortAFLayout="true" PreserveFormat="true">
    <DataBinding FileBinding="true" ConnectionID="131" DataBindingLoadMode="1"/>
  </Map>
  <Map ID="3288" Name="root_Map131" RootElement="root" SchemaID="Schema132" ShowImportExportValidationErrors="false" AutoFit="true" Append="false" PreserveSortAFLayout="true" PreserveFormat="true">
    <DataBinding FileBinding="true" ConnectionID="132" DataBindingLoadMode="1"/>
  </Map>
  <Map ID="3383" Name="root_Map132" RootElement="root" SchemaID="Schema133" ShowImportExportValidationErrors="false" AutoFit="true" Append="false" PreserveSortAFLayout="true" PreserveFormat="true">
    <DataBinding FileBinding="true" ConnectionID="133" DataBindingLoadMode="1"/>
  </Map>
  <Map ID="3478" Name="root_Map133" RootElement="root" SchemaID="Schema134" ShowImportExportValidationErrors="false" AutoFit="true" Append="false" PreserveSortAFLayout="true" PreserveFormat="true">
    <DataBinding FileBinding="true" ConnectionID="134" DataBindingLoadMode="1"/>
  </Map>
  <Map ID="3573" Name="root_Map134" RootElement="root" SchemaID="Schema135" ShowImportExportValidationErrors="false" AutoFit="true" Append="false" PreserveSortAFLayout="true" PreserveFormat="true">
    <DataBinding FileBinding="true" ConnectionID="135" DataBindingLoadMode="1"/>
  </Map>
  <Map ID="3668" Name="root_Map135" RootElement="root" SchemaID="Schema136" ShowImportExportValidationErrors="false" AutoFit="true" Append="false" PreserveSortAFLayout="true" PreserveFormat="true">
    <DataBinding FileBinding="true" ConnectionID="136" DataBindingLoadMode="1"/>
  </Map>
  <Map ID="3763" Name="root_Map136" RootElement="root" SchemaID="Schema137" ShowImportExportValidationErrors="false" AutoFit="true" Append="false" PreserveSortAFLayout="true" PreserveFormat="true">
    <DataBinding FileBinding="true" ConnectionID="137" DataBindingLoadMode="1"/>
  </Map>
  <Map ID="3858" Name="root_Map137" RootElement="root" SchemaID="Schema138" ShowImportExportValidationErrors="false" AutoFit="true" Append="false" PreserveSortAFLayout="true" PreserveFormat="true">
    <DataBinding FileBinding="true" ConnectionID="138" DataBindingLoadMode="1"/>
  </Map>
  <Map ID="3953" Name="root_Map138" RootElement="root" SchemaID="Schema139" ShowImportExportValidationErrors="false" AutoFit="true" Append="false" PreserveSortAFLayout="true" PreserveFormat="true">
    <DataBinding FileBinding="true" ConnectionID="139" DataBindingLoadMode="1"/>
  </Map>
  <Map ID="4048" Name="root_Map139" RootElement="root" SchemaID="Schema140" ShowImportExportValidationErrors="false" AutoFit="true" Append="false" PreserveSortAFLayout="true" PreserveFormat="true">
    <DataBinding FileBinding="true" ConnectionID="140" DataBindingLoadMode="1"/>
  </Map>
  <Map ID="15" Name="root_Map14" RootElement="root" SchemaID="Schema15" ShowImportExportValidationErrors="false" AutoFit="true" Append="false" PreserveSortAFLayout="true" PreserveFormat="true">
    <DataBinding FileBinding="true" ConnectionID="7" DataBindingLoadMode="1"/>
  </Map>
  <Map ID="4143" Name="root_Map140" RootElement="root" SchemaID="Schema141" ShowImportExportValidationErrors="false" AutoFit="true" Append="false" PreserveSortAFLayout="true" PreserveFormat="true">
    <DataBinding FileBinding="true" ConnectionID="141" DataBindingLoadMode="1"/>
  </Map>
  <Map ID="4237" Name="root_Map141" RootElement="root" SchemaID="Schema142" ShowImportExportValidationErrors="false" AutoFit="true" Append="false" PreserveSortAFLayout="true" PreserveFormat="true">
    <DataBinding FileBinding="true" ConnectionID="142" DataBindingLoadMode="1"/>
  </Map>
  <Map ID="4331" Name="root_Map142" RootElement="root" SchemaID="Schema143" ShowImportExportValidationErrors="false" AutoFit="true" Append="false" PreserveSortAFLayout="true" PreserveFormat="true">
    <DataBinding FileBinding="true" ConnectionID="143" DataBindingLoadMode="1"/>
  </Map>
  <Map ID="4425" Name="root_Map143" RootElement="root" SchemaID="Schema144" ShowImportExportValidationErrors="false" AutoFit="true" Append="false" PreserveSortAFLayout="true" PreserveFormat="true">
    <DataBinding FileBinding="true" ConnectionID="144" DataBindingLoadMode="1"/>
  </Map>
  <Map ID="4519" Name="root_Map144" RootElement="root" SchemaID="Schema145" ShowImportExportValidationErrors="false" AutoFit="true" Append="false" PreserveSortAFLayout="true" PreserveFormat="true">
    <DataBinding FileBinding="true" ConnectionID="145" DataBindingLoadMode="1"/>
  </Map>
  <Map ID="4613" Name="root_Map145" RootElement="root" SchemaID="Schema146" ShowImportExportValidationErrors="false" AutoFit="true" Append="false" PreserveSortAFLayout="true" PreserveFormat="true">
    <DataBinding FileBinding="true" ConnectionID="146" DataBindingLoadMode="1"/>
  </Map>
  <Map ID="4707" Name="root_Map146" RootElement="root" SchemaID="Schema147" ShowImportExportValidationErrors="false" AutoFit="true" Append="false" PreserveSortAFLayout="true" PreserveFormat="true">
    <DataBinding FileBinding="true" ConnectionID="147" DataBindingLoadMode="1"/>
  </Map>
  <Map ID="4801" Name="root_Map147" RootElement="root" SchemaID="Schema148" ShowImportExportValidationErrors="false" AutoFit="true" Append="false" PreserveSortAFLayout="true" PreserveFormat="true">
    <DataBinding FileBinding="true" ConnectionID="148" DataBindingLoadMode="1"/>
  </Map>
  <Map ID="4895" Name="root_Map148" RootElement="root" SchemaID="Schema149" ShowImportExportValidationErrors="false" AutoFit="true" Append="false" PreserveSortAFLayout="true" PreserveFormat="true">
    <DataBinding FileBinding="true" ConnectionID="149" DataBindingLoadMode="1"/>
  </Map>
  <Map ID="4989" Name="root_Map149" RootElement="root" SchemaID="Schema150" ShowImportExportValidationErrors="false" AutoFit="true" Append="false" PreserveSortAFLayout="true" PreserveFormat="true">
    <DataBinding FileBinding="true" ConnectionID="150" DataBindingLoadMode="1"/>
  </Map>
  <Map ID="16" Name="root_Map15" RootElement="root" SchemaID="Schema16" ShowImportExportValidationErrors="false" AutoFit="true" Append="false" PreserveSortAFLayout="true" PreserveFormat="true">
    <DataBinding FileBinding="true" ConnectionID="8" DataBindingLoadMode="1"/>
  </Map>
  <Map ID="5083" Name="root_Map150" RootElement="root" SchemaID="Schema151" ShowImportExportValidationErrors="false" AutoFit="true" Append="false" PreserveSortAFLayout="true" PreserveFormat="true">
    <DataBinding FileBinding="true" ConnectionID="151" DataBindingLoadMode="1"/>
  </Map>
  <Map ID="5176" Name="root_Map151" RootElement="root" SchemaID="Schema152" ShowImportExportValidationErrors="false" AutoFit="true" Append="false" PreserveSortAFLayout="true" PreserveFormat="true">
    <DataBinding FileBinding="true" ConnectionID="152" DataBindingLoadMode="1"/>
  </Map>
  <Map ID="5269" Name="root_Map152" RootElement="root" SchemaID="Schema153" ShowImportExportValidationErrors="false" AutoFit="true" Append="false" PreserveSortAFLayout="true" PreserveFormat="true">
    <DataBinding FileBinding="true" ConnectionID="153" DataBindingLoadMode="1"/>
  </Map>
  <Map ID="5362" Name="root_Map153" RootElement="root" SchemaID="Schema154" ShowImportExportValidationErrors="false" AutoFit="true" Append="false" PreserveSortAFLayout="true" PreserveFormat="true">
    <DataBinding FileBinding="true" ConnectionID="154" DataBindingLoadMode="1"/>
  </Map>
  <Map ID="5455" Name="root_Map154" RootElement="root" SchemaID="Schema155" ShowImportExportValidationErrors="false" AutoFit="true" Append="false" PreserveSortAFLayout="true" PreserveFormat="true">
    <DataBinding FileBinding="true" ConnectionID="155" DataBindingLoadMode="1"/>
  </Map>
  <Map ID="5548" Name="root_Map155" RootElement="root" SchemaID="Schema156" ShowImportExportValidationErrors="false" AutoFit="true" Append="false" PreserveSortAFLayout="true" PreserveFormat="true">
    <DataBinding FileBinding="true" ConnectionID="156" DataBindingLoadMode="1"/>
  </Map>
  <Map ID="5641" Name="root_Map156" RootElement="root" SchemaID="Schema157" ShowImportExportValidationErrors="false" AutoFit="true" Append="false" PreserveSortAFLayout="true" PreserveFormat="true">
    <DataBinding FileBinding="true" ConnectionID="157" DataBindingLoadMode="1"/>
  </Map>
  <Map ID="5734" Name="root_Map157" RootElement="root" SchemaID="Schema158" ShowImportExportValidationErrors="false" AutoFit="true" Append="false" PreserveSortAFLayout="true" PreserveFormat="true">
    <DataBinding FileBinding="true" ConnectionID="158" DataBindingLoadMode="1"/>
  </Map>
  <Map ID="5827" Name="root_Map158" RootElement="root" SchemaID="Schema159" ShowImportExportValidationErrors="false" AutoFit="true" Append="false" PreserveSortAFLayout="true" PreserveFormat="true">
    <DataBinding FileBinding="true" ConnectionID="159" DataBindingLoadMode="1"/>
  </Map>
  <Map ID="5920" Name="root_Map159" RootElement="root" SchemaID="Schema160" ShowImportExportValidationErrors="false" AutoFit="true" Append="false" PreserveSortAFLayout="true" PreserveFormat="true">
    <DataBinding FileBinding="true" ConnectionID="160" DataBindingLoadMode="1"/>
  </Map>
  <Map ID="17" Name="root_Map16" RootElement="root" SchemaID="Schema17" ShowImportExportValidationErrors="false" AutoFit="true" Append="false" PreserveSortAFLayout="true" PreserveFormat="true">
    <DataBinding FileBinding="true" ConnectionID="9" DataBindingLoadMode="1"/>
  </Map>
  <Map ID="6013" Name="root_Map160" RootElement="root" SchemaID="Schema161" ShowImportExportValidationErrors="false" AutoFit="true" Append="false" PreserveSortAFLayout="true" PreserveFormat="true">
    <DataBinding FileBinding="true" ConnectionID="161" DataBindingLoadMode="1"/>
  </Map>
  <Map ID="6105" Name="root_Map161" RootElement="root" SchemaID="Schema162" ShowImportExportValidationErrors="false" AutoFit="true" Append="false" PreserveSortAFLayout="true" PreserveFormat="true">
    <DataBinding FileBinding="true" ConnectionID="162" DataBindingLoadMode="1"/>
  </Map>
  <Map ID="6197" Name="root_Map162" RootElement="root" SchemaID="Schema163" ShowImportExportValidationErrors="false" AutoFit="true" Append="false" PreserveSortAFLayout="true" PreserveFormat="true">
    <DataBinding FileBinding="true" ConnectionID="163" DataBindingLoadMode="1"/>
  </Map>
  <Map ID="6289" Name="root_Map163" RootElement="root" SchemaID="Schema164" ShowImportExportValidationErrors="false" AutoFit="true" Append="false" PreserveSortAFLayout="true" PreserveFormat="true">
    <DataBinding FileBinding="true" ConnectionID="164" DataBindingLoadMode="1"/>
  </Map>
  <Map ID="6381" Name="root_Map164" RootElement="root" SchemaID="Schema165" ShowImportExportValidationErrors="false" AutoFit="true" Append="false" PreserveSortAFLayout="true" PreserveFormat="true">
    <DataBinding FileBinding="true" ConnectionID="165" DataBindingLoadMode="1"/>
  </Map>
  <Map ID="6473" Name="root_Map165" RootElement="root" SchemaID="Schema166" ShowImportExportValidationErrors="false" AutoFit="true" Append="false" PreserveSortAFLayout="true" PreserveFormat="true">
    <DataBinding FileBinding="true" ConnectionID="166" DataBindingLoadMode="1"/>
  </Map>
  <Map ID="6565" Name="root_Map166" RootElement="root" SchemaID="Schema167" ShowImportExportValidationErrors="false" AutoFit="true" Append="false" PreserveSortAFLayout="true" PreserveFormat="true">
    <DataBinding FileBinding="true" ConnectionID="167" DataBindingLoadMode="1"/>
  </Map>
  <Map ID="6657" Name="root_Map167" RootElement="root" SchemaID="Schema168" ShowImportExportValidationErrors="false" AutoFit="true" Append="false" PreserveSortAFLayout="true" PreserveFormat="true">
    <DataBinding FileBinding="true" ConnectionID="168" DataBindingLoadMode="1"/>
  </Map>
  <Map ID="6749" Name="root_Map168" RootElement="root" SchemaID="Schema169" ShowImportExportValidationErrors="false" AutoFit="true" Append="false" PreserveSortAFLayout="true" PreserveFormat="true">
    <DataBinding FileBinding="true" ConnectionID="169" DataBindingLoadMode="1"/>
  </Map>
  <Map ID="6841" Name="root_Map169" RootElement="root" SchemaID="Schema170" ShowImportExportValidationErrors="false" AutoFit="true" Append="false" PreserveSortAFLayout="true" PreserveFormat="true">
    <DataBinding FileBinding="true" ConnectionID="170" DataBindingLoadMode="1"/>
  </Map>
  <Map ID="18" Name="root_Map17" RootElement="root" SchemaID="Schema18" ShowImportExportValidationErrors="false" AutoFit="true" Append="false" PreserveSortAFLayout="true" PreserveFormat="true">
    <DataBinding FileBinding="true" ConnectionID="10" DataBindingLoadMode="1"/>
  </Map>
  <Map ID="6933" Name="root_Map170" RootElement="root" SchemaID="Schema171" ShowImportExportValidationErrors="false" AutoFit="true" Append="false" PreserveSortAFLayout="true" PreserveFormat="true">
    <DataBinding FileBinding="true" ConnectionID="171" DataBindingLoadMode="1"/>
  </Map>
  <Map ID="7024" Name="root_Map171" RootElement="root" SchemaID="Schema172" ShowImportExportValidationErrors="false" AutoFit="true" Append="false" PreserveSortAFLayout="true" PreserveFormat="true">
    <DataBinding FileBinding="true" ConnectionID="172" DataBindingLoadMode="1"/>
  </Map>
  <Map ID="7115" Name="root_Map172" RootElement="root" SchemaID="Schema173" ShowImportExportValidationErrors="false" AutoFit="true" Append="false" PreserveSortAFLayout="true" PreserveFormat="true">
    <DataBinding FileBinding="true" ConnectionID="173" DataBindingLoadMode="1"/>
  </Map>
  <Map ID="7206" Name="root_Map173" RootElement="root" SchemaID="Schema174" ShowImportExportValidationErrors="false" AutoFit="true" Append="false" PreserveSortAFLayout="true" PreserveFormat="true">
    <DataBinding FileBinding="true" ConnectionID="174" DataBindingLoadMode="1"/>
  </Map>
  <Map ID="7297" Name="root_Map174" RootElement="root" SchemaID="Schema175" ShowImportExportValidationErrors="false" AutoFit="true" Append="false" PreserveSortAFLayout="true" PreserveFormat="true">
    <DataBinding FileBinding="true" ConnectionID="175" DataBindingLoadMode="1"/>
  </Map>
  <Map ID="7388" Name="root_Map175" RootElement="root" SchemaID="Schema176" ShowImportExportValidationErrors="false" AutoFit="true" Append="false" PreserveSortAFLayout="true" PreserveFormat="true">
    <DataBinding FileBinding="true" ConnectionID="176" DataBindingLoadMode="1"/>
  </Map>
  <Map ID="7479" Name="root_Map176" RootElement="root" SchemaID="Schema177" ShowImportExportValidationErrors="false" AutoFit="true" Append="false" PreserveSortAFLayout="true" PreserveFormat="true">
    <DataBinding FileBinding="true" ConnectionID="177" DataBindingLoadMode="1"/>
  </Map>
  <Map ID="7570" Name="root_Map177" RootElement="root" SchemaID="Schema178" ShowImportExportValidationErrors="false" AutoFit="true" Append="false" PreserveSortAFLayout="true" PreserveFormat="true">
    <DataBinding FileBinding="true" ConnectionID="178" DataBindingLoadMode="1"/>
  </Map>
  <Map ID="7661" Name="root_Map178" RootElement="root" SchemaID="Schema179" ShowImportExportValidationErrors="false" AutoFit="true" Append="false" PreserveSortAFLayout="true" PreserveFormat="true">
    <DataBinding FileBinding="true" ConnectionID="179" DataBindingLoadMode="1"/>
  </Map>
  <Map ID="7752" Name="root_Map179" RootElement="root" SchemaID="Schema180" ShowImportExportValidationErrors="false" AutoFit="true" Append="false" PreserveSortAFLayout="true" PreserveFormat="true">
    <DataBinding FileBinding="true" ConnectionID="180" DataBindingLoadMode="1"/>
  </Map>
  <Map ID="19" Name="root_Map18" RootElement="root" SchemaID="Schema19" ShowImportExportValidationErrors="false" AutoFit="true" Append="false" PreserveSortAFLayout="true" PreserveFormat="true">
    <DataBinding FileBinding="true" ConnectionID="11" DataBindingLoadMode="1"/>
  </Map>
  <Map ID="7843" Name="root_Map180" RootElement="root" SchemaID="Schema181" ShowImportExportValidationErrors="false" AutoFit="true" Append="false" PreserveSortAFLayout="true" PreserveFormat="true">
    <DataBinding FileBinding="true" ConnectionID="181" DataBindingLoadMode="1"/>
  </Map>
  <Map ID="7933" Name="root_Map181" RootElement="root" SchemaID="Schema182" ShowImportExportValidationErrors="false" AutoFit="true" Append="false" PreserveSortAFLayout="true" PreserveFormat="true">
    <DataBinding FileBinding="true" ConnectionID="182" DataBindingLoadMode="1"/>
  </Map>
  <Map ID="8023" Name="root_Map182" RootElement="root" SchemaID="Schema183" ShowImportExportValidationErrors="false" AutoFit="true" Append="false" PreserveSortAFLayout="true" PreserveFormat="true">
    <DataBinding FileBinding="true" ConnectionID="183" DataBindingLoadMode="1"/>
  </Map>
  <Map ID="8113" Name="root_Map183" RootElement="root" SchemaID="Schema184" ShowImportExportValidationErrors="false" AutoFit="true" Append="false" PreserveSortAFLayout="true" PreserveFormat="true">
    <DataBinding FileBinding="true" ConnectionID="184" DataBindingLoadMode="1"/>
  </Map>
  <Map ID="8203" Name="root_Map184" RootElement="root" SchemaID="Schema185" ShowImportExportValidationErrors="false" AutoFit="true" Append="false" PreserveSortAFLayout="true" PreserveFormat="true">
    <DataBinding FileBinding="true" ConnectionID="185" DataBindingLoadMode="1"/>
  </Map>
  <Map ID="8293" Name="root_Map185" RootElement="root" SchemaID="Schema186" ShowImportExportValidationErrors="false" AutoFit="true" Append="false" PreserveSortAFLayout="true" PreserveFormat="true">
    <DataBinding FileBinding="true" ConnectionID="186" DataBindingLoadMode="1"/>
  </Map>
  <Map ID="8383" Name="root_Map186" RootElement="root" SchemaID="Schema187" ShowImportExportValidationErrors="false" AutoFit="true" Append="false" PreserveSortAFLayout="true" PreserveFormat="true">
    <DataBinding FileBinding="true" ConnectionID="187" DataBindingLoadMode="1"/>
  </Map>
  <Map ID="8473" Name="root_Map187" RootElement="root" SchemaID="Schema188" ShowImportExportValidationErrors="false" AutoFit="true" Append="false" PreserveSortAFLayout="true" PreserveFormat="true">
    <DataBinding FileBinding="true" ConnectionID="188" DataBindingLoadMode="1"/>
  </Map>
  <Map ID="8563" Name="root_Map188" RootElement="root" SchemaID="Schema189" ShowImportExportValidationErrors="false" AutoFit="true" Append="false" PreserveSortAFLayout="true" PreserveFormat="true">
    <DataBinding FileBinding="true" ConnectionID="189" DataBindingLoadMode="1"/>
  </Map>
  <Map ID="8653" Name="root_Map189" RootElement="root" SchemaID="Schema190" ShowImportExportValidationErrors="false" AutoFit="true" Append="false" PreserveSortAFLayout="true" PreserveFormat="true">
    <DataBinding FileBinding="true" ConnectionID="190" DataBindingLoadMode="1"/>
  </Map>
  <Map ID="20" Name="root_Map19" RootElement="root" SchemaID="Schema20" ShowImportExportValidationErrors="false" AutoFit="true" Append="false" PreserveSortAFLayout="true" PreserveFormat="true">
    <DataBinding FileBinding="true" ConnectionID="12" DataBindingLoadMode="1"/>
  </Map>
  <Map ID="8743" Name="root_Map190" RootElement="root" SchemaID="Schema191" ShowImportExportValidationErrors="false" AutoFit="true" Append="false" PreserveSortAFLayout="true" PreserveFormat="true">
    <DataBinding FileBinding="true" ConnectionID="191" DataBindingLoadMode="1"/>
  </Map>
  <Map ID="8832" Name="root_Map191" RootElement="root" SchemaID="Schema192" ShowImportExportValidationErrors="false" AutoFit="true" Append="false" PreserveSortAFLayout="true" PreserveFormat="true">
    <DataBinding FileBinding="true" ConnectionID="192" DataBindingLoadMode="1"/>
  </Map>
  <Map ID="8921" Name="root_Map192" RootElement="root" SchemaID="Schema193" ShowImportExportValidationErrors="false" AutoFit="true" Append="false" PreserveSortAFLayout="true" PreserveFormat="true">
    <DataBinding FileBinding="true" ConnectionID="193" DataBindingLoadMode="1"/>
  </Map>
  <Map ID="9010" Name="root_Map193" RootElement="root" SchemaID="Schema194" ShowImportExportValidationErrors="false" AutoFit="true" Append="false" PreserveSortAFLayout="true" PreserveFormat="true">
    <DataBinding FileBinding="true" ConnectionID="194" DataBindingLoadMode="1"/>
  </Map>
  <Map ID="9099" Name="root_Map194" RootElement="root" SchemaID="Schema195" ShowImportExportValidationErrors="false" AutoFit="true" Append="false" PreserveSortAFLayout="true" PreserveFormat="true">
    <DataBinding FileBinding="true" ConnectionID="195" DataBindingLoadMode="1"/>
  </Map>
  <Map ID="9188" Name="root_Map195" RootElement="root" SchemaID="Schema196" ShowImportExportValidationErrors="false" AutoFit="true" Append="false" PreserveSortAFLayout="true" PreserveFormat="true">
    <DataBinding FileBinding="true" ConnectionID="196" DataBindingLoadMode="1"/>
  </Map>
  <Map ID="9277" Name="root_Map196" RootElement="root" SchemaID="Schema197" ShowImportExportValidationErrors="false" AutoFit="true" Append="false" PreserveSortAFLayout="true" PreserveFormat="true">
    <DataBinding FileBinding="true" ConnectionID="197" DataBindingLoadMode="1"/>
  </Map>
  <Map ID="9366" Name="root_Map197" RootElement="root" SchemaID="Schema198" ShowImportExportValidationErrors="false" AutoFit="true" Append="false" PreserveSortAFLayout="true" PreserveFormat="true">
    <DataBinding FileBinding="true" ConnectionID="198" DataBindingLoadMode="1"/>
  </Map>
  <Map ID="9455" Name="root_Map198" RootElement="root" SchemaID="Schema199" ShowImportExportValidationErrors="false" AutoFit="true" Append="false" PreserveSortAFLayout="true" PreserveFormat="true">
    <DataBinding FileBinding="true" ConnectionID="199" DataBindingLoadMode="1"/>
  </Map>
  <Map ID="9544" Name="root_Map199" RootElement="root" SchemaID="Schema200" ShowImportExportValidationErrors="false" AutoFit="true" Append="false" PreserveSortAFLayout="true" PreserveFormat="true">
    <DataBinding FileBinding="true" ConnectionID="200" DataBindingLoadMode="1"/>
  </Map>
  <Map ID="3" Name="root_Map2" RootElement="root" SchemaID="Schema3" ShowImportExportValidationErrors="false" AutoFit="true" Append="false" PreserveSortAFLayout="true" PreserveFormat="true">
    <DataBinding FileBinding="true" ConnectionID="2" DataBindingLoadMode="1"/>
  </Map>
  <Map ID="21" Name="root_Map20" RootElement="root" SchemaID="Schema21" ShowImportExportValidationErrors="false" AutoFit="true" Append="false" PreserveSortAFLayout="true" PreserveFormat="true">
    <DataBinding FileBinding="true" ConnectionID="13" DataBindingLoadMode="1"/>
  </Map>
  <Map ID="9633" Name="root_Map200" RootElement="root" SchemaID="Schema201" ShowImportExportValidationErrors="false" AutoFit="true" Append="false" PreserveSortAFLayout="true" PreserveFormat="true">
    <DataBinding FileBinding="true" ConnectionID="201" DataBindingLoadMode="1"/>
  </Map>
  <Map ID="9720" Name="root_Map201" RootElement="root" SchemaID="Schema202" ShowImportExportValidationErrors="false" AutoFit="true" Append="false" PreserveSortAFLayout="true" PreserveFormat="true">
    <DataBinding FileBinding="true" ConnectionID="202" DataBindingLoadMode="1"/>
  </Map>
  <Map ID="9807" Name="root_Map202" RootElement="root" SchemaID="Schema203" ShowImportExportValidationErrors="false" AutoFit="true" Append="false" PreserveSortAFLayout="true" PreserveFormat="true">
    <DataBinding FileBinding="true" ConnectionID="203" DataBindingLoadMode="1"/>
  </Map>
  <Map ID="9894" Name="root_Map203" RootElement="root" SchemaID="Schema204" ShowImportExportValidationErrors="false" AutoFit="true" Append="false" PreserveSortAFLayout="true" PreserveFormat="true">
    <DataBinding FileBinding="true" ConnectionID="204" DataBindingLoadMode="1"/>
  </Map>
  <Map ID="9981" Name="root_Map204" RootElement="root" SchemaID="Schema205" ShowImportExportValidationErrors="false" AutoFit="true" Append="false" PreserveSortAFLayout="true" PreserveFormat="true">
    <DataBinding FileBinding="true" ConnectionID="205" DataBindingLoadMode="1"/>
  </Map>
  <Map ID="10068" Name="root_Map205" RootElement="root" SchemaID="Schema206" ShowImportExportValidationErrors="false" AutoFit="true" Append="false" PreserveSortAFLayout="true" PreserveFormat="true">
    <DataBinding FileBinding="true" ConnectionID="206" DataBindingLoadMode="1"/>
  </Map>
  <Map ID="10155" Name="root_Map206" RootElement="root" SchemaID="Schema207" ShowImportExportValidationErrors="false" AutoFit="true" Append="false" PreserveSortAFLayout="true" PreserveFormat="true">
    <DataBinding FileBinding="true" ConnectionID="207" DataBindingLoadMode="1"/>
  </Map>
  <Map ID="10242" Name="root_Map207" RootElement="root" SchemaID="Schema208" ShowImportExportValidationErrors="false" AutoFit="true" Append="false" PreserveSortAFLayout="true" PreserveFormat="true">
    <DataBinding FileBinding="true" ConnectionID="208" DataBindingLoadMode="1"/>
  </Map>
  <Map ID="10329" Name="root_Map208" RootElement="root" SchemaID="Schema209" ShowImportExportValidationErrors="false" AutoFit="true" Append="false" PreserveSortAFLayout="true" PreserveFormat="true">
    <DataBinding FileBinding="true" ConnectionID="209" DataBindingLoadMode="1"/>
  </Map>
  <Map ID="10416" Name="root_Map209" RootElement="root" SchemaID="Schema210" ShowImportExportValidationErrors="false" AutoFit="true" Append="false" PreserveSortAFLayout="true" PreserveFormat="true">
    <DataBinding FileBinding="true" ConnectionID="210" DataBindingLoadMode="1"/>
  </Map>
  <Map ID="22" Name="root_Map21" RootElement="root" SchemaID="Schema22" ShowImportExportValidationErrors="false" AutoFit="true" Append="false" PreserveSortAFLayout="true" PreserveFormat="true">
    <DataBinding FileBinding="true" ConnectionID="14" DataBindingLoadMode="1"/>
  </Map>
  <Map ID="10503" Name="root_Map210" RootElement="root" SchemaID="Schema211" ShowImportExportValidationErrors="false" AutoFit="true" Append="false" PreserveSortAFLayout="true" PreserveFormat="true">
    <DataBinding FileBinding="true" ConnectionID="211" DataBindingLoadMode="1"/>
  </Map>
  <Map ID="10589" Name="root_Map211" RootElement="root" SchemaID="Schema212" ShowImportExportValidationErrors="false" AutoFit="true" Append="false" PreserveSortAFLayout="true" PreserveFormat="true">
    <DataBinding FileBinding="true" ConnectionID="212" DataBindingLoadMode="1"/>
  </Map>
  <Map ID="10675" Name="root_Map212" RootElement="root" SchemaID="Schema213" ShowImportExportValidationErrors="false" AutoFit="true" Append="false" PreserveSortAFLayout="true" PreserveFormat="true">
    <DataBinding FileBinding="true" ConnectionID="213" DataBindingLoadMode="1"/>
  </Map>
  <Map ID="10761" Name="root_Map213" RootElement="root" SchemaID="Schema214" ShowImportExportValidationErrors="false" AutoFit="true" Append="false" PreserveSortAFLayout="true" PreserveFormat="true">
    <DataBinding FileBinding="true" ConnectionID="214" DataBindingLoadMode="1"/>
  </Map>
  <Map ID="10847" Name="root_Map214" RootElement="root" SchemaID="Schema215" ShowImportExportValidationErrors="false" AutoFit="true" Append="false" PreserveSortAFLayout="true" PreserveFormat="true">
    <DataBinding FileBinding="true" ConnectionID="215" DataBindingLoadMode="1"/>
  </Map>
  <Map ID="10933" Name="root_Map215" RootElement="root" SchemaID="Schema216" ShowImportExportValidationErrors="false" AutoFit="true" Append="false" PreserveSortAFLayout="true" PreserveFormat="true">
    <DataBinding FileBinding="true" ConnectionID="216" DataBindingLoadMode="1"/>
  </Map>
  <Map ID="11019" Name="root_Map216" RootElement="root" SchemaID="Schema217" ShowImportExportValidationErrors="false" AutoFit="true" Append="false" PreserveSortAFLayout="true" PreserveFormat="true">
    <DataBinding FileBinding="true" ConnectionID="217" DataBindingLoadMode="1"/>
  </Map>
  <Map ID="11105" Name="root_Map217" RootElement="root" SchemaID="Schema218" ShowImportExportValidationErrors="false" AutoFit="true" Append="false" PreserveSortAFLayout="true" PreserveFormat="true">
    <DataBinding FileBinding="true" ConnectionID="218" DataBindingLoadMode="1"/>
  </Map>
  <Map ID="11191" Name="root_Map218" RootElement="root" SchemaID="Schema219" ShowImportExportValidationErrors="false" AutoFit="true" Append="false" PreserveSortAFLayout="true" PreserveFormat="true">
    <DataBinding FileBinding="true" ConnectionID="219" DataBindingLoadMode="1"/>
  </Map>
  <Map ID="11277" Name="root_Map219" RootElement="root" SchemaID="Schema220" ShowImportExportValidationErrors="false" AutoFit="true" Append="false" PreserveSortAFLayout="true" PreserveFormat="true">
    <DataBinding FileBinding="true" ConnectionID="220" DataBindingLoadMode="1"/>
  </Map>
  <Map ID="23" Name="root_Map22" RootElement="root" SchemaID="Schema23" ShowImportExportValidationErrors="false" AutoFit="true" Append="false" PreserveSortAFLayout="true" PreserveFormat="true">
    <DataBinding FileBinding="true" ConnectionID="15" DataBindingLoadMode="1"/>
  </Map>
  <Map ID="11363" Name="root_Map220" RootElement="root" SchemaID="Schema221" ShowImportExportValidationErrors="false" AutoFit="true" Append="false" PreserveSortAFLayout="true" PreserveFormat="true">
    <DataBinding FileBinding="true" ConnectionID="221" DataBindingLoadMode="1"/>
  </Map>
  <Map ID="11448" Name="root_Map221" RootElement="root" SchemaID="Schema222" ShowImportExportValidationErrors="false" AutoFit="true" Append="false" PreserveSortAFLayout="true" PreserveFormat="true">
    <DataBinding FileBinding="true" ConnectionID="222" DataBindingLoadMode="1"/>
  </Map>
  <Map ID="11533" Name="root_Map222" RootElement="root" SchemaID="Schema223" ShowImportExportValidationErrors="false" AutoFit="true" Append="false" PreserveSortAFLayout="true" PreserveFormat="true">
    <DataBinding FileBinding="true" ConnectionID="223" DataBindingLoadMode="1"/>
  </Map>
  <Map ID="11618" Name="root_Map223" RootElement="root" SchemaID="Schema224" ShowImportExportValidationErrors="false" AutoFit="true" Append="false" PreserveSortAFLayout="true" PreserveFormat="true">
    <DataBinding FileBinding="true" ConnectionID="224" DataBindingLoadMode="1"/>
  </Map>
  <Map ID="11703" Name="root_Map224" RootElement="root" SchemaID="Schema225" ShowImportExportValidationErrors="false" AutoFit="true" Append="false" PreserveSortAFLayout="true" PreserveFormat="true">
    <DataBinding FileBinding="true" ConnectionID="225" DataBindingLoadMode="1"/>
  </Map>
  <Map ID="11788" Name="root_Map225" RootElement="root" SchemaID="Schema226" ShowImportExportValidationErrors="false" AutoFit="true" Append="false" PreserveSortAFLayout="true" PreserveFormat="true">
    <DataBinding FileBinding="true" ConnectionID="226" DataBindingLoadMode="1"/>
  </Map>
  <Map ID="11873" Name="root_Map226" RootElement="root" SchemaID="Schema227" ShowImportExportValidationErrors="false" AutoFit="true" Append="false" PreserveSortAFLayout="true" PreserveFormat="true">
    <DataBinding FileBinding="true" ConnectionID="227" DataBindingLoadMode="1"/>
  </Map>
  <Map ID="11958" Name="root_Map227" RootElement="root" SchemaID="Schema228" ShowImportExportValidationErrors="false" AutoFit="true" Append="false" PreserveSortAFLayout="true" PreserveFormat="true">
    <DataBinding FileBinding="true" ConnectionID="228" DataBindingLoadMode="1"/>
  </Map>
  <Map ID="12043" Name="root_Map228" RootElement="root" SchemaID="Schema229" ShowImportExportValidationErrors="false" AutoFit="true" Append="false" PreserveSortAFLayout="true" PreserveFormat="true">
    <DataBinding FileBinding="true" ConnectionID="229" DataBindingLoadMode="1"/>
  </Map>
  <Map ID="12128" Name="root_Map229" RootElement="root" SchemaID="Schema230" ShowImportExportValidationErrors="false" AutoFit="true" Append="false" PreserveSortAFLayout="true" PreserveFormat="true">
    <DataBinding FileBinding="true" ConnectionID="230" DataBindingLoadMode="1"/>
  </Map>
  <Map ID="24" Name="root_Map23" RootElement="root" SchemaID="Schema24" ShowImportExportValidationErrors="false" AutoFit="true" Append="false" PreserveSortAFLayout="true" PreserveFormat="true">
    <DataBinding FileBinding="true" ConnectionID="17" DataBindingLoadMode="1"/>
  </Map>
  <Map ID="12213" Name="root_Map230" RootElement="root" SchemaID="Schema231" ShowImportExportValidationErrors="false" AutoFit="true" Append="false" PreserveSortAFLayout="true" PreserveFormat="true">
    <DataBinding FileBinding="true" ConnectionID="231" DataBindingLoadMode="1"/>
  </Map>
  <Map ID="12297" Name="root_Map231" RootElement="root" SchemaID="Schema232" ShowImportExportValidationErrors="false" AutoFit="true" Append="false" PreserveSortAFLayout="true" PreserveFormat="true">
    <DataBinding FileBinding="true" ConnectionID="232" DataBindingLoadMode="1"/>
  </Map>
  <Map ID="12381" Name="root_Map232" RootElement="root" SchemaID="Schema233" ShowImportExportValidationErrors="false" AutoFit="true" Append="false" PreserveSortAFLayout="true" PreserveFormat="true">
    <DataBinding FileBinding="true" ConnectionID="233" DataBindingLoadMode="1"/>
  </Map>
  <Map ID="12465" Name="root_Map233" RootElement="root" SchemaID="Schema234" ShowImportExportValidationErrors="false" AutoFit="true" Append="false" PreserveSortAFLayout="true" PreserveFormat="true">
    <DataBinding FileBinding="true" ConnectionID="234" DataBindingLoadMode="1"/>
  </Map>
  <Map ID="12549" Name="root_Map234" RootElement="root" SchemaID="Schema235" ShowImportExportValidationErrors="false" AutoFit="true" Append="false" PreserveSortAFLayout="true" PreserveFormat="true">
    <DataBinding FileBinding="true" ConnectionID="235" DataBindingLoadMode="1"/>
  </Map>
  <Map ID="12633" Name="root_Map235" RootElement="root" SchemaID="Schema236" ShowImportExportValidationErrors="false" AutoFit="true" Append="false" PreserveSortAFLayout="true" PreserveFormat="true">
    <DataBinding FileBinding="true" ConnectionID="236" DataBindingLoadMode="1"/>
  </Map>
  <Map ID="12717" Name="root_Map236" RootElement="root" SchemaID="Schema237" ShowImportExportValidationErrors="false" AutoFit="true" Append="false" PreserveSortAFLayout="true" PreserveFormat="true">
    <DataBinding FileBinding="true" ConnectionID="237" DataBindingLoadMode="1"/>
  </Map>
  <Map ID="12801" Name="root_Map237" RootElement="root" SchemaID="Schema238" ShowImportExportValidationErrors="false" AutoFit="true" Append="false" PreserveSortAFLayout="true" PreserveFormat="true">
    <DataBinding FileBinding="true" ConnectionID="238" DataBindingLoadMode="1"/>
  </Map>
  <Map ID="12885" Name="root_Map238" RootElement="root" SchemaID="Schema239" ShowImportExportValidationErrors="false" AutoFit="true" Append="false" PreserveSortAFLayout="true" PreserveFormat="true">
    <DataBinding FileBinding="true" ConnectionID="239" DataBindingLoadMode="1"/>
  </Map>
  <Map ID="12969" Name="root_Map239" RootElement="root" SchemaID="Schema240" ShowImportExportValidationErrors="false" AutoFit="true" Append="false" PreserveSortAFLayout="true" PreserveFormat="true">
    <DataBinding FileBinding="true" ConnectionID="240" DataBindingLoadMode="1"/>
  </Map>
  <Map ID="25" Name="root_Map24" RootElement="root" SchemaID="Schema25" ShowImportExportValidationErrors="false" AutoFit="true" Append="false" PreserveSortAFLayout="true" PreserveFormat="true">
    <DataBinding FileBinding="true" ConnectionID="18" DataBindingLoadMode="1"/>
  </Map>
  <Map ID="13053" Name="root_Map240" RootElement="root" SchemaID="Schema241" ShowImportExportValidationErrors="false" AutoFit="true" Append="false" PreserveSortAFLayout="true" PreserveFormat="true">
    <DataBinding FileBinding="true" ConnectionID="241" DataBindingLoadMode="1"/>
  </Map>
  <Map ID="13136" Name="root_Map241" RootElement="root" SchemaID="Schema242" ShowImportExportValidationErrors="false" AutoFit="true" Append="false" PreserveSortAFLayout="true" PreserveFormat="true">
    <DataBinding FileBinding="true" ConnectionID="242" DataBindingLoadMode="1"/>
  </Map>
  <Map ID="13219" Name="root_Map242" RootElement="root" SchemaID="Schema243" ShowImportExportValidationErrors="false" AutoFit="true" Append="false" PreserveSortAFLayout="true" PreserveFormat="true">
    <DataBinding FileBinding="true" ConnectionID="243" DataBindingLoadMode="1"/>
  </Map>
  <Map ID="13302" Name="root_Map243" RootElement="root" SchemaID="Schema244" ShowImportExportValidationErrors="false" AutoFit="true" Append="false" PreserveSortAFLayout="true" PreserveFormat="true">
    <DataBinding FileBinding="true" ConnectionID="244" DataBindingLoadMode="1"/>
  </Map>
  <Map ID="13385" Name="root_Map244" RootElement="root" SchemaID="Schema245" ShowImportExportValidationErrors="false" AutoFit="true" Append="false" PreserveSortAFLayout="true" PreserveFormat="true">
    <DataBinding FileBinding="true" ConnectionID="245" DataBindingLoadMode="1"/>
  </Map>
  <Map ID="13468" Name="root_Map245" RootElement="root" SchemaID="Schema246" ShowImportExportValidationErrors="false" AutoFit="true" Append="false" PreserveSortAFLayout="true" PreserveFormat="true">
    <DataBinding FileBinding="true" ConnectionID="246" DataBindingLoadMode="1"/>
  </Map>
  <Map ID="13551" Name="root_Map246" RootElement="root" SchemaID="Schema247" ShowImportExportValidationErrors="false" AutoFit="true" Append="false" PreserveSortAFLayout="true" PreserveFormat="true">
    <DataBinding FileBinding="true" ConnectionID="247" DataBindingLoadMode="1"/>
  </Map>
  <Map ID="13634" Name="root_Map247" RootElement="root" SchemaID="Schema248" ShowImportExportValidationErrors="false" AutoFit="true" Append="false" PreserveSortAFLayout="true" PreserveFormat="true">
    <DataBinding FileBinding="true" ConnectionID="248" DataBindingLoadMode="1"/>
  </Map>
  <Map ID="13717" Name="root_Map248" RootElement="root" SchemaID="Schema249" ShowImportExportValidationErrors="false" AutoFit="true" Append="false" PreserveSortAFLayout="true" PreserveFormat="true">
    <DataBinding FileBinding="true" ConnectionID="249" DataBindingLoadMode="1"/>
  </Map>
  <Map ID="13800" Name="root_Map249" RootElement="root" SchemaID="Schema250" ShowImportExportValidationErrors="false" AutoFit="true" Append="false" PreserveSortAFLayout="true" PreserveFormat="true">
    <DataBinding FileBinding="true" ConnectionID="250" DataBindingLoadMode="1"/>
  </Map>
  <Map ID="26" Name="root_Map25" RootElement="root" SchemaID="Schema26" ShowImportExportValidationErrors="false" AutoFit="true" Append="false" PreserveSortAFLayout="true" PreserveFormat="true">
    <DataBinding FileBinding="true" ConnectionID="19" DataBindingLoadMode="1"/>
  </Map>
  <Map ID="13883" Name="root_Map250" RootElement="root" SchemaID="Schema251" ShowImportExportValidationErrors="false" AutoFit="true" Append="false" PreserveSortAFLayout="true" PreserveFormat="true">
    <DataBinding FileBinding="true" ConnectionID="251" DataBindingLoadMode="1"/>
  </Map>
  <Map ID="13965" Name="root_Map251" RootElement="root" SchemaID="Schema252" ShowImportExportValidationErrors="false" AutoFit="true" Append="false" PreserveSortAFLayout="true" PreserveFormat="true">
    <DataBinding FileBinding="true" ConnectionID="252" DataBindingLoadMode="1"/>
  </Map>
  <Map ID="14047" Name="root_Map252" RootElement="root" SchemaID="Schema253" ShowImportExportValidationErrors="false" AutoFit="true" Append="false" PreserveSortAFLayout="true" PreserveFormat="true">
    <DataBinding FileBinding="true" ConnectionID="253" DataBindingLoadMode="1"/>
  </Map>
  <Map ID="14129" Name="root_Map253" RootElement="root" SchemaID="Schema254" ShowImportExportValidationErrors="false" AutoFit="true" Append="false" PreserveSortAFLayout="true" PreserveFormat="true">
    <DataBinding FileBinding="true" ConnectionID="254" DataBindingLoadMode="1"/>
  </Map>
  <Map ID="14211" Name="root_Map254" RootElement="root" SchemaID="Schema255" ShowImportExportValidationErrors="false" AutoFit="true" Append="false" PreserveSortAFLayout="true" PreserveFormat="true">
    <DataBinding FileBinding="true" ConnectionID="255" DataBindingLoadMode="1"/>
  </Map>
  <Map ID="14293" Name="root_Map255" RootElement="root" SchemaID="Schema256" ShowImportExportValidationErrors="false" AutoFit="true" Append="false" PreserveSortAFLayout="true" PreserveFormat="true">
    <DataBinding FileBinding="true" ConnectionID="256" DataBindingLoadMode="1"/>
  </Map>
  <Map ID="14375" Name="root_Map256" RootElement="root" SchemaID="Schema257" ShowImportExportValidationErrors="false" AutoFit="true" Append="false" PreserveSortAFLayout="true" PreserveFormat="true">
    <DataBinding FileBinding="true" ConnectionID="257" DataBindingLoadMode="1"/>
  </Map>
  <Map ID="14457" Name="root_Map257" RootElement="root" SchemaID="Schema258" ShowImportExportValidationErrors="false" AutoFit="true" Append="false" PreserveSortAFLayout="true" PreserveFormat="true">
    <DataBinding FileBinding="true" ConnectionID="258" DataBindingLoadMode="1"/>
  </Map>
  <Map ID="14539" Name="root_Map258" RootElement="root" SchemaID="Schema259" ShowImportExportValidationErrors="false" AutoFit="true" Append="false" PreserveSortAFLayout="true" PreserveFormat="true">
    <DataBinding FileBinding="true" ConnectionID="259" DataBindingLoadMode="1"/>
  </Map>
  <Map ID="14621" Name="root_Map259" RootElement="root" SchemaID="Schema260" ShowImportExportValidationErrors="false" AutoFit="true" Append="false" PreserveSortAFLayout="true" PreserveFormat="true">
    <DataBinding FileBinding="true" ConnectionID="260" DataBindingLoadMode="1"/>
  </Map>
  <Map ID="27" Name="root_Map26" RootElement="root" SchemaID="Schema27" ShowImportExportValidationErrors="false" AutoFit="true" Append="false" PreserveSortAFLayout="true" PreserveFormat="true">
    <DataBinding FileBinding="true" ConnectionID="20" DataBindingLoadMode="1"/>
  </Map>
  <Map ID="14703" Name="root_Map260" RootElement="root" SchemaID="Schema261" ShowImportExportValidationErrors="false" AutoFit="true" Append="false" PreserveSortAFLayout="true" PreserveFormat="true">
    <DataBinding FileBinding="true" ConnectionID="261" DataBindingLoadMode="1"/>
  </Map>
  <Map ID="14784" Name="root_Map261" RootElement="root" SchemaID="Schema262" ShowImportExportValidationErrors="false" AutoFit="true" Append="false" PreserveSortAFLayout="true" PreserveFormat="true">
    <DataBinding FileBinding="true" ConnectionID="262" DataBindingLoadMode="1"/>
  </Map>
  <Map ID="14865" Name="root_Map262" RootElement="root" SchemaID="Schema263" ShowImportExportValidationErrors="false" AutoFit="true" Append="false" PreserveSortAFLayout="true" PreserveFormat="true">
    <DataBinding FileBinding="true" ConnectionID="263" DataBindingLoadMode="1"/>
  </Map>
  <Map ID="14946" Name="root_Map263" RootElement="root" SchemaID="Schema264" ShowImportExportValidationErrors="false" AutoFit="true" Append="false" PreserveSortAFLayout="true" PreserveFormat="true">
    <DataBinding FileBinding="true" ConnectionID="264" DataBindingLoadMode="1"/>
  </Map>
  <Map ID="15027" Name="root_Map264" RootElement="root" SchemaID="Schema265" ShowImportExportValidationErrors="false" AutoFit="true" Append="false" PreserveSortAFLayout="true" PreserveFormat="true">
    <DataBinding FileBinding="true" ConnectionID="265" DataBindingLoadMode="1"/>
  </Map>
  <Map ID="15108" Name="root_Map265" RootElement="root" SchemaID="Schema266" ShowImportExportValidationErrors="false" AutoFit="true" Append="false" PreserveSortAFLayout="true" PreserveFormat="true">
    <DataBinding FileBinding="true" ConnectionID="266" DataBindingLoadMode="1"/>
  </Map>
  <Map ID="15189" Name="root_Map266" RootElement="root" SchemaID="Schema267" ShowImportExportValidationErrors="false" AutoFit="true" Append="false" PreserveSortAFLayout="true" PreserveFormat="true">
    <DataBinding FileBinding="true" ConnectionID="267" DataBindingLoadMode="1"/>
  </Map>
  <Map ID="15270" Name="root_Map267" RootElement="root" SchemaID="Schema268" ShowImportExportValidationErrors="false" AutoFit="true" Append="false" PreserveSortAFLayout="true" PreserveFormat="true">
    <DataBinding FileBinding="true" ConnectionID="268" DataBindingLoadMode="1"/>
  </Map>
  <Map ID="15351" Name="root_Map268" RootElement="root" SchemaID="Schema269" ShowImportExportValidationErrors="false" AutoFit="true" Append="false" PreserveSortAFLayout="true" PreserveFormat="true">
    <DataBinding FileBinding="true" ConnectionID="269" DataBindingLoadMode="1"/>
  </Map>
  <Map ID="15432" Name="root_Map269" RootElement="root" SchemaID="Schema270" ShowImportExportValidationErrors="false" AutoFit="true" Append="false" PreserveSortAFLayout="true" PreserveFormat="true">
    <DataBinding FileBinding="true" ConnectionID="270" DataBindingLoadMode="1"/>
  </Map>
  <Map ID="28" Name="root_Map27" RootElement="root" SchemaID="Schema28" ShowImportExportValidationErrors="false" AutoFit="true" Append="false" PreserveSortAFLayout="true" PreserveFormat="true">
    <DataBinding FileBinding="true" ConnectionID="21" DataBindingLoadMode="1"/>
  </Map>
  <Map ID="15513" Name="root_Map270" RootElement="root" SchemaID="Schema271" ShowImportExportValidationErrors="false" AutoFit="true" Append="false" PreserveSortAFLayout="true" PreserveFormat="true">
    <DataBinding FileBinding="true" ConnectionID="271" DataBindingLoadMode="1"/>
  </Map>
  <Map ID="15593" Name="root_Map271" RootElement="root" SchemaID="Schema272" ShowImportExportValidationErrors="false" AutoFit="true" Append="false" PreserveSortAFLayout="true" PreserveFormat="true">
    <DataBinding FileBinding="true" ConnectionID="272" DataBindingLoadMode="1"/>
  </Map>
  <Map ID="15673" Name="root_Map272" RootElement="root" SchemaID="Schema273" ShowImportExportValidationErrors="false" AutoFit="true" Append="false" PreserveSortAFLayout="true" PreserveFormat="true">
    <DataBinding FileBinding="true" ConnectionID="273" DataBindingLoadMode="1"/>
  </Map>
  <Map ID="15753" Name="root_Map273" RootElement="root" SchemaID="Schema274" ShowImportExportValidationErrors="false" AutoFit="true" Append="false" PreserveSortAFLayout="true" PreserveFormat="true">
    <DataBinding FileBinding="true" ConnectionID="274" DataBindingLoadMode="1"/>
  </Map>
  <Map ID="15833" Name="root_Map274" RootElement="root" SchemaID="Schema275" ShowImportExportValidationErrors="false" AutoFit="true" Append="false" PreserveSortAFLayout="true" PreserveFormat="true">
    <DataBinding FileBinding="true" ConnectionID="275" DataBindingLoadMode="1"/>
  </Map>
  <Map ID="15913" Name="root_Map275" RootElement="root" SchemaID="Schema276" ShowImportExportValidationErrors="false" AutoFit="true" Append="false" PreserveSortAFLayout="true" PreserveFormat="true">
    <DataBinding FileBinding="true" ConnectionID="276" DataBindingLoadMode="1"/>
  </Map>
  <Map ID="15993" Name="root_Map276" RootElement="root" SchemaID="Schema277" ShowImportExportValidationErrors="false" AutoFit="true" Append="false" PreserveSortAFLayout="true" PreserveFormat="true">
    <DataBinding FileBinding="true" ConnectionID="277" DataBindingLoadMode="1"/>
  </Map>
  <Map ID="16073" Name="root_Map277" RootElement="root" SchemaID="Schema278" ShowImportExportValidationErrors="false" AutoFit="true" Append="false" PreserveSortAFLayout="true" PreserveFormat="true">
    <DataBinding FileBinding="true" ConnectionID="278" DataBindingLoadMode="1"/>
  </Map>
  <Map ID="16153" Name="root_Map278" RootElement="root" SchemaID="Schema279" ShowImportExportValidationErrors="false" AutoFit="true" Append="false" PreserveSortAFLayout="true" PreserveFormat="true">
    <DataBinding FileBinding="true" ConnectionID="279" DataBindingLoadMode="1"/>
  </Map>
  <Map ID="16233" Name="root_Map279" RootElement="root" SchemaID="Schema280" ShowImportExportValidationErrors="false" AutoFit="true" Append="false" PreserveSortAFLayout="true" PreserveFormat="true">
    <DataBinding FileBinding="true" ConnectionID="280" DataBindingLoadMode="1"/>
  </Map>
  <Map ID="29" Name="root_Map28" RootElement="root" SchemaID="Schema29" ShowImportExportValidationErrors="false" AutoFit="true" Append="false" PreserveSortAFLayout="true" PreserveFormat="true">
    <DataBinding FileBinding="true" ConnectionID="22" DataBindingLoadMode="1"/>
  </Map>
  <Map ID="16313" Name="root_Map280" RootElement="root" SchemaID="Schema281" ShowImportExportValidationErrors="false" AutoFit="true" Append="false" PreserveSortAFLayout="true" PreserveFormat="true">
    <DataBinding FileBinding="true" ConnectionID="281" DataBindingLoadMode="1"/>
  </Map>
  <Map ID="16392" Name="root_Map281" RootElement="root" SchemaID="Schema282" ShowImportExportValidationErrors="false" AutoFit="true" Append="false" PreserveSortAFLayout="true" PreserveFormat="true">
    <DataBinding FileBinding="true" ConnectionID="282" DataBindingLoadMode="1"/>
  </Map>
  <Map ID="16471" Name="root_Map282" RootElement="root" SchemaID="Schema283" ShowImportExportValidationErrors="false" AutoFit="true" Append="false" PreserveSortAFLayout="true" PreserveFormat="true">
    <DataBinding FileBinding="true" ConnectionID="283" DataBindingLoadMode="1"/>
  </Map>
  <Map ID="16550" Name="root_Map283" RootElement="root" SchemaID="Schema284" ShowImportExportValidationErrors="false" AutoFit="true" Append="false" PreserveSortAFLayout="true" PreserveFormat="true">
    <DataBinding FileBinding="true" ConnectionID="284" DataBindingLoadMode="1"/>
  </Map>
  <Map ID="16629" Name="root_Map284" RootElement="root" SchemaID="Schema285" ShowImportExportValidationErrors="false" AutoFit="true" Append="false" PreserveSortAFLayout="true" PreserveFormat="true">
    <DataBinding FileBinding="true" ConnectionID="285" DataBindingLoadMode="1"/>
  </Map>
  <Map ID="16708" Name="root_Map285" RootElement="root" SchemaID="Schema286" ShowImportExportValidationErrors="false" AutoFit="true" Append="false" PreserveSortAFLayout="true" PreserveFormat="true">
    <DataBinding FileBinding="true" ConnectionID="286" DataBindingLoadMode="1"/>
  </Map>
  <Map ID="16787" Name="root_Map286" RootElement="root" SchemaID="Schema287" ShowImportExportValidationErrors="false" AutoFit="true" Append="false" PreserveSortAFLayout="true" PreserveFormat="true">
    <DataBinding FileBinding="true" ConnectionID="287" DataBindingLoadMode="1"/>
  </Map>
  <Map ID="16866" Name="root_Map287" RootElement="root" SchemaID="Schema288" ShowImportExportValidationErrors="false" AutoFit="true" Append="false" PreserveSortAFLayout="true" PreserveFormat="true">
    <DataBinding FileBinding="true" ConnectionID="288" DataBindingLoadMode="1"/>
  </Map>
  <Map ID="16945" Name="root_Map288" RootElement="root" SchemaID="Schema289" ShowImportExportValidationErrors="false" AutoFit="true" Append="false" PreserveSortAFLayout="true" PreserveFormat="true">
    <DataBinding FileBinding="true" ConnectionID="289" DataBindingLoadMode="1"/>
  </Map>
  <Map ID="17024" Name="root_Map289" RootElement="root" SchemaID="Schema290" ShowImportExportValidationErrors="false" AutoFit="true" Append="false" PreserveSortAFLayout="true" PreserveFormat="true">
    <DataBinding FileBinding="true" ConnectionID="290" DataBindingLoadMode="1"/>
  </Map>
  <Map ID="38" Name="root_Map29" RootElement="root" SchemaID="Schema30" ShowImportExportValidationErrors="false" AutoFit="true" Append="false" PreserveSortAFLayout="true" PreserveFormat="true">
    <DataBinding FileBinding="true" ConnectionID="30" DataBindingLoadMode="1"/>
  </Map>
  <Map ID="17103" Name="root_Map290" RootElement="root" SchemaID="Schema291" ShowImportExportValidationErrors="false" AutoFit="true" Append="false" PreserveSortAFLayout="true" PreserveFormat="true">
    <DataBinding FileBinding="true" ConnectionID="291" DataBindingLoadMode="1"/>
  </Map>
  <Map ID="17181" Name="root_Map291" RootElement="root" SchemaID="Schema292" ShowImportExportValidationErrors="false" AutoFit="true" Append="false" PreserveSortAFLayout="true" PreserveFormat="true">
    <DataBinding FileBinding="true" ConnectionID="292" DataBindingLoadMode="1"/>
  </Map>
  <Map ID="17259" Name="root_Map292" RootElement="root" SchemaID="Schema293" ShowImportExportValidationErrors="false" AutoFit="true" Append="false" PreserveSortAFLayout="true" PreserveFormat="true">
    <DataBinding FileBinding="true" ConnectionID="293" DataBindingLoadMode="1"/>
  </Map>
  <Map ID="17337" Name="root_Map293" RootElement="root" SchemaID="Schema294" ShowImportExportValidationErrors="false" AutoFit="true" Append="false" PreserveSortAFLayout="true" PreserveFormat="true">
    <DataBinding FileBinding="true" ConnectionID="294" DataBindingLoadMode="1"/>
  </Map>
  <Map ID="17415" Name="root_Map294" RootElement="root" SchemaID="Schema295" ShowImportExportValidationErrors="false" AutoFit="true" Append="false" PreserveSortAFLayout="true" PreserveFormat="true">
    <DataBinding FileBinding="true" ConnectionID="295" DataBindingLoadMode="1"/>
  </Map>
  <Map ID="17493" Name="root_Map295" RootElement="root" SchemaID="Schema296" ShowImportExportValidationErrors="false" AutoFit="true" Append="false" PreserveSortAFLayout="true" PreserveFormat="true">
    <DataBinding FileBinding="true" ConnectionID="296" DataBindingLoadMode="1"/>
  </Map>
  <Map ID="17571" Name="root_Map296" RootElement="root" SchemaID="Schema297" ShowImportExportValidationErrors="false" AutoFit="true" Append="false" PreserveSortAFLayout="true" PreserveFormat="true">
    <DataBinding FileBinding="true" ConnectionID="297" DataBindingLoadMode="1"/>
  </Map>
  <Map ID="17649" Name="root_Map297" RootElement="root" SchemaID="Schema298" ShowImportExportValidationErrors="false" AutoFit="true" Append="false" PreserveSortAFLayout="true" PreserveFormat="true">
    <DataBinding FileBinding="true" ConnectionID="298" DataBindingLoadMode="1"/>
  </Map>
  <Map ID="17727" Name="root_Map298" RootElement="root" SchemaID="Schema299" ShowImportExportValidationErrors="false" AutoFit="true" Append="false" PreserveSortAFLayout="true" PreserveFormat="true">
    <DataBinding FileBinding="true" ConnectionID="299" DataBindingLoadMode="1"/>
  </Map>
  <Map ID="17805" Name="root_Map299" RootElement="root" SchemaID="Schema300" ShowImportExportValidationErrors="false" AutoFit="true" Append="false" PreserveSortAFLayout="true" PreserveFormat="true">
    <DataBinding FileBinding="true" ConnectionID="300" DataBindingLoadMode="1"/>
  </Map>
  <Map ID="4" Name="root_Map3" RootElement="root" SchemaID="Schema4" ShowImportExportValidationErrors="false" AutoFit="true" Append="false" PreserveSortAFLayout="true" PreserveFormat="true">
    <DataBinding FileBinding="true" ConnectionID="1" DataBindingLoadMode="1"/>
  </Map>
  <Map ID="39" Name="root_Map30" RootElement="root" SchemaID="Schema31" ShowImportExportValidationErrors="false" AutoFit="true" Append="false" PreserveSortAFLayout="true" PreserveFormat="true">
    <DataBinding FileBinding="true" ConnectionID="31" DataBindingLoadMode="1"/>
  </Map>
  <Map ID="17883" Name="root_Map300" RootElement="root" SchemaID="Schema301" ShowImportExportValidationErrors="false" AutoFit="true" Append="false" PreserveSortAFLayout="true" PreserveFormat="true">
    <DataBinding FileBinding="true" ConnectionID="301" DataBindingLoadMode="1"/>
  </Map>
  <Map ID="17959" Name="root_Map301" RootElement="root" SchemaID="Schema302" ShowImportExportValidationErrors="false" AutoFit="true" Append="false" PreserveSortAFLayout="true" PreserveFormat="true">
    <DataBinding FileBinding="true" ConnectionID="302" DataBindingLoadMode="1"/>
  </Map>
  <Map ID="18035" Name="root_Map302" RootElement="root" SchemaID="Schema303" ShowImportExportValidationErrors="false" AutoFit="true" Append="false" PreserveSortAFLayout="true" PreserveFormat="true">
    <DataBinding FileBinding="true" ConnectionID="303" DataBindingLoadMode="1"/>
  </Map>
  <Map ID="18111" Name="root_Map303" RootElement="root" SchemaID="Schema304" ShowImportExportValidationErrors="false" AutoFit="true" Append="false" PreserveSortAFLayout="true" PreserveFormat="true">
    <DataBinding FileBinding="true" ConnectionID="304" DataBindingLoadMode="1"/>
  </Map>
  <Map ID="18187" Name="root_Map304" RootElement="root" SchemaID="Schema305" ShowImportExportValidationErrors="false" AutoFit="true" Append="false" PreserveSortAFLayout="true" PreserveFormat="true">
    <DataBinding FileBinding="true" ConnectionID="305" DataBindingLoadMode="1"/>
  </Map>
  <Map ID="18263" Name="root_Map305" RootElement="root" SchemaID="Schema306" ShowImportExportValidationErrors="false" AutoFit="true" Append="false" PreserveSortAFLayout="true" PreserveFormat="true">
    <DataBinding FileBinding="true" ConnectionID="306" DataBindingLoadMode="1"/>
  </Map>
  <Map ID="18339" Name="root_Map306" RootElement="root" SchemaID="Schema307" ShowImportExportValidationErrors="false" AutoFit="true" Append="false" PreserveSortAFLayout="true" PreserveFormat="true">
    <DataBinding FileBinding="true" ConnectionID="307" DataBindingLoadMode="1"/>
  </Map>
  <Map ID="18415" Name="root_Map307" RootElement="root" SchemaID="Schema308" ShowImportExportValidationErrors="false" AutoFit="true" Append="false" PreserveSortAFLayout="true" PreserveFormat="true">
    <DataBinding FileBinding="true" ConnectionID="308" DataBindingLoadMode="1"/>
  </Map>
  <Map ID="18491" Name="root_Map308" RootElement="root" SchemaID="Schema309" ShowImportExportValidationErrors="false" AutoFit="true" Append="false" PreserveSortAFLayout="true" PreserveFormat="true">
    <DataBinding FileBinding="true" ConnectionID="309" DataBindingLoadMode="1"/>
  </Map>
  <Map ID="18567" Name="root_Map309" RootElement="root" SchemaID="Schema310" ShowImportExportValidationErrors="false" AutoFit="true" Append="false" PreserveSortAFLayout="true" PreserveFormat="true">
    <DataBinding FileBinding="true" ConnectionID="310" DataBindingLoadMode="1"/>
  </Map>
  <Map ID="47" Name="root_Map31" RootElement="root" SchemaID="Schema32" ShowImportExportValidationErrors="false" AutoFit="true" Append="false" PreserveSortAFLayout="true" PreserveFormat="true">
    <DataBinding FileBinding="true" ConnectionID="32" DataBindingLoadMode="1"/>
  </Map>
  <Map ID="18643" Name="root_Map310" RootElement="root" SchemaID="Schema311" ShowImportExportValidationErrors="false" AutoFit="true" Append="false" PreserveSortAFLayout="true" PreserveFormat="true">
    <DataBinding FileBinding="true" ConnectionID="311" DataBindingLoadMode="1"/>
  </Map>
  <Map ID="18718" Name="root_Map311" RootElement="root" SchemaID="Schema312" ShowImportExportValidationErrors="false" AutoFit="true" Append="false" PreserveSortAFLayout="true" PreserveFormat="true">
    <DataBinding FileBinding="true" ConnectionID="312" DataBindingLoadMode="1"/>
  </Map>
  <Map ID="18793" Name="root_Map312" RootElement="root" SchemaID="Schema313" ShowImportExportValidationErrors="false" AutoFit="true" Append="false" PreserveSortAFLayout="true" PreserveFormat="true">
    <DataBinding FileBinding="true" ConnectionID="313" DataBindingLoadMode="1"/>
  </Map>
  <Map ID="18868" Name="root_Map313" RootElement="root" SchemaID="Schema314" ShowImportExportValidationErrors="false" AutoFit="true" Append="false" PreserveSortAFLayout="true" PreserveFormat="true">
    <DataBinding FileBinding="true" ConnectionID="314" DataBindingLoadMode="1"/>
  </Map>
  <Map ID="18943" Name="root_Map314" RootElement="root" SchemaID="Schema315" ShowImportExportValidationErrors="false" AutoFit="true" Append="false" PreserveSortAFLayout="true" PreserveFormat="true">
    <DataBinding FileBinding="true" ConnectionID="315" DataBindingLoadMode="1"/>
  </Map>
  <Map ID="19018" Name="root_Map315" RootElement="root" SchemaID="Schema316" ShowImportExportValidationErrors="false" AutoFit="true" Append="false" PreserveSortAFLayout="true" PreserveFormat="true">
    <DataBinding FileBinding="true" ConnectionID="316" DataBindingLoadMode="1"/>
  </Map>
  <Map ID="19093" Name="root_Map316" RootElement="root" SchemaID="Schema317" ShowImportExportValidationErrors="false" AutoFit="true" Append="false" PreserveSortAFLayout="true" PreserveFormat="true">
    <DataBinding FileBinding="true" ConnectionID="317" DataBindingLoadMode="1"/>
  </Map>
  <Map ID="19168" Name="root_Map317" RootElement="root" SchemaID="Schema318" ShowImportExportValidationErrors="false" AutoFit="true" Append="false" PreserveSortAFLayout="true" PreserveFormat="true">
    <DataBinding FileBinding="true" ConnectionID="318" DataBindingLoadMode="1"/>
  </Map>
  <Map ID="19243" Name="root_Map318" RootElement="root" SchemaID="Schema319" ShowImportExportValidationErrors="false" AutoFit="true" Append="false" PreserveSortAFLayout="true" PreserveFormat="true">
    <DataBinding FileBinding="true" ConnectionID="319" DataBindingLoadMode="1"/>
  </Map>
  <Map ID="19318" Name="root_Map319" RootElement="root" SchemaID="Schema320" ShowImportExportValidationErrors="false" AutoFit="true" Append="false" PreserveSortAFLayout="true" PreserveFormat="true">
    <DataBinding FileBinding="true" ConnectionID="320" DataBindingLoadMode="1"/>
  </Map>
  <Map ID="54" Name="root_Map32" RootElement="root" SchemaID="Schema33" ShowImportExportValidationErrors="false" AutoFit="true" Append="false" PreserveSortAFLayout="true" PreserveFormat="true">
    <DataBinding FileBinding="true" ConnectionID="33" DataBindingLoadMode="1"/>
  </Map>
  <Map ID="19393" Name="root_Map320" RootElement="root" SchemaID="Schema321" ShowImportExportValidationErrors="false" AutoFit="true" Append="false" PreserveSortAFLayout="true" PreserveFormat="true">
    <DataBinding FileBinding="true" ConnectionID="321" DataBindingLoadMode="1"/>
  </Map>
  <Map ID="19467" Name="root_Map321" RootElement="root" SchemaID="Schema322" ShowImportExportValidationErrors="false" AutoFit="true" Append="false" PreserveSortAFLayout="true" PreserveFormat="true">
    <DataBinding FileBinding="true" ConnectionID="322" DataBindingLoadMode="1"/>
  </Map>
  <Map ID="19541" Name="root_Map322" RootElement="root" SchemaID="Schema323" ShowImportExportValidationErrors="false" AutoFit="true" Append="false" PreserveSortAFLayout="true" PreserveFormat="true">
    <DataBinding FileBinding="true" ConnectionID="323" DataBindingLoadMode="1"/>
  </Map>
  <Map ID="19615" Name="root_Map323" RootElement="root" SchemaID="Schema324" ShowImportExportValidationErrors="false" AutoFit="true" Append="false" PreserveSortAFLayout="true" PreserveFormat="true">
    <DataBinding FileBinding="true" ConnectionID="324" DataBindingLoadMode="1"/>
  </Map>
  <Map ID="19689" Name="root_Map324" RootElement="root" SchemaID="Schema325" ShowImportExportValidationErrors="false" AutoFit="true" Append="false" PreserveSortAFLayout="true" PreserveFormat="true">
    <DataBinding FileBinding="true" ConnectionID="325" DataBindingLoadMode="1"/>
  </Map>
  <Map ID="19763" Name="root_Map325" RootElement="root" SchemaID="Schema326" ShowImportExportValidationErrors="false" AutoFit="true" Append="false" PreserveSortAFLayout="true" PreserveFormat="true">
    <DataBinding FileBinding="true" ConnectionID="326" DataBindingLoadMode="1"/>
  </Map>
  <Map ID="19837" Name="root_Map326" RootElement="root" SchemaID="Schema327" ShowImportExportValidationErrors="false" AutoFit="true" Append="false" PreserveSortAFLayout="true" PreserveFormat="true">
    <DataBinding FileBinding="true" ConnectionID="327" DataBindingLoadMode="1"/>
  </Map>
  <Map ID="19911" Name="root_Map327" RootElement="root" SchemaID="Schema328" ShowImportExportValidationErrors="false" AutoFit="true" Append="false" PreserveSortAFLayout="true" PreserveFormat="true">
    <DataBinding FileBinding="true" ConnectionID="328" DataBindingLoadMode="1"/>
  </Map>
  <Map ID="19985" Name="root_Map328" RootElement="root" SchemaID="Schema329" ShowImportExportValidationErrors="false" AutoFit="true" Append="false" PreserveSortAFLayout="true" PreserveFormat="true">
    <DataBinding FileBinding="true" ConnectionID="329" DataBindingLoadMode="1"/>
  </Map>
  <Map ID="20059" Name="root_Map329" RootElement="root" SchemaID="Schema330" ShowImportExportValidationErrors="false" AutoFit="true" Append="false" PreserveSortAFLayout="true" PreserveFormat="true">
    <DataBinding FileBinding="true" ConnectionID="330" DataBindingLoadMode="1"/>
  </Map>
  <Map ID="61" Name="root_Map33" RootElement="root" SchemaID="Schema34" ShowImportExportValidationErrors="false" AutoFit="true" Append="false" PreserveSortAFLayout="true" PreserveFormat="true">
    <DataBinding FileBinding="true" ConnectionID="34" DataBindingLoadMode="1"/>
  </Map>
  <Map ID="20133" Name="root_Map330" RootElement="root" SchemaID="Schema331" ShowImportExportValidationErrors="false" AutoFit="true" Append="false" PreserveSortAFLayout="true" PreserveFormat="true">
    <DataBinding FileBinding="true" ConnectionID="331" DataBindingLoadMode="1"/>
  </Map>
  <Map ID="20206" Name="root_Map331" RootElement="root" SchemaID="Schema332" ShowImportExportValidationErrors="false" AutoFit="true" Append="false" PreserveSortAFLayout="true" PreserveFormat="true">
    <DataBinding FileBinding="true" ConnectionID="332" DataBindingLoadMode="1"/>
  </Map>
  <Map ID="20279" Name="root_Map332" RootElement="root" SchemaID="Schema333" ShowImportExportValidationErrors="false" AutoFit="true" Append="false" PreserveSortAFLayout="true" PreserveFormat="true">
    <DataBinding FileBinding="true" ConnectionID="333" DataBindingLoadMode="1"/>
  </Map>
  <Map ID="20352" Name="root_Map333" RootElement="root" SchemaID="Schema334" ShowImportExportValidationErrors="false" AutoFit="true" Append="false" PreserveSortAFLayout="true" PreserveFormat="true">
    <DataBinding FileBinding="true" ConnectionID="334" DataBindingLoadMode="1"/>
  </Map>
  <Map ID="20425" Name="root_Map334" RootElement="root" SchemaID="Schema335" ShowImportExportValidationErrors="false" AutoFit="true" Append="false" PreserveSortAFLayout="true" PreserveFormat="true">
    <DataBinding FileBinding="true" ConnectionID="335" DataBindingLoadMode="1"/>
  </Map>
  <Map ID="20498" Name="root_Map335" RootElement="root" SchemaID="Schema336" ShowImportExportValidationErrors="false" AutoFit="true" Append="false" PreserveSortAFLayout="true" PreserveFormat="true">
    <DataBinding FileBinding="true" ConnectionID="336" DataBindingLoadMode="1"/>
  </Map>
  <Map ID="20571" Name="root_Map336" RootElement="root" SchemaID="Schema337" ShowImportExportValidationErrors="false" AutoFit="true" Append="false" PreserveSortAFLayout="true" PreserveFormat="true">
    <DataBinding FileBinding="true" ConnectionID="337" DataBindingLoadMode="1"/>
  </Map>
  <Map ID="20644" Name="root_Map337" RootElement="root" SchemaID="Schema338" ShowImportExportValidationErrors="false" AutoFit="true" Append="false" PreserveSortAFLayout="true" PreserveFormat="true">
    <DataBinding FileBinding="true" ConnectionID="338" DataBindingLoadMode="1"/>
  </Map>
  <Map ID="20717" Name="root_Map338" RootElement="root" SchemaID="Schema339" ShowImportExportValidationErrors="false" AutoFit="true" Append="false" PreserveSortAFLayout="true" PreserveFormat="true">
    <DataBinding FileBinding="true" ConnectionID="339" DataBindingLoadMode="1"/>
  </Map>
  <Map ID="20790" Name="root_Map339" RootElement="root" SchemaID="Schema340" ShowImportExportValidationErrors="false" AutoFit="true" Append="false" PreserveSortAFLayout="true" PreserveFormat="true">
    <DataBinding FileBinding="true" ConnectionID="340" DataBindingLoadMode="1"/>
  </Map>
  <Map ID="68" Name="root_Map34" RootElement="root" SchemaID="Schema35" ShowImportExportValidationErrors="false" AutoFit="true" Append="false" PreserveSortAFLayout="true" PreserveFormat="true">
    <DataBinding FileBinding="true" ConnectionID="35" DataBindingLoadMode="1"/>
  </Map>
  <Map ID="20863" Name="root_Map340" RootElement="root" SchemaID="Schema341" ShowImportExportValidationErrors="false" AutoFit="true" Append="false" PreserveSortAFLayout="true" PreserveFormat="true">
    <DataBinding FileBinding="true" ConnectionID="341" DataBindingLoadMode="1"/>
  </Map>
  <Map ID="20935" Name="root_Map341" RootElement="root" SchemaID="Schema342" ShowImportExportValidationErrors="false" AutoFit="true" Append="false" PreserveSortAFLayout="true" PreserveFormat="true">
    <DataBinding FileBinding="true" ConnectionID="342" DataBindingLoadMode="1"/>
  </Map>
  <Map ID="21007" Name="root_Map342" RootElement="root" SchemaID="Schema343" ShowImportExportValidationErrors="false" AutoFit="true" Append="false" PreserveSortAFLayout="true" PreserveFormat="true">
    <DataBinding FileBinding="true" ConnectionID="343" DataBindingLoadMode="1"/>
  </Map>
  <Map ID="21079" Name="root_Map343" RootElement="root" SchemaID="Schema344" ShowImportExportValidationErrors="false" AutoFit="true" Append="false" PreserveSortAFLayout="true" PreserveFormat="true">
    <DataBinding FileBinding="true" ConnectionID="344" DataBindingLoadMode="1"/>
  </Map>
  <Map ID="21151" Name="root_Map344" RootElement="root" SchemaID="Schema345" ShowImportExportValidationErrors="false" AutoFit="true" Append="false" PreserveSortAFLayout="true" PreserveFormat="true">
    <DataBinding FileBinding="true" ConnectionID="345" DataBindingLoadMode="1"/>
  </Map>
  <Map ID="21223" Name="root_Map345" RootElement="root" SchemaID="Schema346" ShowImportExportValidationErrors="false" AutoFit="true" Append="false" PreserveSortAFLayout="true" PreserveFormat="true">
    <DataBinding FileBinding="true" ConnectionID="346" DataBindingLoadMode="1"/>
  </Map>
  <Map ID="21295" Name="root_Map346" RootElement="root" SchemaID="Schema347" ShowImportExportValidationErrors="false" AutoFit="true" Append="false" PreserveSortAFLayout="true" PreserveFormat="true">
    <DataBinding FileBinding="true" ConnectionID="347" DataBindingLoadMode="1"/>
  </Map>
  <Map ID="21367" Name="root_Map347" RootElement="root" SchemaID="Schema348" ShowImportExportValidationErrors="false" AutoFit="true" Append="false" PreserveSortAFLayout="true" PreserveFormat="true">
    <DataBinding FileBinding="true" ConnectionID="348" DataBindingLoadMode="1"/>
  </Map>
  <Map ID="21439" Name="root_Map348" RootElement="root" SchemaID="Schema349" ShowImportExportValidationErrors="false" AutoFit="true" Append="false" PreserveSortAFLayout="true" PreserveFormat="true">
    <DataBinding FileBinding="true" ConnectionID="349" DataBindingLoadMode="1"/>
  </Map>
  <Map ID="21511" Name="root_Map349" RootElement="root" SchemaID="Schema350" ShowImportExportValidationErrors="false" AutoFit="true" Append="false" PreserveSortAFLayout="true" PreserveFormat="true">
    <DataBinding FileBinding="true" ConnectionID="350" DataBindingLoadMode="1"/>
  </Map>
  <Map ID="75" Name="root_Map35" RootElement="root" SchemaID="Schema36" ShowImportExportValidationErrors="false" AutoFit="true" Append="false" PreserveSortAFLayout="true" PreserveFormat="true">
    <DataBinding FileBinding="true" ConnectionID="36" DataBindingLoadMode="1"/>
  </Map>
  <Map ID="21583" Name="root_Map350" RootElement="root" SchemaID="Schema351" ShowImportExportValidationErrors="false" AutoFit="true" Append="false" PreserveSortAFLayout="true" PreserveFormat="true">
    <DataBinding FileBinding="true" ConnectionID="351" DataBindingLoadMode="1"/>
  </Map>
  <Map ID="21654" Name="root_Map351" RootElement="root" SchemaID="Schema352" ShowImportExportValidationErrors="false" AutoFit="true" Append="false" PreserveSortAFLayout="true" PreserveFormat="true">
    <DataBinding FileBinding="true" ConnectionID="352" DataBindingLoadMode="1"/>
  </Map>
  <Map ID="21725" Name="root_Map352" RootElement="root" SchemaID="Schema353" ShowImportExportValidationErrors="false" AutoFit="true" Append="false" PreserveSortAFLayout="true" PreserveFormat="true">
    <DataBinding FileBinding="true" ConnectionID="353" DataBindingLoadMode="1"/>
  </Map>
  <Map ID="21796" Name="root_Map353" RootElement="root" SchemaID="Schema354" ShowImportExportValidationErrors="false" AutoFit="true" Append="false" PreserveSortAFLayout="true" PreserveFormat="true">
    <DataBinding FileBinding="true" ConnectionID="354" DataBindingLoadMode="1"/>
  </Map>
  <Map ID="21867" Name="root_Map354" RootElement="root" SchemaID="Schema355" ShowImportExportValidationErrors="false" AutoFit="true" Append="false" PreserveSortAFLayout="true" PreserveFormat="true">
    <DataBinding FileBinding="true" ConnectionID="355" DataBindingLoadMode="1"/>
  </Map>
  <Map ID="21938" Name="root_Map355" RootElement="root" SchemaID="Schema356" ShowImportExportValidationErrors="false" AutoFit="true" Append="false" PreserveSortAFLayout="true" PreserveFormat="true">
    <DataBinding FileBinding="true" ConnectionID="356" DataBindingLoadMode="1"/>
  </Map>
  <Map ID="22009" Name="root_Map356" RootElement="root" SchemaID="Schema357" ShowImportExportValidationErrors="false" AutoFit="true" Append="false" PreserveSortAFLayout="true" PreserveFormat="true">
    <DataBinding FileBinding="true" ConnectionID="357" DataBindingLoadMode="1"/>
  </Map>
  <Map ID="22080" Name="root_Map357" RootElement="root" SchemaID="Schema358" ShowImportExportValidationErrors="false" AutoFit="true" Append="false" PreserveSortAFLayout="true" PreserveFormat="true">
    <DataBinding FileBinding="true" ConnectionID="358" DataBindingLoadMode="1"/>
  </Map>
  <Map ID="22151" Name="root_Map358" RootElement="root" SchemaID="Schema359" ShowImportExportValidationErrors="false" AutoFit="true" Append="false" PreserveSortAFLayout="true" PreserveFormat="true">
    <DataBinding FileBinding="true" ConnectionID="359" DataBindingLoadMode="1"/>
  </Map>
  <Map ID="22222" Name="root_Map359" RootElement="root" SchemaID="Schema360" ShowImportExportValidationErrors="false" AutoFit="true" Append="false" PreserveSortAFLayout="true" PreserveFormat="true">
    <DataBinding FileBinding="true" ConnectionID="360" DataBindingLoadMode="1"/>
  </Map>
  <Map ID="82" Name="root_Map36" RootElement="root" SchemaID="Schema37" ShowImportExportValidationErrors="false" AutoFit="true" Append="false" PreserveSortAFLayout="true" PreserveFormat="true">
    <DataBinding FileBinding="true" ConnectionID="37" DataBindingLoadMode="1"/>
  </Map>
  <Map ID="22293" Name="root_Map360" RootElement="root" SchemaID="Schema361" ShowImportExportValidationErrors="false" AutoFit="true" Append="false" PreserveSortAFLayout="true" PreserveFormat="true">
    <DataBinding FileBinding="true" ConnectionID="361" DataBindingLoadMode="1"/>
  </Map>
  <Map ID="22363" Name="root_Map361" RootElement="root" SchemaID="Schema362" ShowImportExportValidationErrors="false" AutoFit="true" Append="false" PreserveSortAFLayout="true" PreserveFormat="true">
    <DataBinding FileBinding="true" ConnectionID="362" DataBindingLoadMode="1"/>
  </Map>
  <Map ID="22433" Name="root_Map362" RootElement="root" SchemaID="Schema363" ShowImportExportValidationErrors="false" AutoFit="true" Append="false" PreserveSortAFLayout="true" PreserveFormat="true">
    <DataBinding FileBinding="true" ConnectionID="363" DataBindingLoadMode="1"/>
  </Map>
  <Map ID="22503" Name="root_Map363" RootElement="root" SchemaID="Schema364" ShowImportExportValidationErrors="false" AutoFit="true" Append="false" PreserveSortAFLayout="true" PreserveFormat="true">
    <DataBinding FileBinding="true" ConnectionID="364" DataBindingLoadMode="1"/>
  </Map>
  <Map ID="22573" Name="root_Map364" RootElement="root" SchemaID="Schema365" ShowImportExportValidationErrors="false" AutoFit="true" Append="false" PreserveSortAFLayout="true" PreserveFormat="true">
    <DataBinding FileBinding="true" ConnectionID="365" DataBindingLoadMode="1"/>
  </Map>
  <Map ID="22643" Name="root_Map365" RootElement="root" SchemaID="Schema366" ShowImportExportValidationErrors="false" AutoFit="true" Append="false" PreserveSortAFLayout="true" PreserveFormat="true">
    <DataBinding FileBinding="true" ConnectionID="366" DataBindingLoadMode="1"/>
  </Map>
  <Map ID="22713" Name="root_Map366" RootElement="root" SchemaID="Schema367" ShowImportExportValidationErrors="false" AutoFit="true" Append="false" PreserveSortAFLayout="true" PreserveFormat="true">
    <DataBinding FileBinding="true" ConnectionID="367" DataBindingLoadMode="1"/>
  </Map>
  <Map ID="22783" Name="root_Map367" RootElement="root" SchemaID="Schema368" ShowImportExportValidationErrors="false" AutoFit="true" Append="false" PreserveSortAFLayout="true" PreserveFormat="true">
    <DataBinding FileBinding="true" ConnectionID="368" DataBindingLoadMode="1"/>
  </Map>
  <Map ID="22853" Name="root_Map368" RootElement="root" SchemaID="Schema369" ShowImportExportValidationErrors="false" AutoFit="true" Append="false" PreserveSortAFLayout="true" PreserveFormat="true">
    <DataBinding FileBinding="true" ConnectionID="369" DataBindingLoadMode="1"/>
  </Map>
  <Map ID="22923" Name="root_Map369" RootElement="root" SchemaID="Schema370" ShowImportExportValidationErrors="false" AutoFit="true" Append="false" PreserveSortAFLayout="true" PreserveFormat="true">
    <DataBinding FileBinding="true" ConnectionID="370" DataBindingLoadMode="1"/>
  </Map>
  <Map ID="89" Name="root_Map37" RootElement="root" SchemaID="Schema38" ShowImportExportValidationErrors="false" AutoFit="true" Append="false" PreserveSortAFLayout="true" PreserveFormat="true">
    <DataBinding FileBinding="true" ConnectionID="40" DataBindingLoadMode="1"/>
  </Map>
  <Map ID="22993" Name="root_Map370" RootElement="root" SchemaID="Schema371" ShowImportExportValidationErrors="false" AutoFit="true" Append="false" PreserveSortAFLayout="true" PreserveFormat="true">
    <DataBinding FileBinding="true" ConnectionID="371" DataBindingLoadMode="1"/>
  </Map>
  <Map ID="23062" Name="root_Map371" RootElement="root" SchemaID="Schema372" ShowImportExportValidationErrors="false" AutoFit="true" Append="false" PreserveSortAFLayout="true" PreserveFormat="true">
    <DataBinding FileBinding="true" ConnectionID="372" DataBindingLoadMode="1"/>
  </Map>
  <Map ID="23131" Name="root_Map372" RootElement="root" SchemaID="Schema373" ShowImportExportValidationErrors="false" AutoFit="true" Append="false" PreserveSortAFLayout="true" PreserveFormat="true">
    <DataBinding FileBinding="true" ConnectionID="373" DataBindingLoadMode="1"/>
  </Map>
  <Map ID="23200" Name="root_Map373" RootElement="root" SchemaID="Schema374" ShowImportExportValidationErrors="false" AutoFit="true" Append="false" PreserveSortAFLayout="true" PreserveFormat="true">
    <DataBinding FileBinding="true" ConnectionID="374" DataBindingLoadMode="1"/>
  </Map>
  <Map ID="23269" Name="root_Map374" RootElement="root" SchemaID="Schema375" ShowImportExportValidationErrors="false" AutoFit="true" Append="false" PreserveSortAFLayout="true" PreserveFormat="true">
    <DataBinding FileBinding="true" ConnectionID="375" DataBindingLoadMode="1"/>
  </Map>
  <Map ID="23338" Name="root_Map375" RootElement="root" SchemaID="Schema376" ShowImportExportValidationErrors="false" AutoFit="true" Append="false" PreserveSortAFLayout="true" PreserveFormat="true">
    <DataBinding FileBinding="true" ConnectionID="376" DataBindingLoadMode="1"/>
  </Map>
  <Map ID="23407" Name="root_Map376" RootElement="root" SchemaID="Schema377" ShowImportExportValidationErrors="false" AutoFit="true" Append="false" PreserveSortAFLayout="true" PreserveFormat="true">
    <DataBinding FileBinding="true" ConnectionID="377" DataBindingLoadMode="1"/>
  </Map>
  <Map ID="23476" Name="root_Map377" RootElement="root" SchemaID="Schema378" ShowImportExportValidationErrors="false" AutoFit="true" Append="false" PreserveSortAFLayout="true" PreserveFormat="true">
    <DataBinding FileBinding="true" ConnectionID="378" DataBindingLoadMode="1"/>
  </Map>
  <Map ID="23545" Name="root_Map378" RootElement="root" SchemaID="Schema379" ShowImportExportValidationErrors="false" AutoFit="true" Append="false" PreserveSortAFLayout="true" PreserveFormat="true">
    <DataBinding FileBinding="true" ConnectionID="379" DataBindingLoadMode="1"/>
  </Map>
  <Map ID="23614" Name="root_Map379" RootElement="root" SchemaID="Schema380" ShowImportExportValidationErrors="false" AutoFit="true" Append="false" PreserveSortAFLayout="true" PreserveFormat="true">
    <DataBinding FileBinding="true" ConnectionID="380" DataBindingLoadMode="1"/>
  </Map>
  <Map ID="96" Name="root_Map38" RootElement="root" SchemaID="Schema39" ShowImportExportValidationErrors="false" AutoFit="true" Append="false" PreserveSortAFLayout="true" PreserveFormat="true">
    <DataBinding FileBinding="true" ConnectionID="41" DataBindingLoadMode="1"/>
  </Map>
  <Map ID="23683" Name="root_Map380" RootElement="root" SchemaID="Schema381" ShowImportExportValidationErrors="false" AutoFit="true" Append="false" PreserveSortAFLayout="true" PreserveFormat="true">
    <DataBinding FileBinding="true" ConnectionID="381" DataBindingLoadMode="1"/>
  </Map>
  <Map ID="23751" Name="root_Map381" RootElement="root" SchemaID="Schema382" ShowImportExportValidationErrors="false" AutoFit="true" Append="false" PreserveSortAFLayout="true" PreserveFormat="true">
    <DataBinding FileBinding="true" ConnectionID="382" DataBindingLoadMode="1"/>
  </Map>
  <Map ID="23819" Name="root_Map382" RootElement="root" SchemaID="Schema383" ShowImportExportValidationErrors="false" AutoFit="true" Append="false" PreserveSortAFLayout="true" PreserveFormat="true">
    <DataBinding FileBinding="true" ConnectionID="383" DataBindingLoadMode="1"/>
  </Map>
  <Map ID="23887" Name="root_Map383" RootElement="root" SchemaID="Schema384" ShowImportExportValidationErrors="false" AutoFit="true" Append="false" PreserveSortAFLayout="true" PreserveFormat="true">
    <DataBinding FileBinding="true" ConnectionID="384" DataBindingLoadMode="1"/>
  </Map>
  <Map ID="23955" Name="root_Map384" RootElement="root" SchemaID="Schema385" ShowImportExportValidationErrors="false" AutoFit="true" Append="false" PreserveSortAFLayout="true" PreserveFormat="true">
    <DataBinding FileBinding="true" ConnectionID="385" DataBindingLoadMode="1"/>
  </Map>
  <Map ID="24023" Name="root_Map385" RootElement="root" SchemaID="Schema386" ShowImportExportValidationErrors="false" AutoFit="true" Append="false" PreserveSortAFLayout="true" PreserveFormat="true">
    <DataBinding FileBinding="true" ConnectionID="386" DataBindingLoadMode="1"/>
  </Map>
  <Map ID="24091" Name="root_Map386" RootElement="root" SchemaID="Schema387" ShowImportExportValidationErrors="false" AutoFit="true" Append="false" PreserveSortAFLayout="true" PreserveFormat="true">
    <DataBinding FileBinding="true" ConnectionID="387" DataBindingLoadMode="1"/>
  </Map>
  <Map ID="24159" Name="root_Map387" RootElement="root" SchemaID="Schema388" ShowImportExportValidationErrors="false" AutoFit="true" Append="false" PreserveSortAFLayout="true" PreserveFormat="true">
    <DataBinding FileBinding="true" ConnectionID="388" DataBindingLoadMode="1"/>
  </Map>
  <Map ID="24227" Name="root_Map388" RootElement="root" SchemaID="Schema389" ShowImportExportValidationErrors="false" AutoFit="true" Append="false" PreserveSortAFLayout="true" PreserveFormat="true">
    <DataBinding FileBinding="true" ConnectionID="389" DataBindingLoadMode="1"/>
  </Map>
  <Map ID="24295" Name="root_Map389" RootElement="root" SchemaID="Schema390" ShowImportExportValidationErrors="false" AutoFit="true" Append="false" PreserveSortAFLayout="true" PreserveFormat="true">
    <DataBinding FileBinding="true" ConnectionID="390" DataBindingLoadMode="1"/>
  </Map>
  <Map ID="103" Name="root_Map39" RootElement="root" SchemaID="Schema40" ShowImportExportValidationErrors="false" AutoFit="true" Append="false" PreserveSortAFLayout="true" PreserveFormat="true">
    <DataBinding FileBinding="true" ConnectionID="43" DataBindingLoadMode="1"/>
  </Map>
  <Map ID="24363" Name="root_Map390" RootElement="root" SchemaID="Schema391" ShowImportExportValidationErrors="false" AutoFit="true" Append="false" PreserveSortAFLayout="true" PreserveFormat="true">
    <DataBinding FileBinding="true" ConnectionID="391" DataBindingLoadMode="1"/>
  </Map>
  <Map ID="24430" Name="root_Map391" RootElement="root" SchemaID="Schema392" ShowImportExportValidationErrors="false" AutoFit="true" Append="false" PreserveSortAFLayout="true" PreserveFormat="true">
    <DataBinding FileBinding="true" ConnectionID="392" DataBindingLoadMode="1"/>
  </Map>
  <Map ID="24497" Name="root_Map392" RootElement="root" SchemaID="Schema393" ShowImportExportValidationErrors="false" AutoFit="true" Append="false" PreserveSortAFLayout="true" PreserveFormat="true">
    <DataBinding FileBinding="true" ConnectionID="393" DataBindingLoadMode="1"/>
  </Map>
  <Map ID="24564" Name="root_Map393" RootElement="root" SchemaID="Schema394" ShowImportExportValidationErrors="false" AutoFit="true" Append="false" PreserveSortAFLayout="true" PreserveFormat="true">
    <DataBinding FileBinding="true" ConnectionID="394" DataBindingLoadMode="1"/>
  </Map>
  <Map ID="24631" Name="root_Map394" RootElement="root" SchemaID="Schema395" ShowImportExportValidationErrors="false" AutoFit="true" Append="false" PreserveSortAFLayout="true" PreserveFormat="true">
    <DataBinding FileBinding="true" ConnectionID="395" DataBindingLoadMode="1"/>
  </Map>
  <Map ID="24698" Name="root_Map395" RootElement="root" SchemaID="Schema396" ShowImportExportValidationErrors="false" AutoFit="true" Append="false" PreserveSortAFLayout="true" PreserveFormat="true">
    <DataBinding FileBinding="true" ConnectionID="396" DataBindingLoadMode="1"/>
  </Map>
  <Map ID="24765" Name="root_Map396" RootElement="root" SchemaID="Schema397" ShowImportExportValidationErrors="false" AutoFit="true" Append="false" PreserveSortAFLayout="true" PreserveFormat="true">
    <DataBinding FileBinding="true" ConnectionID="397" DataBindingLoadMode="1"/>
  </Map>
  <Map ID="24832" Name="root_Map397" RootElement="root" SchemaID="Schema398" ShowImportExportValidationErrors="false" AutoFit="true" Append="false" PreserveSortAFLayout="true" PreserveFormat="true">
    <DataBinding FileBinding="true" ConnectionID="398" DataBindingLoadMode="1"/>
  </Map>
  <Map ID="24899" Name="root_Map398" RootElement="root" SchemaID="Schema399" ShowImportExportValidationErrors="false" AutoFit="true" Append="false" PreserveSortAFLayout="true" PreserveFormat="true">
    <DataBinding FileBinding="true" ConnectionID="399" DataBindingLoadMode="1"/>
  </Map>
  <Map ID="24966" Name="root_Map399" RootElement="root" SchemaID="Schema400" ShowImportExportValidationErrors="false" AutoFit="true" Append="false" PreserveSortAFLayout="true" PreserveFormat="true">
    <DataBinding FileBinding="true" ConnectionID="400" DataBindingLoadMode="1"/>
  </Map>
  <Map ID="5" Name="root_Map4" RootElement="root" SchemaID="Schema5" ShowImportExportValidationErrors="false" AutoFit="true" Append="false" PreserveSortAFLayout="true" PreserveFormat="true">
    <DataBinding FileBinding="true" ConnectionID="5" DataBindingLoadMode="1"/>
  </Map>
  <Map ID="110" Name="root_Map40" RootElement="root" SchemaID="Schema41" ShowImportExportValidationErrors="false" AutoFit="true" Append="false" PreserveSortAFLayout="true" PreserveFormat="true">
    <DataBinding FileBinding="true" ConnectionID="44" DataBindingLoadMode="1"/>
  </Map>
  <Map ID="25033" Name="root_Map400" RootElement="root" SchemaID="Schema401" ShowImportExportValidationErrors="false" AutoFit="true" Append="false" PreserveSortAFLayout="true" PreserveFormat="true">
    <DataBinding FileBinding="true" ConnectionID="401" DataBindingLoadMode="1"/>
  </Map>
  <Map ID="25098" Name="root_Map401" RootElement="root" SchemaID="Schema402" ShowImportExportValidationErrors="false" AutoFit="true" Append="false" PreserveSortAFLayout="true" PreserveFormat="true">
    <DataBinding FileBinding="true" ConnectionID="402" DataBindingLoadMode="1"/>
  </Map>
  <Map ID="25163" Name="root_Map402" RootElement="root" SchemaID="Schema403" ShowImportExportValidationErrors="false" AutoFit="true" Append="false" PreserveSortAFLayout="true" PreserveFormat="true">
    <DataBinding FileBinding="true" ConnectionID="403" DataBindingLoadMode="1"/>
  </Map>
  <Map ID="25228" Name="root_Map403" RootElement="root" SchemaID="Schema404" ShowImportExportValidationErrors="false" AutoFit="true" Append="false" PreserveSortAFLayout="true" PreserveFormat="true">
    <DataBinding FileBinding="true" ConnectionID="404" DataBindingLoadMode="1"/>
  </Map>
  <Map ID="25293" Name="root_Map404" RootElement="root" SchemaID="Schema405" ShowImportExportValidationErrors="false" AutoFit="true" Append="false" PreserveSortAFLayout="true" PreserveFormat="true">
    <DataBinding FileBinding="true" ConnectionID="405" DataBindingLoadMode="1"/>
  </Map>
  <Map ID="25358" Name="root_Map405" RootElement="root" SchemaID="Schema406" ShowImportExportValidationErrors="false" AutoFit="true" Append="false" PreserveSortAFLayout="true" PreserveFormat="true">
    <DataBinding FileBinding="true" ConnectionID="406" DataBindingLoadMode="1"/>
  </Map>
  <Map ID="25423" Name="root_Map406" RootElement="root" SchemaID="Schema407" ShowImportExportValidationErrors="false" AutoFit="true" Append="false" PreserveSortAFLayout="true" PreserveFormat="true">
    <DataBinding FileBinding="true" ConnectionID="407" DataBindingLoadMode="1"/>
  </Map>
  <Map ID="25488" Name="root_Map407" RootElement="root" SchemaID="Schema408" ShowImportExportValidationErrors="false" AutoFit="true" Append="false" PreserveSortAFLayout="true" PreserveFormat="true">
    <DataBinding FileBinding="true" ConnectionID="408" DataBindingLoadMode="1"/>
  </Map>
  <Map ID="25553" Name="root_Map408" RootElement="root" SchemaID="Schema409" ShowImportExportValidationErrors="false" AutoFit="true" Append="false" PreserveSortAFLayout="true" PreserveFormat="true">
    <DataBinding FileBinding="true" ConnectionID="409" DataBindingLoadMode="1"/>
  </Map>
  <Map ID="25618" Name="root_Map409" RootElement="root" SchemaID="Schema410" ShowImportExportValidationErrors="false" AutoFit="true" Append="false" PreserveSortAFLayout="true" PreserveFormat="true">
    <DataBinding FileBinding="true" ConnectionID="410" DataBindingLoadMode="1"/>
  </Map>
  <Map ID="116" Name="root_Map41" RootElement="root" SchemaID="Schema42" ShowImportExportValidationErrors="false" AutoFit="true" Append="false" PreserveSortAFLayout="true" PreserveFormat="true">
    <DataBinding FileBinding="true" ConnectionID="45" DataBindingLoadMode="1"/>
  </Map>
  <Map ID="25683" Name="root_Map410" RootElement="root" SchemaID="Schema411" ShowImportExportValidationErrors="false" AutoFit="true" Append="false" PreserveSortAFLayout="true" PreserveFormat="true">
    <DataBinding FileBinding="true" ConnectionID="411" DataBindingLoadMode="1"/>
  </Map>
  <Map ID="25747" Name="root_Map411" RootElement="root" SchemaID="Schema412" ShowImportExportValidationErrors="false" AutoFit="true" Append="false" PreserveSortAFLayout="true" PreserveFormat="true">
    <DataBinding FileBinding="true" ConnectionID="412" DataBindingLoadMode="1"/>
  </Map>
  <Map ID="25811" Name="root_Map412" RootElement="root" SchemaID="Schema413" ShowImportExportValidationErrors="false" AutoFit="true" Append="false" PreserveSortAFLayout="true" PreserveFormat="true">
    <DataBinding FileBinding="true" ConnectionID="413" DataBindingLoadMode="1"/>
  </Map>
  <Map ID="25875" Name="root_Map413" RootElement="root" SchemaID="Schema414" ShowImportExportValidationErrors="false" AutoFit="true" Append="false" PreserveSortAFLayout="true" PreserveFormat="true">
    <DataBinding FileBinding="true" ConnectionID="414" DataBindingLoadMode="1"/>
  </Map>
  <Map ID="25939" Name="root_Map414" RootElement="root" SchemaID="Schema415" ShowImportExportValidationErrors="false" AutoFit="true" Append="false" PreserveSortAFLayout="true" PreserveFormat="true">
    <DataBinding FileBinding="true" ConnectionID="415" DataBindingLoadMode="1"/>
  </Map>
  <Map ID="26003" Name="root_Map415" RootElement="root" SchemaID="Schema416" ShowImportExportValidationErrors="false" AutoFit="true" Append="false" PreserveSortAFLayout="true" PreserveFormat="true">
    <DataBinding FileBinding="true" ConnectionID="416" DataBindingLoadMode="1"/>
  </Map>
  <Map ID="26067" Name="root_Map416" RootElement="root" SchemaID="Schema417" ShowImportExportValidationErrors="false" AutoFit="true" Append="false" PreserveSortAFLayout="true" PreserveFormat="true">
    <DataBinding FileBinding="true" ConnectionID="417" DataBindingLoadMode="1"/>
  </Map>
  <Map ID="26131" Name="root_Map417" RootElement="root" SchemaID="Schema418" ShowImportExportValidationErrors="false" AutoFit="true" Append="false" PreserveSortAFLayout="true" PreserveFormat="true">
    <DataBinding FileBinding="true" ConnectionID="418" DataBindingLoadMode="1"/>
  </Map>
  <Map ID="26195" Name="root_Map418" RootElement="root" SchemaID="Schema419" ShowImportExportValidationErrors="false" AutoFit="true" Append="false" PreserveSortAFLayout="true" PreserveFormat="true">
    <DataBinding FileBinding="true" ConnectionID="419" DataBindingLoadMode="1"/>
  </Map>
  <Map ID="26259" Name="root_Map419" RootElement="root" SchemaID="Schema420" ShowImportExportValidationErrors="false" AutoFit="true" Append="false" PreserveSortAFLayout="true" PreserveFormat="true">
    <DataBinding FileBinding="true" ConnectionID="420" DataBindingLoadMode="1"/>
  </Map>
  <Map ID="122" Name="root_Map42" RootElement="root" SchemaID="Schema43" ShowImportExportValidationErrors="false" AutoFit="true" Append="false" PreserveSortAFLayout="true" PreserveFormat="true">
    <DataBinding FileBinding="true" ConnectionID="46" DataBindingLoadMode="1"/>
  </Map>
  <Map ID="26323" Name="root_Map420" RootElement="root" SchemaID="Schema421" ShowImportExportValidationErrors="false" AutoFit="true" Append="false" PreserveSortAFLayout="true" PreserveFormat="true">
    <DataBinding FileBinding="true" ConnectionID="421" DataBindingLoadMode="1"/>
  </Map>
  <Map ID="26386" Name="root_Map421" RootElement="root" SchemaID="Schema422" ShowImportExportValidationErrors="false" AutoFit="true" Append="false" PreserveSortAFLayout="true" PreserveFormat="true">
    <DataBinding FileBinding="true" ConnectionID="422" DataBindingLoadMode="1"/>
  </Map>
  <Map ID="26449" Name="root_Map422" RootElement="root" SchemaID="Schema423" ShowImportExportValidationErrors="false" AutoFit="true" Append="false" PreserveSortAFLayout="true" PreserveFormat="true">
    <DataBinding FileBinding="true" ConnectionID="423" DataBindingLoadMode="1"/>
  </Map>
  <Map ID="26512" Name="root_Map423" RootElement="root" SchemaID="Schema424" ShowImportExportValidationErrors="false" AutoFit="true" Append="false" PreserveSortAFLayout="true" PreserveFormat="true">
    <DataBinding FileBinding="true" ConnectionID="424" DataBindingLoadMode="1"/>
  </Map>
  <Map ID="26575" Name="root_Map424" RootElement="root" SchemaID="Schema425" ShowImportExportValidationErrors="false" AutoFit="true" Append="false" PreserveSortAFLayout="true" PreserveFormat="true">
    <DataBinding FileBinding="true" ConnectionID="425" DataBindingLoadMode="1"/>
  </Map>
  <Map ID="26638" Name="root_Map425" RootElement="root" SchemaID="Schema426" ShowImportExportValidationErrors="false" AutoFit="true" Append="false" PreserveSortAFLayout="true" PreserveFormat="true">
    <DataBinding FileBinding="true" ConnectionID="426" DataBindingLoadMode="1"/>
  </Map>
  <Map ID="26701" Name="root_Map426" RootElement="root" SchemaID="Schema427" ShowImportExportValidationErrors="false" AutoFit="true" Append="false" PreserveSortAFLayout="true" PreserveFormat="true">
    <DataBinding FileBinding="true" ConnectionID="427" DataBindingLoadMode="1"/>
  </Map>
  <Map ID="26764" Name="root_Map427" RootElement="root" SchemaID="Schema428" ShowImportExportValidationErrors="false" AutoFit="true" Append="false" PreserveSortAFLayout="true" PreserveFormat="true">
    <DataBinding FileBinding="true" ConnectionID="428" DataBindingLoadMode="1"/>
  </Map>
  <Map ID="26827" Name="root_Map428" RootElement="root" SchemaID="Schema429" ShowImportExportValidationErrors="false" AutoFit="true" Append="false" PreserveSortAFLayout="true" PreserveFormat="true">
    <DataBinding FileBinding="true" ConnectionID="429" DataBindingLoadMode="1"/>
  </Map>
  <Map ID="26890" Name="root_Map429" RootElement="root" SchemaID="Schema430" ShowImportExportValidationErrors="false" AutoFit="true" Append="false" PreserveSortAFLayout="true" PreserveFormat="true">
    <DataBinding FileBinding="true" ConnectionID="430" DataBindingLoadMode="1"/>
  </Map>
  <Map ID="123" Name="root_Map43" RootElement="root" SchemaID="Schema44" ShowImportExportValidationErrors="false" AutoFit="true" Append="false" PreserveSortAFLayout="true" PreserveFormat="true">
    <DataBinding FileBinding="true" ConnectionID="47" DataBindingLoadMode="1"/>
  </Map>
  <Map ID="26953" Name="root_Map430" RootElement="root" SchemaID="Schema431" ShowImportExportValidationErrors="false" AutoFit="true" Append="false" PreserveSortAFLayout="true" PreserveFormat="true">
    <DataBinding FileBinding="true" ConnectionID="431" DataBindingLoadMode="1"/>
  </Map>
  <Map ID="27015" Name="root_Map431" RootElement="root" SchemaID="Schema432" ShowImportExportValidationErrors="false" AutoFit="true" Append="false" PreserveSortAFLayout="true" PreserveFormat="true">
    <DataBinding FileBinding="true" ConnectionID="432" DataBindingLoadMode="1"/>
  </Map>
  <Map ID="27077" Name="root_Map432" RootElement="root" SchemaID="Schema433" ShowImportExportValidationErrors="false" AutoFit="true" Append="false" PreserveSortAFLayout="true" PreserveFormat="true">
    <DataBinding FileBinding="true" ConnectionID="433" DataBindingLoadMode="1"/>
  </Map>
  <Map ID="27139" Name="root_Map433" RootElement="root" SchemaID="Schema434" ShowImportExportValidationErrors="false" AutoFit="true" Append="false" PreserveSortAFLayout="true" PreserveFormat="true">
    <DataBinding FileBinding="true" ConnectionID="434" DataBindingLoadMode="1"/>
  </Map>
  <Map ID="27201" Name="root_Map434" RootElement="root" SchemaID="Schema435" ShowImportExportValidationErrors="false" AutoFit="true" Append="false" PreserveSortAFLayout="true" PreserveFormat="true">
    <DataBinding FileBinding="true" ConnectionID="435" DataBindingLoadMode="1"/>
  </Map>
  <Map ID="27263" Name="root_Map435" RootElement="root" SchemaID="Schema436" ShowImportExportValidationErrors="false" AutoFit="true" Append="false" PreserveSortAFLayout="true" PreserveFormat="true">
    <DataBinding FileBinding="true" ConnectionID="436" DataBindingLoadMode="1"/>
  </Map>
  <Map ID="27325" Name="root_Map436" RootElement="root" SchemaID="Schema437" ShowImportExportValidationErrors="false" AutoFit="true" Append="false" PreserveSortAFLayout="true" PreserveFormat="true">
    <DataBinding FileBinding="true" ConnectionID="437" DataBindingLoadMode="1"/>
  </Map>
  <Map ID="27387" Name="root_Map437" RootElement="root" SchemaID="Schema438" ShowImportExportValidationErrors="false" AutoFit="true" Append="false" PreserveSortAFLayout="true" PreserveFormat="true">
    <DataBinding FileBinding="true" ConnectionID="438" DataBindingLoadMode="1"/>
  </Map>
  <Map ID="27449" Name="root_Map438" RootElement="root" SchemaID="Schema439" ShowImportExportValidationErrors="false" AutoFit="true" Append="false" PreserveSortAFLayout="true" PreserveFormat="true">
    <DataBinding FileBinding="true" ConnectionID="439" DataBindingLoadMode="1"/>
  </Map>
  <Map ID="27511" Name="root_Map439" RootElement="root" SchemaID="Schema440" ShowImportExportValidationErrors="false" AutoFit="true" Append="false" PreserveSortAFLayout="true" PreserveFormat="true">
    <DataBinding FileBinding="true" ConnectionID="440" DataBindingLoadMode="1"/>
  </Map>
  <Map ID="124" Name="root_Map44" RootElement="root" SchemaID="Schema45" ShowImportExportValidationErrors="false" AutoFit="true" Append="false" PreserveSortAFLayout="true" PreserveFormat="true">
    <DataBinding FileBinding="true" ConnectionID="48" DataBindingLoadMode="1"/>
  </Map>
  <Map ID="27573" Name="root_Map440" RootElement="root" SchemaID="Schema441" ShowImportExportValidationErrors="false" AutoFit="true" Append="false" PreserveSortAFLayout="true" PreserveFormat="true">
    <DataBinding FileBinding="true" ConnectionID="441" DataBindingLoadMode="1"/>
  </Map>
  <Map ID="27634" Name="root_Map441" RootElement="root" SchemaID="Schema442" ShowImportExportValidationErrors="false" AutoFit="true" Append="false" PreserveSortAFLayout="true" PreserveFormat="true">
    <DataBinding FileBinding="true" ConnectionID="442" DataBindingLoadMode="1"/>
  </Map>
  <Map ID="27695" Name="root_Map442" RootElement="root" SchemaID="Schema443" ShowImportExportValidationErrors="false" AutoFit="true" Append="false" PreserveSortAFLayout="true" PreserveFormat="true">
    <DataBinding FileBinding="true" ConnectionID="443" DataBindingLoadMode="1"/>
  </Map>
  <Map ID="27756" Name="root_Map443" RootElement="root" SchemaID="Schema444" ShowImportExportValidationErrors="false" AutoFit="true" Append="false" PreserveSortAFLayout="true" PreserveFormat="true">
    <DataBinding FileBinding="true" ConnectionID="444" DataBindingLoadMode="1"/>
  </Map>
  <Map ID="27817" Name="root_Map444" RootElement="root" SchemaID="Schema445" ShowImportExportValidationErrors="false" AutoFit="true" Append="false" PreserveSortAFLayout="true" PreserveFormat="true">
    <DataBinding FileBinding="true" ConnectionID="445" DataBindingLoadMode="1"/>
  </Map>
  <Map ID="27878" Name="root_Map445" RootElement="root" SchemaID="Schema446" ShowImportExportValidationErrors="false" AutoFit="true" Append="false" PreserveSortAFLayout="true" PreserveFormat="true">
    <DataBinding FileBinding="true" ConnectionID="446" DataBindingLoadMode="1"/>
  </Map>
  <Map ID="27939" Name="root_Map446" RootElement="root" SchemaID="Schema447" ShowImportExportValidationErrors="false" AutoFit="true" Append="false" PreserveSortAFLayout="true" PreserveFormat="true">
    <DataBinding FileBinding="true" ConnectionID="447" DataBindingLoadMode="1"/>
  </Map>
  <Map ID="28000" Name="root_Map447" RootElement="root" SchemaID="Schema448" ShowImportExportValidationErrors="false" AutoFit="true" Append="false" PreserveSortAFLayout="true" PreserveFormat="true">
    <DataBinding FileBinding="true" ConnectionID="448" DataBindingLoadMode="1"/>
  </Map>
  <Map ID="28061" Name="root_Map448" RootElement="root" SchemaID="Schema449" ShowImportExportValidationErrors="false" AutoFit="true" Append="false" PreserveSortAFLayout="true" PreserveFormat="true">
    <DataBinding FileBinding="true" ConnectionID="449" DataBindingLoadMode="1"/>
  </Map>
  <Map ID="28122" Name="root_Map449" RootElement="root" SchemaID="Schema450" ShowImportExportValidationErrors="false" AutoFit="true" Append="false" PreserveSortAFLayout="true" PreserveFormat="true">
    <DataBinding FileBinding="true" ConnectionID="450" DataBindingLoadMode="1"/>
  </Map>
  <Map ID="130" Name="root_Map45" RootElement="root" SchemaID="Schema46" ShowImportExportValidationErrors="false" AutoFit="true" Append="false" PreserveSortAFLayout="true" PreserveFormat="true">
    <DataBinding FileBinding="true" ConnectionID="49" DataBindingLoadMode="1"/>
  </Map>
  <Map ID="28183" Name="root_Map450" RootElement="root" SchemaID="Schema451" ShowImportExportValidationErrors="false" AutoFit="true" Append="false" PreserveSortAFLayout="true" PreserveFormat="true">
    <DataBinding FileBinding="true" ConnectionID="451" DataBindingLoadMode="1"/>
  </Map>
  <Map ID="28243" Name="root_Map451" RootElement="root" SchemaID="Schema452" ShowImportExportValidationErrors="false" AutoFit="true" Append="false" PreserveSortAFLayout="true" PreserveFormat="true">
    <DataBinding FileBinding="true" ConnectionID="452" DataBindingLoadMode="1"/>
  </Map>
  <Map ID="28303" Name="root_Map452" RootElement="root" SchemaID="Schema453" ShowImportExportValidationErrors="false" AutoFit="true" Append="false" PreserveSortAFLayout="true" PreserveFormat="true">
    <DataBinding FileBinding="true" ConnectionID="453" DataBindingLoadMode="1"/>
  </Map>
  <Map ID="28363" Name="root_Map453" RootElement="root" SchemaID="Schema454" ShowImportExportValidationErrors="false" AutoFit="true" Append="false" PreserveSortAFLayout="true" PreserveFormat="true">
    <DataBinding FileBinding="true" ConnectionID="454" DataBindingLoadMode="1"/>
  </Map>
  <Map ID="28423" Name="root_Map454" RootElement="root" SchemaID="Schema455" ShowImportExportValidationErrors="false" AutoFit="true" Append="false" PreserveSortAFLayout="true" PreserveFormat="true">
    <DataBinding FileBinding="true" ConnectionID="455" DataBindingLoadMode="1"/>
  </Map>
  <Map ID="28483" Name="root_Map455" RootElement="root" SchemaID="Schema456" ShowImportExportValidationErrors="false" AutoFit="true" Append="false" PreserveSortAFLayout="true" PreserveFormat="true">
    <DataBinding FileBinding="true" ConnectionID="456" DataBindingLoadMode="1"/>
  </Map>
  <Map ID="28543" Name="root_Map456" RootElement="root" SchemaID="Schema457" ShowImportExportValidationErrors="false" AutoFit="true" Append="false" PreserveSortAFLayout="true" PreserveFormat="true">
    <DataBinding FileBinding="true" ConnectionID="457" DataBindingLoadMode="1"/>
  </Map>
  <Map ID="28603" Name="root_Map457" RootElement="root" SchemaID="Schema458" ShowImportExportValidationErrors="false" AutoFit="true" Append="false" PreserveSortAFLayout="true" PreserveFormat="true">
    <DataBinding FileBinding="true" ConnectionID="458" DataBindingLoadMode="1"/>
  </Map>
  <Map ID="28663" Name="root_Map458" RootElement="root" SchemaID="Schema459" ShowImportExportValidationErrors="false" AutoFit="true" Append="false" PreserveSortAFLayout="true" PreserveFormat="true">
    <DataBinding FileBinding="true" ConnectionID="459" DataBindingLoadMode="1"/>
  </Map>
  <Map ID="28723" Name="root_Map459" RootElement="root" SchemaID="Schema460" ShowImportExportValidationErrors="false" AutoFit="true" Append="false" PreserveSortAFLayout="true" PreserveFormat="true">
    <DataBinding FileBinding="true" ConnectionID="460" DataBindingLoadMode="1"/>
  </Map>
  <Map ID="136" Name="root_Map46" RootElement="root" SchemaID="Schema47" ShowImportExportValidationErrors="false" AutoFit="true" Append="false" PreserveSortAFLayout="true" PreserveFormat="true">
    <DataBinding FileBinding="true" ConnectionID="50" DataBindingLoadMode="1"/>
  </Map>
  <Map ID="28783" Name="root_Map460" RootElement="root" SchemaID="Schema461" ShowImportExportValidationErrors="false" AutoFit="true" Append="false" PreserveSortAFLayout="true" PreserveFormat="true">
    <DataBinding FileBinding="true" ConnectionID="461" DataBindingLoadMode="1"/>
  </Map>
  <Map ID="28842" Name="root_Map461" RootElement="root" SchemaID="Schema462" ShowImportExportValidationErrors="false" AutoFit="true" Append="false" PreserveSortAFLayout="true" PreserveFormat="true">
    <DataBinding FileBinding="true" ConnectionID="462" DataBindingLoadMode="1"/>
  </Map>
  <Map ID="28901" Name="root_Map462" RootElement="root" SchemaID="Schema463" ShowImportExportValidationErrors="false" AutoFit="true" Append="false" PreserveSortAFLayout="true" PreserveFormat="true">
    <DataBinding FileBinding="true" ConnectionID="463" DataBindingLoadMode="1"/>
  </Map>
  <Map ID="28960" Name="root_Map463" RootElement="root" SchemaID="Schema464" ShowImportExportValidationErrors="false" AutoFit="true" Append="false" PreserveSortAFLayout="true" PreserveFormat="true">
    <DataBinding FileBinding="true" ConnectionID="464" DataBindingLoadMode="1"/>
  </Map>
  <Map ID="29019" Name="root_Map464" RootElement="root" SchemaID="Schema465" ShowImportExportValidationErrors="false" AutoFit="true" Append="false" PreserveSortAFLayout="true" PreserveFormat="true">
    <DataBinding FileBinding="true" ConnectionID="465" DataBindingLoadMode="1"/>
  </Map>
  <Map ID="29078" Name="root_Map465" RootElement="root" SchemaID="Schema466" ShowImportExportValidationErrors="false" AutoFit="true" Append="false" PreserveSortAFLayout="true" PreserveFormat="true">
    <DataBinding FileBinding="true" ConnectionID="466" DataBindingLoadMode="1"/>
  </Map>
  <Map ID="29137" Name="root_Map466" RootElement="root" SchemaID="Schema467" ShowImportExportValidationErrors="false" AutoFit="true" Append="false" PreserveSortAFLayout="true" PreserveFormat="true">
    <DataBinding FileBinding="true" ConnectionID="467" DataBindingLoadMode="1"/>
  </Map>
  <Map ID="29196" Name="root_Map467" RootElement="root" SchemaID="Schema468" ShowImportExportValidationErrors="false" AutoFit="true" Append="false" PreserveSortAFLayout="true" PreserveFormat="true">
    <DataBinding FileBinding="true" ConnectionID="468" DataBindingLoadMode="1"/>
  </Map>
  <Map ID="29255" Name="root_Map468" RootElement="root" SchemaID="Schema469" ShowImportExportValidationErrors="false" AutoFit="true" Append="false" PreserveSortAFLayout="true" PreserveFormat="true">
    <DataBinding FileBinding="true" ConnectionID="469" DataBindingLoadMode="1"/>
  </Map>
  <Map ID="29314" Name="root_Map469" RootElement="root" SchemaID="Schema470" ShowImportExportValidationErrors="false" AutoFit="true" Append="false" PreserveSortAFLayout="true" PreserveFormat="true">
    <DataBinding FileBinding="true" ConnectionID="470" DataBindingLoadMode="1"/>
  </Map>
  <Map ID="142" Name="root_Map47" RootElement="root" SchemaID="Schema48" ShowImportExportValidationErrors="false" AutoFit="true" Append="false" PreserveSortAFLayout="true" PreserveFormat="true">
    <DataBinding FileBinding="true" ConnectionID="38" DataBindingLoadMode="1"/>
  </Map>
  <Map ID="29373" Name="root_Map470" RootElement="root" SchemaID="Schema471" ShowImportExportValidationErrors="false" AutoFit="true" Append="false" PreserveSortAFLayout="true" PreserveFormat="true">
    <DataBinding FileBinding="true" ConnectionID="471" DataBindingLoadMode="1"/>
  </Map>
  <Map ID="29431" Name="root_Map471" RootElement="root" SchemaID="Schema472" ShowImportExportValidationErrors="false" AutoFit="true" Append="false" PreserveSortAFLayout="true" PreserveFormat="true">
    <DataBinding FileBinding="true" ConnectionID="472" DataBindingLoadMode="1"/>
  </Map>
  <Map ID="29489" Name="root_Map472" RootElement="root" SchemaID="Schema473" ShowImportExportValidationErrors="false" AutoFit="true" Append="false" PreserveSortAFLayout="true" PreserveFormat="true">
    <DataBinding FileBinding="true" ConnectionID="473" DataBindingLoadMode="1"/>
  </Map>
  <Map ID="29547" Name="root_Map473" RootElement="root" SchemaID="Schema474" ShowImportExportValidationErrors="false" AutoFit="true" Append="false" PreserveSortAFLayout="true" PreserveFormat="true">
    <DataBinding FileBinding="true" ConnectionID="479" DataBindingLoadMode="1"/>
  </Map>
  <Map ID="29605" Name="root_Map474" RootElement="root" SchemaID="Schema475" ShowImportExportValidationErrors="false" AutoFit="true" Append="false" PreserveSortAFLayout="true" PreserveFormat="true">
    <DataBinding FileBinding="true" ConnectionID="482" DataBindingLoadMode="1"/>
  </Map>
  <Map ID="29663" Name="root_Map475" RootElement="root" SchemaID="Schema476" ShowImportExportValidationErrors="false" AutoFit="true" Append="false" PreserveSortAFLayout="true" PreserveFormat="true">
    <DataBinding FileBinding="true" ConnectionID="483" DataBindingLoadMode="1"/>
  </Map>
  <Map ID="29721" Name="root_Map476" RootElement="root" SchemaID="Schema477" ShowImportExportValidationErrors="false" AutoFit="true" Append="false" PreserveSortAFLayout="true" PreserveFormat="true">
    <DataBinding FileBinding="true" ConnectionID="484" DataBindingLoadMode="1"/>
  </Map>
  <Map ID="29779" Name="root_Map477" RootElement="root" SchemaID="Schema478" ShowImportExportValidationErrors="false" AutoFit="true" Append="false" PreserveSortAFLayout="true" PreserveFormat="true">
    <DataBinding FileBinding="true" ConnectionID="485" DataBindingLoadMode="1"/>
  </Map>
  <Map ID="29837" Name="root_Map478" RootElement="root" SchemaID="Schema479" ShowImportExportValidationErrors="false" AutoFit="true" Append="false" PreserveSortAFLayout="true" PreserveFormat="true">
    <DataBinding FileBinding="true" ConnectionID="486" DataBindingLoadMode="1"/>
  </Map>
  <Map ID="29895" Name="root_Map479" RootElement="root" SchemaID="Schema480" ShowImportExportValidationErrors="false" AutoFit="true" Append="false" PreserveSortAFLayout="true" PreserveFormat="true">
    <DataBinding FileBinding="true" ConnectionID="487" DataBindingLoadMode="1"/>
  </Map>
  <Map ID="148" Name="root_Map48" RootElement="root" SchemaID="Schema49" ShowImportExportValidationErrors="false" AutoFit="true" Append="false" PreserveSortAFLayout="true" PreserveFormat="true">
    <DataBinding FileBinding="true" ConnectionID="39" DataBindingLoadMode="1"/>
  </Map>
  <Map ID="29953" Name="root_Map480" RootElement="root" SchemaID="Schema481" ShowImportExportValidationErrors="false" AutoFit="true" Append="false" PreserveSortAFLayout="true" PreserveFormat="true">
    <DataBinding FileBinding="true" ConnectionID="488" DataBindingLoadMode="1"/>
  </Map>
  <Map ID="30010" Name="root_Map481" RootElement="root" SchemaID="Schema482" ShowImportExportValidationErrors="false" AutoFit="true" Append="false" PreserveSortAFLayout="true" PreserveFormat="true">
    <DataBinding FileBinding="true" ConnectionID="489" DataBindingLoadMode="1"/>
  </Map>
  <Map ID="30067" Name="root_Map482" RootElement="root" SchemaID="Schema483" ShowImportExportValidationErrors="false" AutoFit="true" Append="false" PreserveSortAFLayout="true" PreserveFormat="true">
    <DataBinding FileBinding="true" ConnectionID="490" DataBindingLoadMode="1"/>
  </Map>
  <Map ID="30124" Name="root_Map483" RootElement="root" SchemaID="Schema484" ShowImportExportValidationErrors="false" AutoFit="true" Append="false" PreserveSortAFLayout="true" PreserveFormat="true">
    <DataBinding FileBinding="true" ConnectionID="491" DataBindingLoadMode="1"/>
  </Map>
  <Map ID="30181" Name="root_Map484" RootElement="root" SchemaID="Schema485" ShowImportExportValidationErrors="false" AutoFit="true" Append="false" PreserveSortAFLayout="true" PreserveFormat="true">
    <DataBinding FileBinding="true" ConnectionID="492" DataBindingLoadMode="1"/>
  </Map>
  <Map ID="30238" Name="root_Map485" RootElement="root" SchemaID="Schema486" ShowImportExportValidationErrors="false" AutoFit="true" Append="false" PreserveSortAFLayout="true" PreserveFormat="true">
    <DataBinding FileBinding="true" ConnectionID="493" DataBindingLoadMode="1"/>
  </Map>
  <Map ID="30295" Name="root_Map486" RootElement="root" SchemaID="Schema487" ShowImportExportValidationErrors="false" AutoFit="true" Append="false" PreserveSortAFLayout="true" PreserveFormat="true">
    <DataBinding FileBinding="true" ConnectionID="494" DataBindingLoadMode="1"/>
  </Map>
  <Map ID="30352" Name="root_Map487" RootElement="root" SchemaID="Schema488" ShowImportExportValidationErrors="false" AutoFit="true" Append="false" PreserveSortAFLayout="true" PreserveFormat="true">
    <DataBinding FileBinding="true" ConnectionID="495" DataBindingLoadMode="1"/>
  </Map>
  <Map ID="30409" Name="root_Map488" RootElement="root" SchemaID="Schema489" ShowImportExportValidationErrors="false" AutoFit="true" Append="false" PreserveSortAFLayout="true" PreserveFormat="true">
    <DataBinding FileBinding="true" ConnectionID="496" DataBindingLoadMode="1"/>
  </Map>
  <Map ID="30466" Name="root_Map489" RootElement="root" SchemaID="Schema490" ShowImportExportValidationErrors="false" AutoFit="true" Append="false" PreserveSortAFLayout="true" PreserveFormat="true">
    <DataBinding FileBinding="true" ConnectionID="497" DataBindingLoadMode="1"/>
  </Map>
  <Map ID="154" Name="root_Map49" RootElement="root" SchemaID="Schema50" ShowImportExportValidationErrors="false" AutoFit="true" Append="false" PreserveSortAFLayout="true" PreserveFormat="true">
    <DataBinding FileBinding="true" ConnectionID="42" DataBindingLoadMode="1"/>
  </Map>
  <Map ID="30523" Name="root_Map490" RootElement="root" SchemaID="Schema491" ShowImportExportValidationErrors="false" AutoFit="true" Append="false" PreserveSortAFLayout="true" PreserveFormat="true">
    <DataBinding FileBinding="true" ConnectionID="498" DataBindingLoadMode="1"/>
  </Map>
  <Map ID="30579" Name="root_Map491" RootElement="root" SchemaID="Schema492" ShowImportExportValidationErrors="false" AutoFit="true" Append="false" PreserveSortAFLayout="true" PreserveFormat="true">
    <DataBinding FileBinding="true" ConnectionID="499" DataBindingLoadMode="1"/>
  </Map>
  <Map ID="30635" Name="root_Map492" RootElement="root" SchemaID="Schema493" ShowImportExportValidationErrors="false" AutoFit="true" Append="false" PreserveSortAFLayout="true" PreserveFormat="true">
    <DataBinding FileBinding="true" ConnectionID="500" DataBindingLoadMode="1"/>
  </Map>
  <Map ID="30691" Name="root_Map493" RootElement="root" SchemaID="Schema494" ShowImportExportValidationErrors="false" AutoFit="true" Append="false" PreserveSortAFLayout="true" PreserveFormat="true">
    <DataBinding FileBinding="true" ConnectionID="501" DataBindingLoadMode="1"/>
  </Map>
  <Map ID="30747" Name="root_Map494" RootElement="root" SchemaID="Schema495" ShowImportExportValidationErrors="false" AutoFit="true" Append="false" PreserveSortAFLayout="true" PreserveFormat="true">
    <DataBinding FileBinding="true" ConnectionID="502" DataBindingLoadMode="1"/>
  </Map>
  <Map ID="30803" Name="root_Map495" RootElement="root" SchemaID="Schema496" ShowImportExportValidationErrors="false" AutoFit="true" Append="false" PreserveSortAFLayout="true" PreserveFormat="true">
    <DataBinding FileBinding="true" ConnectionID="503" DataBindingLoadMode="1"/>
  </Map>
  <Map ID="30859" Name="root_Map496" RootElement="root" SchemaID="Schema497" ShowImportExportValidationErrors="false" AutoFit="true" Append="false" PreserveSortAFLayout="true" PreserveFormat="true">
    <DataBinding FileBinding="true" ConnectionID="504" DataBindingLoadMode="1"/>
  </Map>
  <Map ID="30915" Name="root_Map497" RootElement="root" SchemaID="Schema498" ShowImportExportValidationErrors="false" AutoFit="true" Append="false" PreserveSortAFLayout="true" PreserveFormat="true">
    <DataBinding FileBinding="true" ConnectionID="505" DataBindingLoadMode="1"/>
  </Map>
  <Map ID="30971" Name="root_Map498" RootElement="root" SchemaID="Schema499" ShowImportExportValidationErrors="false" AutoFit="true" Append="false" PreserveSortAFLayout="true" PreserveFormat="true">
    <DataBinding FileBinding="true" ConnectionID="506" DataBindingLoadMode="1"/>
  </Map>
  <Map ID="31027" Name="root_Map499" RootElement="root" SchemaID="Schema500" ShowImportExportValidationErrors="false" AutoFit="true" Append="false" PreserveSortAFLayout="true" PreserveFormat="true">
    <DataBinding FileBinding="true" ConnectionID="507" DataBindingLoadMode="1"/>
  </Map>
  <Map ID="6" Name="root_Map5" RootElement="root" SchemaID="Schema6" ShowImportExportValidationErrors="false" AutoFit="true" Append="false" PreserveSortAFLayout="true" PreserveFormat="true">
    <DataBinding FileBinding="true" ConnectionID="16" DataBindingLoadMode="1"/>
  </Map>
  <Map ID="160" Name="root_Map50" RootElement="root" SchemaID="Schema51" ShowImportExportValidationErrors="false" AutoFit="true" Append="false" PreserveSortAFLayout="true" PreserveFormat="true">
    <DataBinding FileBinding="true" ConnectionID="51" DataBindingLoadMode="1"/>
  </Map>
  <Map ID="31083" Name="root_Map500" RootElement="root" SchemaID="Schema501" ShowImportExportValidationErrors="false" AutoFit="true" Append="false" PreserveSortAFLayout="true" PreserveFormat="true">
    <DataBinding FileBinding="true" ConnectionID="474" DataBindingLoadMode="1"/>
  </Map>
  <Map ID="31137" Name="root_Map501" RootElement="root" SchemaID="Schema502" ShowImportExportValidationErrors="false" AutoFit="true" Append="false" PreserveSortAFLayout="true" PreserveFormat="true">
    <DataBinding FileBinding="true" ConnectionID="475" DataBindingLoadMode="1"/>
  </Map>
  <Map ID="31191" Name="root_Map502" RootElement="root" SchemaID="Schema503" ShowImportExportValidationErrors="false" AutoFit="true" Append="false" PreserveSortAFLayout="true" PreserveFormat="true">
    <DataBinding FileBinding="true" ConnectionID="476" DataBindingLoadMode="1"/>
  </Map>
  <Map ID="31245" Name="root_Map503" RootElement="root" SchemaID="Schema504" ShowImportExportValidationErrors="false" AutoFit="true" Append="false" PreserveSortAFLayout="true" PreserveFormat="true">
    <DataBinding FileBinding="true" ConnectionID="477" DataBindingLoadMode="1"/>
  </Map>
  <Map ID="31299" Name="root_Map504" RootElement="root" SchemaID="Schema505" ShowImportExportValidationErrors="false" AutoFit="true" Append="false" PreserveSortAFLayout="true" PreserveFormat="true">
    <DataBinding FileBinding="true" ConnectionID="478" DataBindingLoadMode="1"/>
  </Map>
  <Map ID="31353" Name="root_Map505" RootElement="root" SchemaID="Schema506" ShowImportExportValidationErrors="false" AutoFit="true" Append="false" PreserveSortAFLayout="true" PreserveFormat="true">
    <DataBinding FileBinding="true" ConnectionID="480" DataBindingLoadMode="1"/>
  </Map>
  <Map ID="31407" Name="root_Map506" RootElement="root" SchemaID="Schema507" ShowImportExportValidationErrors="false" AutoFit="true" Append="false" PreserveSortAFLayout="true" PreserveFormat="true">
    <DataBinding FileBinding="true" ConnectionID="481" DataBindingLoadMode="1"/>
  </Map>
  <Map ID="31461" Name="root_Map507" RootElement="root" SchemaID="Schema508" ShowImportExportValidationErrors="false" AutoFit="true" Append="false" PreserveSortAFLayout="true" PreserveFormat="true">
    <DataBinding FileBinding="true" ConnectionID="508" DataBindingLoadMode="1"/>
  </Map>
  <Map ID="31515" Name="root_Map508" RootElement="root" SchemaID="Schema509" ShowImportExportValidationErrors="false" AutoFit="true" Append="false" PreserveSortAFLayout="true" PreserveFormat="true">
    <DataBinding FileBinding="true" ConnectionID="509" DataBindingLoadMode="1"/>
  </Map>
  <Map ID="31569" Name="root_Map509" RootElement="root" SchemaID="Schema510" ShowImportExportValidationErrors="false" AutoFit="true" Append="false" PreserveSortAFLayout="true" PreserveFormat="true">
    <DataBinding FileBinding="true" ConnectionID="510" DataBindingLoadMode="1"/>
  </Map>
  <Map ID="165" Name="root_Map51" RootElement="root" SchemaID="Schema52" ShowImportExportValidationErrors="false" AutoFit="true" Append="false" PreserveSortAFLayout="true" PreserveFormat="true">
    <DataBinding FileBinding="true" ConnectionID="52" DataBindingLoadMode="1"/>
  </Map>
  <Map ID="31623" Name="root_Map510" RootElement="root" SchemaID="Schema511" ShowImportExportValidationErrors="false" AutoFit="true" Append="false" PreserveSortAFLayout="true" PreserveFormat="true">
    <DataBinding FileBinding="true" ConnectionID="511" DataBindingLoadMode="1"/>
  </Map>
  <Map ID="31676" Name="root_Map511" RootElement="root" SchemaID="Schema512" ShowImportExportValidationErrors="false" AutoFit="true" Append="false" PreserveSortAFLayout="true" PreserveFormat="true">
    <DataBinding FileBinding="true" ConnectionID="512" DataBindingLoadMode="1"/>
  </Map>
  <Map ID="31729" Name="root_Map512" RootElement="root" SchemaID="Schema513" ShowImportExportValidationErrors="false" AutoFit="true" Append="false" PreserveSortAFLayout="true" PreserveFormat="true">
    <DataBinding FileBinding="true" ConnectionID="513" DataBindingLoadMode="1"/>
  </Map>
  <Map ID="31782" Name="root_Map513" RootElement="root" SchemaID="Schema514" ShowImportExportValidationErrors="false" AutoFit="true" Append="false" PreserveSortAFLayout="true" PreserveFormat="true">
    <DataBinding FileBinding="true" ConnectionID="514" DataBindingLoadMode="1"/>
  </Map>
  <Map ID="31835" Name="root_Map514" RootElement="root" SchemaID="Schema515" ShowImportExportValidationErrors="false" AutoFit="true" Append="false" PreserveSortAFLayout="true" PreserveFormat="true">
    <DataBinding FileBinding="true" ConnectionID="515" DataBindingLoadMode="1"/>
  </Map>
  <Map ID="31888" Name="root_Map515" RootElement="root" SchemaID="Schema516" ShowImportExportValidationErrors="false" AutoFit="true" Append="false" PreserveSortAFLayout="true" PreserveFormat="true">
    <DataBinding FileBinding="true" ConnectionID="516" DataBindingLoadMode="1"/>
  </Map>
  <Map ID="31941" Name="root_Map516" RootElement="root" SchemaID="Schema517" ShowImportExportValidationErrors="false" AutoFit="true" Append="false" PreserveSortAFLayout="true" PreserveFormat="true">
    <DataBinding FileBinding="true" ConnectionID="517" DataBindingLoadMode="1"/>
  </Map>
  <Map ID="31994" Name="root_Map517" RootElement="root" SchemaID="Schema518" ShowImportExportValidationErrors="false" AutoFit="true" Append="false" PreserveSortAFLayout="true" PreserveFormat="true">
    <DataBinding FileBinding="true" ConnectionID="518" DataBindingLoadMode="1"/>
  </Map>
  <Map ID="32047" Name="root_Map518" RootElement="root" SchemaID="Schema519" ShowImportExportValidationErrors="false" AutoFit="true" Append="false" PreserveSortAFLayout="true" PreserveFormat="true">
    <DataBinding FileBinding="true" ConnectionID="519" DataBindingLoadMode="1"/>
  </Map>
  <Map ID="32100" Name="root_Map519" RootElement="root" SchemaID="Schema520" ShowImportExportValidationErrors="false" AutoFit="true" Append="false" PreserveSortAFLayout="true" PreserveFormat="true">
    <DataBinding FileBinding="true" ConnectionID="520" DataBindingLoadMode="1"/>
  </Map>
  <Map ID="170" Name="root_Map52" RootElement="root" SchemaID="Schema53" ShowImportExportValidationErrors="false" AutoFit="true" Append="false" PreserveSortAFLayout="true" PreserveFormat="true">
    <DataBinding FileBinding="true" ConnectionID="53" DataBindingLoadMode="1"/>
  </Map>
  <Map ID="32153" Name="root_Map520" RootElement="root" SchemaID="Schema521" ShowImportExportValidationErrors="false" AutoFit="true" Append="false" PreserveSortAFLayout="true" PreserveFormat="true">
    <DataBinding FileBinding="true" ConnectionID="521" DataBindingLoadMode="1"/>
  </Map>
  <Map ID="32205" Name="root_Map521" RootElement="root" SchemaID="Schema522" ShowImportExportValidationErrors="false" AutoFit="true" Append="false" PreserveSortAFLayout="true" PreserveFormat="true">
    <DataBinding FileBinding="true" ConnectionID="522" DataBindingLoadMode="1"/>
  </Map>
  <Map ID="32257" Name="root_Map522" RootElement="root" SchemaID="Schema523" ShowImportExportValidationErrors="false" AutoFit="true" Append="false" PreserveSortAFLayout="true" PreserveFormat="true">
    <DataBinding FileBinding="true" ConnectionID="523" DataBindingLoadMode="1"/>
  </Map>
  <Map ID="32309" Name="root_Map523" RootElement="root" SchemaID="Schema524" ShowImportExportValidationErrors="false" AutoFit="true" Append="false" PreserveSortAFLayout="true" PreserveFormat="true">
    <DataBinding FileBinding="true" ConnectionID="524" DataBindingLoadMode="1"/>
  </Map>
  <Map ID="32361" Name="root_Map524" RootElement="root" SchemaID="Schema525" ShowImportExportValidationErrors="false" AutoFit="true" Append="false" PreserveSortAFLayout="true" PreserveFormat="true">
    <DataBinding FileBinding="true" ConnectionID="525" DataBindingLoadMode="1"/>
  </Map>
  <Map ID="32413" Name="root_Map525" RootElement="root" SchemaID="Schema526" ShowImportExportValidationErrors="false" AutoFit="true" Append="false" PreserveSortAFLayout="true" PreserveFormat="true">
    <DataBinding FileBinding="true" ConnectionID="526" DataBindingLoadMode="1"/>
  </Map>
  <Map ID="32465" Name="root_Map526" RootElement="root" SchemaID="Schema527" ShowImportExportValidationErrors="false" AutoFit="true" Append="false" PreserveSortAFLayout="true" PreserveFormat="true">
    <DataBinding FileBinding="true" ConnectionID="527" DataBindingLoadMode="1"/>
  </Map>
  <Map ID="32517" Name="root_Map527" RootElement="root" SchemaID="Schema528" ShowImportExportValidationErrors="false" AutoFit="true" Append="false" PreserveSortAFLayout="true" PreserveFormat="true">
    <DataBinding FileBinding="true" ConnectionID="528" DataBindingLoadMode="1"/>
  </Map>
  <Map ID="32569" Name="root_Map528" RootElement="root" SchemaID="Schema529" ShowImportExportValidationErrors="false" AutoFit="true" Append="false" PreserveSortAFLayout="true" PreserveFormat="true">
    <DataBinding FileBinding="true" ConnectionID="529" DataBindingLoadMode="1"/>
  </Map>
  <Map ID="32621" Name="root_Map529" RootElement="root" SchemaID="Schema530" ShowImportExportValidationErrors="false" AutoFit="true" Append="false" PreserveSortAFLayout="true" PreserveFormat="true">
    <DataBinding FileBinding="true" ConnectionID="530" DataBindingLoadMode="1"/>
  </Map>
  <Map ID="175" Name="root_Map53" RootElement="root" SchemaID="Schema54" ShowImportExportValidationErrors="false" AutoFit="true" Append="false" PreserveSortAFLayout="true" PreserveFormat="true">
    <DataBinding FileBinding="true" ConnectionID="54" DataBindingLoadMode="1"/>
  </Map>
  <Map ID="32673" Name="root_Map530" RootElement="root" SchemaID="Schema531" ShowImportExportValidationErrors="false" AutoFit="true" Append="false" PreserveSortAFLayout="true" PreserveFormat="true">
    <DataBinding FileBinding="true" ConnectionID="531" DataBindingLoadMode="1"/>
  </Map>
  <Map ID="32724" Name="root_Map531" RootElement="root" SchemaID="Schema532" ShowImportExportValidationErrors="false" AutoFit="true" Append="false" PreserveSortAFLayout="true" PreserveFormat="true">
    <DataBinding FileBinding="true" ConnectionID="532" DataBindingLoadMode="1"/>
  </Map>
  <Map ID="32775" Name="root_Map532" RootElement="root" SchemaID="Schema533" ShowImportExportValidationErrors="false" AutoFit="true" Append="false" PreserveSortAFLayout="true" PreserveFormat="true">
    <DataBinding FileBinding="true" ConnectionID="533" DataBindingLoadMode="1"/>
  </Map>
  <Map ID="32826" Name="root_Map533" RootElement="root" SchemaID="Schema534" ShowImportExportValidationErrors="false" AutoFit="true" Append="false" PreserveSortAFLayout="true" PreserveFormat="true">
    <DataBinding FileBinding="true" ConnectionID="534" DataBindingLoadMode="1"/>
  </Map>
  <Map ID="32877" Name="root_Map534" RootElement="root" SchemaID="Schema535" ShowImportExportValidationErrors="false" AutoFit="true" Append="false" PreserveSortAFLayout="true" PreserveFormat="true">
    <DataBinding FileBinding="true" ConnectionID="535" DataBindingLoadMode="1"/>
  </Map>
  <Map ID="32928" Name="root_Map535" RootElement="root" SchemaID="Schema536" ShowImportExportValidationErrors="false" AutoFit="true" Append="false" PreserveSortAFLayout="true" PreserveFormat="true">
    <DataBinding FileBinding="true" ConnectionID="536" DataBindingLoadMode="1"/>
  </Map>
  <Map ID="32979" Name="root_Map536" RootElement="root" SchemaID="Schema537" ShowImportExportValidationErrors="false" AutoFit="true" Append="false" PreserveSortAFLayout="true" PreserveFormat="true">
    <DataBinding FileBinding="true" ConnectionID="537" DataBindingLoadMode="1"/>
  </Map>
  <Map ID="33030" Name="root_Map537" RootElement="root" SchemaID="Schema538" ShowImportExportValidationErrors="false" AutoFit="true" Append="false" PreserveSortAFLayout="true" PreserveFormat="true">
    <DataBinding FileBinding="true" ConnectionID="538" DataBindingLoadMode="1"/>
  </Map>
  <Map ID="33081" Name="root_Map538" RootElement="root" SchemaID="Schema539" ShowImportExportValidationErrors="false" AutoFit="true" Append="false" PreserveSortAFLayout="true" PreserveFormat="true">
    <DataBinding FileBinding="true" ConnectionID="539" DataBindingLoadMode="1"/>
  </Map>
  <Map ID="33132" Name="root_Map539" RootElement="root" SchemaID="Schema540" ShowImportExportValidationErrors="false" AutoFit="true" Append="false" PreserveSortAFLayout="true" PreserveFormat="true">
    <DataBinding FileBinding="true" ConnectionID="540" DataBindingLoadMode="1"/>
  </Map>
  <Map ID="180" Name="root_Map54" RootElement="root" SchemaID="Schema55" ShowImportExportValidationErrors="false" AutoFit="true" Append="false" PreserveSortAFLayout="true" PreserveFormat="true">
    <DataBinding FileBinding="true" ConnectionID="55" DataBindingLoadMode="1"/>
  </Map>
  <Map ID="33183" Name="root_Map540" RootElement="root" SchemaID="Schema541" ShowImportExportValidationErrors="false" AutoFit="true" Append="false" PreserveSortAFLayout="true" PreserveFormat="true">
    <DataBinding FileBinding="true" ConnectionID="541" DataBindingLoadMode="1"/>
  </Map>
  <Map ID="33233" Name="root_Map541" RootElement="root" SchemaID="Schema542" ShowImportExportValidationErrors="false" AutoFit="true" Append="false" PreserveSortAFLayout="true" PreserveFormat="true">
    <DataBinding FileBinding="true" ConnectionID="542" DataBindingLoadMode="1"/>
  </Map>
  <Map ID="33283" Name="root_Map542" RootElement="root" SchemaID="Schema543" ShowImportExportValidationErrors="false" AutoFit="true" Append="false" PreserveSortAFLayout="true" PreserveFormat="true">
    <DataBinding FileBinding="true" ConnectionID="543" DataBindingLoadMode="1"/>
  </Map>
  <Map ID="33333" Name="root_Map543" RootElement="root" SchemaID="Schema544" ShowImportExportValidationErrors="false" AutoFit="true" Append="false" PreserveSortAFLayout="true" PreserveFormat="true">
    <DataBinding FileBinding="true" ConnectionID="544" DataBindingLoadMode="1"/>
  </Map>
  <Map ID="33383" Name="root_Map544" RootElement="root" SchemaID="Schema545" ShowImportExportValidationErrors="false" AutoFit="true" Append="false" PreserveSortAFLayout="true" PreserveFormat="true">
    <DataBinding FileBinding="true" ConnectionID="545" DataBindingLoadMode="1"/>
  </Map>
  <Map ID="33433" Name="root_Map545" RootElement="root" SchemaID="Schema546" ShowImportExportValidationErrors="false" AutoFit="true" Append="false" PreserveSortAFLayout="true" PreserveFormat="true">
    <DataBinding FileBinding="true" ConnectionID="546" DataBindingLoadMode="1"/>
  </Map>
  <Map ID="33483" Name="root_Map546" RootElement="root" SchemaID="Schema547" ShowImportExportValidationErrors="false" AutoFit="true" Append="false" PreserveSortAFLayout="true" PreserveFormat="true">
    <DataBinding FileBinding="true" ConnectionID="547" DataBindingLoadMode="1"/>
  </Map>
  <Map ID="33533" Name="root_Map547" RootElement="root" SchemaID="Schema548" ShowImportExportValidationErrors="false" AutoFit="true" Append="false" PreserveSortAFLayout="true" PreserveFormat="true">
    <DataBinding FileBinding="true" ConnectionID="548" DataBindingLoadMode="1"/>
  </Map>
  <Map ID="33583" Name="root_Map548" RootElement="root" SchemaID="Schema549" ShowImportExportValidationErrors="false" AutoFit="true" Append="false" PreserveSortAFLayout="true" PreserveFormat="true">
    <DataBinding FileBinding="true" ConnectionID="549" DataBindingLoadMode="1"/>
  </Map>
  <Map ID="33633" Name="root_Map549" RootElement="root" SchemaID="Schema550" ShowImportExportValidationErrors="false" AutoFit="true" Append="false" PreserveSortAFLayout="true" PreserveFormat="true">
    <DataBinding FileBinding="true" ConnectionID="550" DataBindingLoadMode="1"/>
  </Map>
  <Map ID="185" Name="root_Map55" RootElement="root" SchemaID="Schema56" ShowImportExportValidationErrors="false" AutoFit="true" Append="false" PreserveSortAFLayout="true" PreserveFormat="true">
    <DataBinding FileBinding="true" ConnectionID="56" DataBindingLoadMode="1"/>
  </Map>
  <Map ID="33683" Name="root_Map550" RootElement="root" SchemaID="Schema551" ShowImportExportValidationErrors="false" AutoFit="true" Append="false" PreserveSortAFLayout="true" PreserveFormat="true">
    <DataBinding FileBinding="true" ConnectionID="551" DataBindingLoadMode="1"/>
  </Map>
  <Map ID="33732" Name="root_Map551" RootElement="root" SchemaID="Schema552" ShowImportExportValidationErrors="false" AutoFit="true" Append="false" PreserveSortAFLayout="true" PreserveFormat="true">
    <DataBinding FileBinding="true" ConnectionID="552" DataBindingLoadMode="1"/>
  </Map>
  <Map ID="33781" Name="root_Map552" RootElement="root" SchemaID="Schema553" ShowImportExportValidationErrors="false" AutoFit="true" Append="false" PreserveSortAFLayout="true" PreserveFormat="true">
    <DataBinding FileBinding="true" ConnectionID="553" DataBindingLoadMode="1"/>
  </Map>
  <Map ID="33830" Name="root_Map553" RootElement="root" SchemaID="Schema554" ShowImportExportValidationErrors="false" AutoFit="true" Append="false" PreserveSortAFLayout="true" PreserveFormat="true">
    <DataBinding FileBinding="true" ConnectionID="554" DataBindingLoadMode="1"/>
  </Map>
  <Map ID="33879" Name="root_Map554" RootElement="root" SchemaID="Schema555" ShowImportExportValidationErrors="false" AutoFit="true" Append="false" PreserveSortAFLayout="true" PreserveFormat="true">
    <DataBinding FileBinding="true" ConnectionID="555" DataBindingLoadMode="1"/>
  </Map>
  <Map ID="33928" Name="root_Map555" RootElement="root" SchemaID="Schema556" ShowImportExportValidationErrors="false" AutoFit="true" Append="false" PreserveSortAFLayout="true" PreserveFormat="true">
    <DataBinding FileBinding="true" ConnectionID="556" DataBindingLoadMode="1"/>
  </Map>
  <Map ID="33977" Name="root_Map556" RootElement="root" SchemaID="Schema557" ShowImportExportValidationErrors="false" AutoFit="true" Append="false" PreserveSortAFLayout="true" PreserveFormat="true">
    <DataBinding FileBinding="true" ConnectionID="557" DataBindingLoadMode="1"/>
  </Map>
  <Map ID="34026" Name="root_Map557" RootElement="root" SchemaID="Schema558" ShowImportExportValidationErrors="false" AutoFit="true" Append="false" PreserveSortAFLayout="true" PreserveFormat="true">
    <DataBinding FileBinding="true" ConnectionID="558" DataBindingLoadMode="1"/>
  </Map>
  <Map ID="34075" Name="root_Map558" RootElement="root" SchemaID="Schema559" ShowImportExportValidationErrors="false" AutoFit="true" Append="false" PreserveSortAFLayout="true" PreserveFormat="true">
    <DataBinding FileBinding="true" ConnectionID="559" DataBindingLoadMode="1"/>
  </Map>
  <Map ID="34124" Name="root_Map559" RootElement="root" SchemaID="Schema560" ShowImportExportValidationErrors="false" AutoFit="true" Append="false" PreserveSortAFLayout="true" PreserveFormat="true">
    <DataBinding FileBinding="true" ConnectionID="560" DataBindingLoadMode="1"/>
  </Map>
  <Map ID="190" Name="root_Map56" RootElement="root" SchemaID="Schema57" ShowImportExportValidationErrors="false" AutoFit="true" Append="false" PreserveSortAFLayout="true" PreserveFormat="true">
    <DataBinding FileBinding="true" ConnectionID="58" DataBindingLoadMode="1"/>
  </Map>
  <Map ID="34173" Name="root_Map560" RootElement="root" SchemaID="Schema561" ShowImportExportValidationErrors="false" AutoFit="true" Append="false" PreserveSortAFLayout="true" PreserveFormat="true">
    <DataBinding FileBinding="true" ConnectionID="561" DataBindingLoadMode="1"/>
  </Map>
  <Map ID="34221" Name="root_Map561" RootElement="root" SchemaID="Schema562" ShowImportExportValidationErrors="false" AutoFit="true" Append="false" PreserveSortAFLayout="true" PreserveFormat="true">
    <DataBinding FileBinding="true" ConnectionID="562" DataBindingLoadMode="1"/>
  </Map>
  <Map ID="34269" Name="root_Map562" RootElement="root" SchemaID="Schema563" ShowImportExportValidationErrors="false" AutoFit="true" Append="false" PreserveSortAFLayout="true" PreserveFormat="true">
    <DataBinding FileBinding="true" ConnectionID="564" DataBindingLoadMode="1"/>
  </Map>
  <Map ID="34317" Name="root_Map563" RootElement="root" SchemaID="Schema564" ShowImportExportValidationErrors="false" AutoFit="true" Append="false" PreserveSortAFLayout="true" PreserveFormat="true">
    <DataBinding FileBinding="true" ConnectionID="563" DataBindingLoadMode="1"/>
  </Map>
  <Map ID="34365" Name="root_Map564" RootElement="root" SchemaID="Schema565" ShowImportExportValidationErrors="false" AutoFit="true" Append="false" PreserveSortAFLayout="true" PreserveFormat="true">
    <DataBinding FileBinding="true" ConnectionID="565" DataBindingLoadMode="1"/>
  </Map>
  <Map ID="34413" Name="root_Map565" RootElement="root" SchemaID="Schema566" ShowImportExportValidationErrors="false" AutoFit="true" Append="false" PreserveSortAFLayout="true" PreserveFormat="true">
    <DataBinding FileBinding="true" ConnectionID="566" DataBindingLoadMode="1"/>
  </Map>
  <Map ID="34461" Name="root_Map566" RootElement="root" SchemaID="Schema567" ShowImportExportValidationErrors="false" AutoFit="true" Append="false" PreserveSortAFLayout="true" PreserveFormat="true">
    <DataBinding FileBinding="true" ConnectionID="567" DataBindingLoadMode="1"/>
  </Map>
  <Map ID="34509" Name="root_Map567" RootElement="root" SchemaID="Schema568" ShowImportExportValidationErrors="false" AutoFit="true" Append="false" PreserveSortAFLayout="true" PreserveFormat="true">
    <DataBinding FileBinding="true" ConnectionID="568" DataBindingLoadMode="1"/>
  </Map>
  <Map ID="34557" Name="root_Map568" RootElement="root" SchemaID="Schema569" ShowImportExportValidationErrors="false" AutoFit="true" Append="false" PreserveSortAFLayout="true" PreserveFormat="true">
    <DataBinding FileBinding="true" ConnectionID="569" DataBindingLoadMode="1"/>
  </Map>
  <Map ID="34605" Name="root_Map569" RootElement="root" SchemaID="Schema570" ShowImportExportValidationErrors="false" AutoFit="true" Append="false" PreserveSortAFLayout="true" PreserveFormat="true">
    <DataBinding FileBinding="true" ConnectionID="570" DataBindingLoadMode="1"/>
  </Map>
  <Map ID="195" Name="root_Map57" RootElement="root" SchemaID="Schema58" ShowImportExportValidationErrors="false" AutoFit="true" Append="false" PreserveSortAFLayout="true" PreserveFormat="true">
    <DataBinding FileBinding="true" ConnectionID="63" DataBindingLoadMode="1"/>
  </Map>
  <Map ID="34653" Name="root_Map570" RootElement="root" SchemaID="Schema571" ShowImportExportValidationErrors="false" AutoFit="true" Append="false" PreserveSortAFLayout="true" PreserveFormat="true">
    <DataBinding FileBinding="true" ConnectionID="571" DataBindingLoadMode="1"/>
  </Map>
  <Map ID="34700" Name="root_Map571" RootElement="root" SchemaID="Schema572" ShowImportExportValidationErrors="false" AutoFit="true" Append="false" PreserveSortAFLayout="true" PreserveFormat="true">
    <DataBinding FileBinding="true" ConnectionID="572" DataBindingLoadMode="1"/>
  </Map>
  <Map ID="34747" Name="root_Map572" RootElement="root" SchemaID="Schema573" ShowImportExportValidationErrors="false" AutoFit="true" Append="false" PreserveSortAFLayout="true" PreserveFormat="true">
    <DataBinding FileBinding="true" ConnectionID="573" DataBindingLoadMode="1"/>
  </Map>
  <Map ID="34794" Name="root_Map573" RootElement="root" SchemaID="Schema574" ShowImportExportValidationErrors="false" AutoFit="true" Append="false" PreserveSortAFLayout="true" PreserveFormat="true">
    <DataBinding FileBinding="true" ConnectionID="574" DataBindingLoadMode="1"/>
  </Map>
  <Map ID="34841" Name="root_Map574" RootElement="root" SchemaID="Schema575" ShowImportExportValidationErrors="false" AutoFit="true" Append="false" PreserveSortAFLayout="true" PreserveFormat="true">
    <DataBinding FileBinding="true" ConnectionID="575" DataBindingLoadMode="1"/>
  </Map>
  <Map ID="34888" Name="root_Map575" RootElement="root" SchemaID="Schema576" ShowImportExportValidationErrors="false" AutoFit="true" Append="false" PreserveSortAFLayout="true" PreserveFormat="true">
    <DataBinding FileBinding="true" ConnectionID="576" DataBindingLoadMode="1"/>
  </Map>
  <Map ID="34935" Name="root_Map576" RootElement="root" SchemaID="Schema577" ShowImportExportValidationErrors="false" AutoFit="true" Append="false" PreserveSortAFLayout="true" PreserveFormat="true">
    <DataBinding FileBinding="true" ConnectionID="577" DataBindingLoadMode="1"/>
  </Map>
  <Map ID="34982" Name="root_Map577" RootElement="root" SchemaID="Schema578" ShowImportExportValidationErrors="false" AutoFit="true" Append="false" PreserveSortAFLayout="true" PreserveFormat="true">
    <DataBinding FileBinding="true" ConnectionID="578" DataBindingLoadMode="1"/>
  </Map>
  <Map ID="35029" Name="root_Map578" RootElement="root" SchemaID="Schema579" ShowImportExportValidationErrors="false" AutoFit="true" Append="false" PreserveSortAFLayout="true" PreserveFormat="true">
    <DataBinding FileBinding="true" ConnectionID="579" DataBindingLoadMode="1"/>
  </Map>
  <Map ID="35076" Name="root_Map579" RootElement="root" SchemaID="Schema580" ShowImportExportValidationErrors="false" AutoFit="true" Append="false" PreserveSortAFLayout="true" PreserveFormat="true">
    <DataBinding FileBinding="true" ConnectionID="580" DataBindingLoadMode="1"/>
  </Map>
  <Map ID="200" Name="root_Map58" RootElement="root" SchemaID="Schema59" ShowImportExportValidationErrors="false" AutoFit="true" Append="false" PreserveSortAFLayout="true" PreserveFormat="true">
    <DataBinding FileBinding="true" ConnectionID="64" DataBindingLoadMode="1"/>
  </Map>
  <Map ID="35123" Name="root_Map580" RootElement="root" SchemaID="Schema581" ShowImportExportValidationErrors="false" AutoFit="true" Append="false" PreserveSortAFLayout="true" PreserveFormat="true">
    <DataBinding FileBinding="true" ConnectionID="581" DataBindingLoadMode="1"/>
  </Map>
  <Map ID="35169" Name="root_Map581" RootElement="root" SchemaID="Schema582" ShowImportExportValidationErrors="false" AutoFit="true" Append="false" PreserveSortAFLayout="true" PreserveFormat="true">
    <DataBinding FileBinding="true" ConnectionID="582" DataBindingLoadMode="1"/>
  </Map>
  <Map ID="35215" Name="root_Map582" RootElement="root" SchemaID="Schema583" ShowImportExportValidationErrors="false" AutoFit="true" Append="false" PreserveSortAFLayout="true" PreserveFormat="true">
    <DataBinding FileBinding="true" ConnectionID="583" DataBindingLoadMode="1"/>
  </Map>
  <Map ID="35261" Name="root_Map583" RootElement="root" SchemaID="Schema584" ShowImportExportValidationErrors="false" AutoFit="true" Append="false" PreserveSortAFLayout="true" PreserveFormat="true">
    <DataBinding FileBinding="true" ConnectionID="584" DataBindingLoadMode="1"/>
  </Map>
  <Map ID="35307" Name="root_Map584" RootElement="root" SchemaID="Schema585" ShowImportExportValidationErrors="false" AutoFit="true" Append="false" PreserveSortAFLayout="true" PreserveFormat="true">
    <DataBinding FileBinding="true" ConnectionID="585" DataBindingLoadMode="1"/>
  </Map>
  <Map ID="35353" Name="root_Map585" RootElement="root" SchemaID="Schema586" ShowImportExportValidationErrors="false" AutoFit="true" Append="false" PreserveSortAFLayout="true" PreserveFormat="true">
    <DataBinding FileBinding="true" ConnectionID="586" DataBindingLoadMode="1"/>
  </Map>
  <Map ID="35399" Name="root_Map586" RootElement="root" SchemaID="Schema587" ShowImportExportValidationErrors="false" AutoFit="true" Append="false" PreserveSortAFLayout="true" PreserveFormat="true">
    <DataBinding FileBinding="true" ConnectionID="587" DataBindingLoadMode="1"/>
  </Map>
  <Map ID="35445" Name="root_Map587" RootElement="root" SchemaID="Schema588" ShowImportExportValidationErrors="false" AutoFit="true" Append="false" PreserveSortAFLayout="true" PreserveFormat="true">
    <DataBinding FileBinding="true" ConnectionID="588" DataBindingLoadMode="1"/>
  </Map>
  <Map ID="35491" Name="root_Map588" RootElement="root" SchemaID="Schema589" ShowImportExportValidationErrors="false" AutoFit="true" Append="false" PreserveSortAFLayout="true" PreserveFormat="true">
    <DataBinding FileBinding="true" ConnectionID="589" DataBindingLoadMode="1"/>
  </Map>
  <Map ID="35537" Name="root_Map589" RootElement="root" SchemaID="Schema590" ShowImportExportValidationErrors="false" AutoFit="true" Append="false" PreserveSortAFLayout="true" PreserveFormat="true">
    <DataBinding FileBinding="true" ConnectionID="590" DataBindingLoadMode="1"/>
  </Map>
  <Map ID="201" Name="root_Map59" RootElement="root" SchemaID="Schema60" ShowImportExportValidationErrors="false" AutoFit="true" Append="false" PreserveSortAFLayout="true" PreserveFormat="true">
    <DataBinding FileBinding="true" ConnectionID="65" DataBindingLoadMode="1"/>
  </Map>
  <Map ID="35583" Name="root_Map590" RootElement="root" SchemaID="Schema591" ShowImportExportValidationErrors="false" AutoFit="true" Append="false" PreserveSortAFLayout="true" PreserveFormat="true">
    <DataBinding FileBinding="true" ConnectionID="591" DataBindingLoadMode="1"/>
  </Map>
  <Map ID="35628" Name="root_Map591" RootElement="root" SchemaID="Schema592" ShowImportExportValidationErrors="false" AutoFit="true" Append="false" PreserveSortAFLayout="true" PreserveFormat="true">
    <DataBinding FileBinding="true" ConnectionID="592" DataBindingLoadMode="1"/>
  </Map>
  <Map ID="35673" Name="root_Map592" RootElement="root" SchemaID="Schema593" ShowImportExportValidationErrors="false" AutoFit="true" Append="false" PreserveSortAFLayout="true" PreserveFormat="true">
    <DataBinding FileBinding="true" ConnectionID="593" DataBindingLoadMode="1"/>
  </Map>
  <Map ID="35718" Name="root_Map593" RootElement="root" SchemaID="Schema594" ShowImportExportValidationErrors="false" AutoFit="true" Append="false" PreserveSortAFLayout="true" PreserveFormat="true">
    <DataBinding FileBinding="true" ConnectionID="594" DataBindingLoadMode="1"/>
  </Map>
  <Map ID="35763" Name="root_Map594" RootElement="root" SchemaID="Schema595" ShowImportExportValidationErrors="false" AutoFit="true" Append="false" PreserveSortAFLayout="true" PreserveFormat="true">
    <DataBinding FileBinding="true" ConnectionID="595" DataBindingLoadMode="1"/>
  </Map>
  <Map ID="35808" Name="root_Map595" RootElement="root" SchemaID="Schema596" ShowImportExportValidationErrors="false" AutoFit="true" Append="false" PreserveSortAFLayout="true" PreserveFormat="true">
    <DataBinding FileBinding="true" ConnectionID="596" DataBindingLoadMode="1"/>
  </Map>
  <Map ID="35853" Name="root_Map596" RootElement="root" SchemaID="Schema597" ShowImportExportValidationErrors="false" AutoFit="true" Append="false" PreserveSortAFLayout="true" PreserveFormat="true">
    <DataBinding FileBinding="true" ConnectionID="597" DataBindingLoadMode="1"/>
  </Map>
  <Map ID="35898" Name="root_Map597" RootElement="root" SchemaID="Schema598" ShowImportExportValidationErrors="false" AutoFit="true" Append="false" PreserveSortAFLayout="true" PreserveFormat="true">
    <DataBinding FileBinding="true" ConnectionID="598" DataBindingLoadMode="1"/>
  </Map>
  <Map ID="35943" Name="root_Map598" RootElement="root" SchemaID="Schema599" ShowImportExportValidationErrors="false" AutoFit="true" Append="false" PreserveSortAFLayout="true" PreserveFormat="true">
    <DataBinding FileBinding="true" ConnectionID="599" DataBindingLoadMode="1"/>
  </Map>
  <Map ID="35988" Name="root_Map599" RootElement="root" SchemaID="Schema600" ShowImportExportValidationErrors="false" AutoFit="true" Append="false" PreserveSortAFLayout="true" PreserveFormat="true">
    <DataBinding FileBinding="true" ConnectionID="600" DataBindingLoadMode="1"/>
  </Map>
  <Map ID="7" Name="root_Map6" RootElement="root" SchemaID="Schema7" ShowImportExportValidationErrors="false" AutoFit="true" Append="false" PreserveSortAFLayout="true" PreserveFormat="true">
    <DataBinding FileBinding="true" ConnectionID="23" DataBindingLoadMode="1"/>
  </Map>
  <Map ID="202" Name="root_Map60" RootElement="root" SchemaID="Schema61" ShowImportExportValidationErrors="false" AutoFit="true" Append="false" PreserveSortAFLayout="true" PreserveFormat="true">
    <DataBinding FileBinding="true" ConnectionID="66" DataBindingLoadMode="1"/>
  </Map>
  <Map ID="36033" Name="root_Map600" RootElement="root" SchemaID="Schema601" ShowImportExportValidationErrors="false" AutoFit="true" Append="false" PreserveSortAFLayout="true" PreserveFormat="true">
    <DataBinding FileBinding="true" ConnectionID="601" DataBindingLoadMode="1"/>
  </Map>
  <Map ID="36076" Name="root_Map601" RootElement="root" SchemaID="Schema602" ShowImportExportValidationErrors="false" AutoFit="true" Append="false" PreserveSortAFLayout="true" PreserveFormat="true">
    <DataBinding FileBinding="true" ConnectionID="602" DataBindingLoadMode="1"/>
  </Map>
  <Map ID="36119" Name="root_Map602" RootElement="root" SchemaID="Schema603" ShowImportExportValidationErrors="false" AutoFit="true" Append="false" PreserveSortAFLayout="true" PreserveFormat="true">
    <DataBinding FileBinding="true" ConnectionID="603" DataBindingLoadMode="1"/>
  </Map>
  <Map ID="36162" Name="root_Map603" RootElement="root" SchemaID="Schema604" ShowImportExportValidationErrors="false" AutoFit="true" Append="false" PreserveSortAFLayout="true" PreserveFormat="true">
    <DataBinding FileBinding="true" ConnectionID="604" DataBindingLoadMode="1"/>
  </Map>
  <Map ID="36205" Name="root_Map604" RootElement="root" SchemaID="Schema605" ShowImportExportValidationErrors="false" AutoFit="true" Append="false" PreserveSortAFLayout="true" PreserveFormat="true">
    <DataBinding FileBinding="true" ConnectionID="605" DataBindingLoadMode="1"/>
  </Map>
  <Map ID="36248" Name="root_Map605" RootElement="root" SchemaID="Schema606" ShowImportExportValidationErrors="false" AutoFit="true" Append="false" PreserveSortAFLayout="true" PreserveFormat="true">
    <DataBinding FileBinding="true" ConnectionID="606" DataBindingLoadMode="1"/>
  </Map>
  <Map ID="36291" Name="root_Map606" RootElement="root" SchemaID="Schema607" ShowImportExportValidationErrors="false" AutoFit="true" Append="false" PreserveSortAFLayout="true" PreserveFormat="true">
    <DataBinding FileBinding="true" ConnectionID="607" DataBindingLoadMode="1"/>
  </Map>
  <Map ID="36334" Name="root_Map607" RootElement="root" SchemaID="Schema608" ShowImportExportValidationErrors="false" AutoFit="true" Append="false" PreserveSortAFLayout="true" PreserveFormat="true">
    <DataBinding FileBinding="true" ConnectionID="608" DataBindingLoadMode="1"/>
  </Map>
  <Map ID="36377" Name="root_Map608" RootElement="root" SchemaID="Schema609" ShowImportExportValidationErrors="false" AutoFit="true" Append="false" PreserveSortAFLayout="true" PreserveFormat="true">
    <DataBinding FileBinding="true" ConnectionID="609" DataBindingLoadMode="1"/>
  </Map>
  <Map ID="36420" Name="root_Map609" RootElement="root" SchemaID="Schema610" ShowImportExportValidationErrors="false" AutoFit="true" Append="false" PreserveSortAFLayout="true" PreserveFormat="true">
    <DataBinding FileBinding="true" ConnectionID="610" DataBindingLoadMode="1"/>
  </Map>
  <Map ID="203" Name="root_Map61" RootElement="root" SchemaID="Schema62" ShowImportExportValidationErrors="false" AutoFit="true" Append="false" PreserveSortAFLayout="true" PreserveFormat="true">
    <DataBinding FileBinding="true" ConnectionID="67" DataBindingLoadMode="1"/>
  </Map>
  <Map ID="36463" Name="root_Map610" RootElement="root" SchemaID="Schema611" ShowImportExportValidationErrors="false" AutoFit="true" Append="false" PreserveSortAFLayout="true" PreserveFormat="true">
    <DataBinding FileBinding="true" ConnectionID="611" DataBindingLoadMode="1"/>
  </Map>
  <Map ID="36505" Name="root_Map611" RootElement="root" SchemaID="Schema612" ShowImportExportValidationErrors="false" AutoFit="true" Append="false" PreserveSortAFLayout="true" PreserveFormat="true">
    <DataBinding FileBinding="true" ConnectionID="612" DataBindingLoadMode="1"/>
  </Map>
  <Map ID="36547" Name="root_Map612" RootElement="root" SchemaID="Schema613" ShowImportExportValidationErrors="false" AutoFit="true" Append="false" PreserveSortAFLayout="true" PreserveFormat="true">
    <DataBinding FileBinding="true" ConnectionID="613" DataBindingLoadMode="1"/>
  </Map>
  <Map ID="36589" Name="root_Map613" RootElement="root" SchemaID="Schema614" ShowImportExportValidationErrors="false" AutoFit="true" Append="false" PreserveSortAFLayout="true" PreserveFormat="true">
    <DataBinding FileBinding="true" ConnectionID="614" DataBindingLoadMode="1"/>
  </Map>
  <Map ID="36631" Name="root_Map614" RootElement="root" SchemaID="Schema615" ShowImportExportValidationErrors="false" AutoFit="true" Append="false" PreserveSortAFLayout="true" PreserveFormat="true">
    <DataBinding FileBinding="true" ConnectionID="615" DataBindingLoadMode="1"/>
  </Map>
  <Map ID="36673" Name="root_Map615" RootElement="root" SchemaID="Schema616" ShowImportExportValidationErrors="false" AutoFit="true" Append="false" PreserveSortAFLayout="true" PreserveFormat="true">
    <DataBinding FileBinding="true" ConnectionID="616" DataBindingLoadMode="1"/>
  </Map>
  <Map ID="36715" Name="root_Map616" RootElement="root" SchemaID="Schema617" ShowImportExportValidationErrors="false" AutoFit="true" Append="false" PreserveSortAFLayout="true" PreserveFormat="true">
    <DataBinding FileBinding="true" ConnectionID="617" DataBindingLoadMode="1"/>
  </Map>
  <Map ID="36757" Name="root_Map617" RootElement="root" SchemaID="Schema618" ShowImportExportValidationErrors="false" AutoFit="true" Append="false" PreserveSortAFLayout="true" PreserveFormat="true">
    <DataBinding FileBinding="true" ConnectionID="618" DataBindingLoadMode="1"/>
  </Map>
  <Map ID="36799" Name="root_Map618" RootElement="root" SchemaID="Schema619" ShowImportExportValidationErrors="false" AutoFit="true" Append="false" PreserveSortAFLayout="true" PreserveFormat="true">
    <DataBinding FileBinding="true" ConnectionID="619" DataBindingLoadMode="1"/>
  </Map>
  <Map ID="36841" Name="root_Map619" RootElement="root" SchemaID="Schema620" ShowImportExportValidationErrors="false" AutoFit="true" Append="false" PreserveSortAFLayout="true" PreserveFormat="true">
    <DataBinding FileBinding="true" ConnectionID="620" DataBindingLoadMode="1"/>
  </Map>
  <Map ID="208" Name="root_Map62" RootElement="root" SchemaID="Schema63" ShowImportExportValidationErrors="false" AutoFit="true" Append="false" PreserveSortAFLayout="true" PreserveFormat="true">
    <DataBinding FileBinding="true" ConnectionID="57" DataBindingLoadMode="1"/>
  </Map>
  <Map ID="36883" Name="root_Map620" RootElement="root" SchemaID="Schema621" ShowImportExportValidationErrors="false" AutoFit="true" Append="false" PreserveSortAFLayout="true" PreserveFormat="true">
    <DataBinding FileBinding="true" ConnectionID="621" DataBindingLoadMode="1"/>
  </Map>
  <Map ID="36924" Name="root_Map621" RootElement="root" SchemaID="Schema622" ShowImportExportValidationErrors="false" AutoFit="true" Append="false" PreserveSortAFLayout="true" PreserveFormat="true">
    <DataBinding FileBinding="true" ConnectionID="622" DataBindingLoadMode="1"/>
  </Map>
  <Map ID="36965" Name="root_Map622" RootElement="root" SchemaID="Schema623" ShowImportExportValidationErrors="false" AutoFit="true" Append="false" PreserveSortAFLayout="true" PreserveFormat="true">
    <DataBinding FileBinding="true" ConnectionID="623" DataBindingLoadMode="1"/>
  </Map>
  <Map ID="37006" Name="root_Map623" RootElement="root" SchemaID="Schema624" ShowImportExportValidationErrors="false" AutoFit="true" Append="false" PreserveSortAFLayout="true" PreserveFormat="true">
    <DataBinding FileBinding="true" ConnectionID="624" DataBindingLoadMode="1"/>
  </Map>
  <Map ID="37047" Name="root_Map624" RootElement="root" SchemaID="Schema625" ShowImportExportValidationErrors="false" AutoFit="true" Append="false" PreserveSortAFLayout="true" PreserveFormat="true">
    <DataBinding FileBinding="true" ConnectionID="625" DataBindingLoadMode="1"/>
  </Map>
  <Map ID="37088" Name="root_Map625" RootElement="root" SchemaID="Schema626" ShowImportExportValidationErrors="false" AutoFit="true" Append="false" PreserveSortAFLayout="true" PreserveFormat="true">
    <DataBinding FileBinding="true" ConnectionID="626" DataBindingLoadMode="1"/>
  </Map>
  <Map ID="37129" Name="root_Map626" RootElement="root" SchemaID="Schema627" ShowImportExportValidationErrors="false" AutoFit="true" Append="false" PreserveSortAFLayout="true" PreserveFormat="true">
    <DataBinding FileBinding="true" ConnectionID="627" DataBindingLoadMode="1"/>
  </Map>
  <Map ID="37170" Name="root_Map627" RootElement="root" SchemaID="Schema628" ShowImportExportValidationErrors="false" AutoFit="true" Append="false" PreserveSortAFLayout="true" PreserveFormat="true">
    <DataBinding FileBinding="true" ConnectionID="628" DataBindingLoadMode="1"/>
  </Map>
  <Map ID="37211" Name="root_Map628" RootElement="root" SchemaID="Schema629" ShowImportExportValidationErrors="false" AutoFit="true" Append="false" PreserveSortAFLayout="true" PreserveFormat="true">
    <DataBinding FileBinding="true" ConnectionID="629" DataBindingLoadMode="1"/>
  </Map>
  <Map ID="37252" Name="root_Map629" RootElement="root" SchemaID="Schema630" ShowImportExportValidationErrors="false" AutoFit="true" Append="false" PreserveSortAFLayout="true" PreserveFormat="true">
    <DataBinding FileBinding="true" ConnectionID="630" DataBindingLoadMode="1"/>
  </Map>
  <Map ID="212" Name="root_Map63" RootElement="root" SchemaID="Schema64" ShowImportExportValidationErrors="false" AutoFit="true" Append="false" PreserveSortAFLayout="true" PreserveFormat="true">
    <DataBinding FileBinding="true" ConnectionID="59" DataBindingLoadMode="1"/>
  </Map>
  <Map ID="37293" Name="root_Map630" RootElement="root" SchemaID="Schema631" ShowImportExportValidationErrors="false" AutoFit="true" Append="false" PreserveSortAFLayout="true" PreserveFormat="true">
    <DataBinding FileBinding="true" ConnectionID="631" DataBindingLoadMode="1"/>
  </Map>
  <Map ID="37333" Name="root_Map631" RootElement="root" SchemaID="Schema632" ShowImportExportValidationErrors="false" AutoFit="true" Append="false" PreserveSortAFLayout="true" PreserveFormat="true">
    <DataBinding FileBinding="true" ConnectionID="632" DataBindingLoadMode="1"/>
  </Map>
  <Map ID="37373" Name="root_Map632" RootElement="root" SchemaID="Schema633" ShowImportExportValidationErrors="false" AutoFit="true" Append="false" PreserveSortAFLayout="true" PreserveFormat="true">
    <DataBinding FileBinding="true" ConnectionID="633" DataBindingLoadMode="1"/>
  </Map>
  <Map ID="37413" Name="root_Map633" RootElement="root" SchemaID="Schema634" ShowImportExportValidationErrors="false" AutoFit="true" Append="false" PreserveSortAFLayout="true" PreserveFormat="true">
    <DataBinding FileBinding="true" ConnectionID="634" DataBindingLoadMode="1"/>
  </Map>
  <Map ID="37453" Name="root_Map634" RootElement="root" SchemaID="Schema635" ShowImportExportValidationErrors="false" AutoFit="true" Append="false" PreserveSortAFLayout="true" PreserveFormat="true">
    <DataBinding FileBinding="true" ConnectionID="635" DataBindingLoadMode="1"/>
  </Map>
  <Map ID="37493" Name="root_Map635" RootElement="root" SchemaID="Schema636" ShowImportExportValidationErrors="false" AutoFit="true" Append="false" PreserveSortAFLayout="true" PreserveFormat="true">
    <DataBinding FileBinding="true" ConnectionID="636" DataBindingLoadMode="1"/>
  </Map>
  <Map ID="37533" Name="root_Map636" RootElement="root" SchemaID="Schema637" ShowImportExportValidationErrors="false" AutoFit="true" Append="false" PreserveSortAFLayout="true" PreserveFormat="true">
    <DataBinding FileBinding="true" ConnectionID="637" DataBindingLoadMode="1"/>
  </Map>
  <Map ID="37573" Name="root_Map637" RootElement="root" SchemaID="Schema638" ShowImportExportValidationErrors="false" AutoFit="true" Append="false" PreserveSortAFLayout="true" PreserveFormat="true">
    <DataBinding FileBinding="true" ConnectionID="638" DataBindingLoadMode="1"/>
  </Map>
  <Map ID="37613" Name="root_Map638" RootElement="root" SchemaID="Schema639" ShowImportExportValidationErrors="false" AutoFit="true" Append="false" PreserveSortAFLayout="true" PreserveFormat="true">
    <DataBinding FileBinding="true" ConnectionID="639" DataBindingLoadMode="1"/>
  </Map>
  <Map ID="37653" Name="root_Map639" RootElement="root" SchemaID="Schema640" ShowImportExportValidationErrors="false" AutoFit="true" Append="false" PreserveSortAFLayout="true" PreserveFormat="true">
    <DataBinding FileBinding="true" ConnectionID="640" DataBindingLoadMode="1"/>
  </Map>
  <Map ID="213" Name="root_Map64" RootElement="root" SchemaID="Schema65" ShowImportExportValidationErrors="false" AutoFit="true" Append="false" PreserveSortAFLayout="true" PreserveFormat="true">
    <DataBinding FileBinding="true" ConnectionID="60" DataBindingLoadMode="1"/>
  </Map>
  <Map ID="37693" Name="root_Map640" RootElement="root" SchemaID="Schema641" ShowImportExportValidationErrors="false" AutoFit="true" Append="false" PreserveSortAFLayout="true" PreserveFormat="true">
    <DataBinding FileBinding="true" ConnectionID="641" DataBindingLoadMode="1"/>
  </Map>
  <Map ID="37732" Name="root_Map641" RootElement="root" SchemaID="Schema642" ShowImportExportValidationErrors="false" AutoFit="true" Append="false" PreserveSortAFLayout="true" PreserveFormat="true">
    <DataBinding FileBinding="true" ConnectionID="642" DataBindingLoadMode="1"/>
  </Map>
  <Map ID="37771" Name="root_Map642" RootElement="root" SchemaID="Schema643" ShowImportExportValidationErrors="false" AutoFit="true" Append="false" PreserveSortAFLayout="true" PreserveFormat="true">
    <DataBinding FileBinding="true" ConnectionID="643" DataBindingLoadMode="1"/>
  </Map>
  <Map ID="37810" Name="root_Map643" RootElement="root" SchemaID="Schema644" ShowImportExportValidationErrors="false" AutoFit="true" Append="false" PreserveSortAFLayout="true" PreserveFormat="true">
    <DataBinding FileBinding="true" ConnectionID="644" DataBindingLoadMode="1"/>
  </Map>
  <Map ID="37849" Name="root_Map644" RootElement="root" SchemaID="Schema645" ShowImportExportValidationErrors="false" AutoFit="true" Append="false" PreserveSortAFLayout="true" PreserveFormat="true">
    <DataBinding FileBinding="true" ConnectionID="645" DataBindingLoadMode="1"/>
  </Map>
  <Map ID="37888" Name="root_Map645" RootElement="root" SchemaID="Schema646" ShowImportExportValidationErrors="false" AutoFit="true" Append="false" PreserveSortAFLayout="true" PreserveFormat="true">
    <DataBinding FileBinding="true" ConnectionID="646" DataBindingLoadMode="1"/>
  </Map>
  <Map ID="37927" Name="root_Map646" RootElement="root" SchemaID="Schema647" ShowImportExportValidationErrors="false" AutoFit="true" Append="false" PreserveSortAFLayout="true" PreserveFormat="true">
    <DataBinding FileBinding="true" ConnectionID="647" DataBindingLoadMode="1"/>
  </Map>
  <Map ID="37966" Name="root_Map647" RootElement="root" SchemaID="Schema648" ShowImportExportValidationErrors="false" AutoFit="true" Append="false" PreserveSortAFLayout="true" PreserveFormat="true">
    <DataBinding FileBinding="true" ConnectionID="648" DataBindingLoadMode="1"/>
  </Map>
  <Map ID="38005" Name="root_Map648" RootElement="root" SchemaID="Schema649" ShowImportExportValidationErrors="false" AutoFit="true" Append="false" PreserveSortAFLayout="true" PreserveFormat="true">
    <DataBinding FileBinding="true" ConnectionID="649" DataBindingLoadMode="1"/>
  </Map>
  <Map ID="38044" Name="root_Map649" RootElement="root" SchemaID="Schema650" ShowImportExportValidationErrors="false" AutoFit="true" Append="false" PreserveSortAFLayout="true" PreserveFormat="true">
    <DataBinding FileBinding="true" ConnectionID="650" DataBindingLoadMode="1"/>
  </Map>
  <Map ID="217" Name="root_Map65" RootElement="root" SchemaID="Schema66" ShowImportExportValidationErrors="false" AutoFit="true" Append="false" PreserveSortAFLayout="true" PreserveFormat="true">
    <DataBinding FileBinding="true" ConnectionID="62" DataBindingLoadMode="1"/>
  </Map>
  <Map ID="38083" Name="root_Map650" RootElement="root" SchemaID="Schema651" ShowImportExportValidationErrors="false" AutoFit="true" Append="false" PreserveSortAFLayout="true" PreserveFormat="true">
    <DataBinding FileBinding="true" ConnectionID="651" DataBindingLoadMode="1"/>
  </Map>
  <Map ID="38121" Name="root_Map651" RootElement="root" SchemaID="Schema652" ShowImportExportValidationErrors="false" AutoFit="true" Append="false" PreserveSortAFLayout="true" PreserveFormat="true">
    <DataBinding FileBinding="true" ConnectionID="652" DataBindingLoadMode="1"/>
  </Map>
  <Map ID="38159" Name="root_Map652" RootElement="root" SchemaID="Schema653" ShowImportExportValidationErrors="false" AutoFit="true" Append="false" PreserveSortAFLayout="true" PreserveFormat="true">
    <DataBinding FileBinding="true" ConnectionID="653" DataBindingLoadMode="1"/>
  </Map>
  <Map ID="38197" Name="root_Map653" RootElement="root" SchemaID="Schema654" ShowImportExportValidationErrors="false" AutoFit="true" Append="false" PreserveSortAFLayout="true" PreserveFormat="true">
    <DataBinding FileBinding="true" ConnectionID="654" DataBindingLoadMode="1"/>
  </Map>
  <Map ID="38235" Name="root_Map654" RootElement="root" SchemaID="Schema655" ShowImportExportValidationErrors="false" AutoFit="true" Append="false" PreserveSortAFLayout="true" PreserveFormat="true">
    <DataBinding FileBinding="true" ConnectionID="655" DataBindingLoadMode="1"/>
  </Map>
  <Map ID="38273" Name="root_Map655" RootElement="root" SchemaID="Schema656" ShowImportExportValidationErrors="false" AutoFit="true" Append="false" PreserveSortAFLayout="true" PreserveFormat="true">
    <DataBinding FileBinding="true" ConnectionID="656" DataBindingLoadMode="1"/>
  </Map>
  <Map ID="38311" Name="root_Map656" RootElement="root" SchemaID="Schema657" ShowImportExportValidationErrors="false" AutoFit="true" Append="false" PreserveSortAFLayout="true" PreserveFormat="true">
    <DataBinding FileBinding="true" ConnectionID="657" DataBindingLoadMode="1"/>
  </Map>
  <Map ID="38349" Name="root_Map657" RootElement="root" SchemaID="Schema658" ShowImportExportValidationErrors="false" AutoFit="true" Append="false" PreserveSortAFLayout="true" PreserveFormat="true">
    <DataBinding FileBinding="true" ConnectionID="658" DataBindingLoadMode="1"/>
  </Map>
  <Map ID="38387" Name="root_Map658" RootElement="root" SchemaID="Schema659" ShowImportExportValidationErrors="false" AutoFit="true" Append="false" PreserveSortAFLayout="true" PreserveFormat="true">
    <DataBinding FileBinding="true" ConnectionID="659" DataBindingLoadMode="1"/>
  </Map>
  <Map ID="38425" Name="root_Map659" RootElement="root" SchemaID="Schema660" ShowImportExportValidationErrors="false" AutoFit="true" Append="false" PreserveSortAFLayout="true" PreserveFormat="true">
    <DataBinding FileBinding="true" ConnectionID="660" DataBindingLoadMode="1"/>
  </Map>
  <Map ID="221" Name="root_Map66" RootElement="root" SchemaID="Schema67" ShowImportExportValidationErrors="false" AutoFit="true" Append="false" PreserveSortAFLayout="true" PreserveFormat="true">
    <DataBinding FileBinding="true" ConnectionID="61" DataBindingLoadMode="1"/>
  </Map>
  <Map ID="38463" Name="root_Map660" RootElement="root" SchemaID="Schema661" ShowImportExportValidationErrors="false" AutoFit="true" Append="false" PreserveSortAFLayout="true" PreserveFormat="true">
    <DataBinding FileBinding="true" ConnectionID="661" DataBindingLoadMode="1"/>
  </Map>
  <Map ID="38500" Name="root_Map661" RootElement="root" SchemaID="Schema662" ShowImportExportValidationErrors="false" AutoFit="true" Append="false" PreserveSortAFLayout="true" PreserveFormat="true">
    <DataBinding FileBinding="true" ConnectionID="662" DataBindingLoadMode="1"/>
  </Map>
  <Map ID="38537" Name="root_Map662" RootElement="root" SchemaID="Schema663" ShowImportExportValidationErrors="false" AutoFit="true" Append="false" PreserveSortAFLayout="true" PreserveFormat="true">
    <DataBinding FileBinding="true" ConnectionID="663" DataBindingLoadMode="1"/>
  </Map>
  <Map ID="38574" Name="root_Map663" RootElement="root" SchemaID="Schema664" ShowImportExportValidationErrors="false" AutoFit="true" Append="false" PreserveSortAFLayout="true" PreserveFormat="true">
    <DataBinding FileBinding="true" ConnectionID="664" DataBindingLoadMode="1"/>
  </Map>
  <Map ID="38611" Name="root_Map664" RootElement="root" SchemaID="Schema665" ShowImportExportValidationErrors="false" AutoFit="true" Append="false" PreserveSortAFLayout="true" PreserveFormat="true">
    <DataBinding FileBinding="true" ConnectionID="665" DataBindingLoadMode="1"/>
  </Map>
  <Map ID="38648" Name="root_Map665" RootElement="root" SchemaID="Schema666" ShowImportExportValidationErrors="false" AutoFit="true" Append="false" PreserveSortAFLayout="true" PreserveFormat="true">
    <DataBinding FileBinding="true" ConnectionID="666" DataBindingLoadMode="1"/>
  </Map>
  <Map ID="38685" Name="root_Map666" RootElement="root" SchemaID="Schema667" ShowImportExportValidationErrors="false" AutoFit="true" Append="false" PreserveSortAFLayout="true" PreserveFormat="true">
    <DataBinding FileBinding="true" ConnectionID="667" DataBindingLoadMode="1"/>
  </Map>
  <Map ID="38722" Name="root_Map667" RootElement="root" SchemaID="Schema668" ShowImportExportValidationErrors="false" AutoFit="true" Append="false" PreserveSortAFLayout="true" PreserveFormat="true">
    <DataBinding FileBinding="true" ConnectionID="668" DataBindingLoadMode="1"/>
  </Map>
  <Map ID="38759" Name="root_Map668" RootElement="root" SchemaID="Schema669" ShowImportExportValidationErrors="false" AutoFit="true" Append="false" PreserveSortAFLayout="true" PreserveFormat="true">
    <DataBinding FileBinding="true" ConnectionID="669" DataBindingLoadMode="1"/>
  </Map>
  <Map ID="38796" Name="root_Map669" RootElement="root" SchemaID="Schema670" ShowImportExportValidationErrors="false" AutoFit="true" Append="false" PreserveSortAFLayout="true" PreserveFormat="true">
    <DataBinding FileBinding="true" ConnectionID="670" DataBindingLoadMode="1"/>
  </Map>
  <Map ID="225" Name="root_Map67" RootElement="root" SchemaID="Schema68" ShowImportExportValidationErrors="false" AutoFit="true" Append="false" PreserveSortAFLayout="true" PreserveFormat="true">
    <DataBinding FileBinding="true" ConnectionID="68" DataBindingLoadMode="1"/>
  </Map>
  <Map ID="38833" Name="root_Map670" RootElement="root" SchemaID="Schema671" ShowImportExportValidationErrors="false" AutoFit="true" Append="false" PreserveSortAFLayout="true" PreserveFormat="true">
    <DataBinding FileBinding="true" ConnectionID="671" DataBindingLoadMode="1"/>
  </Map>
  <Map ID="38869" Name="root_Map671" RootElement="root" SchemaID="Schema672" ShowImportExportValidationErrors="false" AutoFit="true" Append="false" PreserveSortAFLayout="true" PreserveFormat="true">
    <DataBinding FileBinding="true" ConnectionID="672" DataBindingLoadMode="1"/>
  </Map>
  <Map ID="38905" Name="root_Map672" RootElement="root" SchemaID="Schema673" ShowImportExportValidationErrors="false" AutoFit="true" Append="false" PreserveSortAFLayout="true" PreserveFormat="true">
    <DataBinding FileBinding="true" ConnectionID="673" DataBindingLoadMode="1"/>
  </Map>
  <Map ID="38941" Name="root_Map673" RootElement="root" SchemaID="Schema674" ShowImportExportValidationErrors="false" AutoFit="true" Append="false" PreserveSortAFLayout="true" PreserveFormat="true">
    <DataBinding FileBinding="true" ConnectionID="674" DataBindingLoadMode="1"/>
  </Map>
  <Map ID="38977" Name="root_Map674" RootElement="root" SchemaID="Schema675" ShowImportExportValidationErrors="false" AutoFit="true" Append="false" PreserveSortAFLayout="true" PreserveFormat="true">
    <DataBinding FileBinding="true" ConnectionID="675" DataBindingLoadMode="1"/>
  </Map>
  <Map ID="39013" Name="root_Map675" RootElement="root" SchemaID="Schema676" ShowImportExportValidationErrors="false" AutoFit="true" Append="false" PreserveSortAFLayout="true" PreserveFormat="true">
    <DataBinding FileBinding="true" ConnectionID="676" DataBindingLoadMode="1"/>
  </Map>
  <Map ID="39049" Name="root_Map676" RootElement="root" SchemaID="Schema677" ShowImportExportValidationErrors="false" AutoFit="true" Append="false" PreserveSortAFLayout="true" PreserveFormat="true">
    <DataBinding FileBinding="true" ConnectionID="677" DataBindingLoadMode="1"/>
  </Map>
  <Map ID="39085" Name="root_Map677" RootElement="root" SchemaID="Schema678" ShowImportExportValidationErrors="false" AutoFit="true" Append="false" PreserveSortAFLayout="true" PreserveFormat="true">
    <DataBinding FileBinding="true" ConnectionID="678" DataBindingLoadMode="1"/>
  </Map>
  <Map ID="39121" Name="root_Map678" RootElement="root" SchemaID="Schema679" ShowImportExportValidationErrors="false" AutoFit="true" Append="false" PreserveSortAFLayout="true" PreserveFormat="true">
    <DataBinding FileBinding="true" ConnectionID="679" DataBindingLoadMode="1"/>
  </Map>
  <Map ID="39157" Name="root_Map679" RootElement="root" SchemaID="Schema680" ShowImportExportValidationErrors="false" AutoFit="true" Append="false" PreserveSortAFLayout="true" PreserveFormat="true">
    <DataBinding FileBinding="true" ConnectionID="680" DataBindingLoadMode="1"/>
  </Map>
  <Map ID="229" Name="root_Map68" RootElement="root" SchemaID="Schema69" ShowImportExportValidationErrors="false" AutoFit="true" Append="false" PreserveSortAFLayout="true" PreserveFormat="true">
    <DataBinding FileBinding="true" ConnectionID="69" DataBindingLoadMode="1"/>
  </Map>
  <Map ID="39193" Name="root_Map680" RootElement="root" SchemaID="Schema681" ShowImportExportValidationErrors="false" AutoFit="true" Append="false" PreserveSortAFLayout="true" PreserveFormat="true">
    <DataBinding FileBinding="true" ConnectionID="681" DataBindingLoadMode="1"/>
  </Map>
  <Map ID="39228" Name="root_Map681" RootElement="root" SchemaID="Schema682" ShowImportExportValidationErrors="false" AutoFit="true" Append="false" PreserveSortAFLayout="true" PreserveFormat="true">
    <DataBinding FileBinding="true" ConnectionID="682" DataBindingLoadMode="1"/>
  </Map>
  <Map ID="39263" Name="root_Map682" RootElement="root" SchemaID="Schema683" ShowImportExportValidationErrors="false" AutoFit="true" Append="false" PreserveSortAFLayout="true" PreserveFormat="true">
    <DataBinding FileBinding="true" ConnectionID="683" DataBindingLoadMode="1"/>
  </Map>
  <Map ID="39298" Name="root_Map683" RootElement="root" SchemaID="Schema684" ShowImportExportValidationErrors="false" AutoFit="true" Append="false" PreserveSortAFLayout="true" PreserveFormat="true">
    <DataBinding FileBinding="true" ConnectionID="684" DataBindingLoadMode="1"/>
  </Map>
  <Map ID="39333" Name="root_Map684" RootElement="root" SchemaID="Schema685" ShowImportExportValidationErrors="false" AutoFit="true" Append="false" PreserveSortAFLayout="true" PreserveFormat="true">
    <DataBinding FileBinding="true" ConnectionID="685" DataBindingLoadMode="1"/>
  </Map>
  <Map ID="39368" Name="root_Map685" RootElement="root" SchemaID="Schema686" ShowImportExportValidationErrors="false" AutoFit="true" Append="false" PreserveSortAFLayout="true" PreserveFormat="true">
    <DataBinding FileBinding="true" ConnectionID="686" DataBindingLoadMode="1"/>
  </Map>
  <Map ID="39403" Name="root_Map686" RootElement="root" SchemaID="Schema687" ShowImportExportValidationErrors="false" AutoFit="true" Append="false" PreserveSortAFLayout="true" PreserveFormat="true">
    <DataBinding FileBinding="true" ConnectionID="687" DataBindingLoadMode="1"/>
  </Map>
  <Map ID="39438" Name="root_Map687" RootElement="root" SchemaID="Schema688" ShowImportExportValidationErrors="false" AutoFit="true" Append="false" PreserveSortAFLayout="true" PreserveFormat="true">
    <DataBinding FileBinding="true" ConnectionID="688" DataBindingLoadMode="1"/>
  </Map>
  <Map ID="39473" Name="root_Map688" RootElement="root" SchemaID="Schema689" ShowImportExportValidationErrors="false" AutoFit="true" Append="false" PreserveSortAFLayout="true" PreserveFormat="true">
    <DataBinding FileBinding="true" ConnectionID="689" DataBindingLoadMode="1"/>
  </Map>
  <Map ID="39508" Name="root_Map689" RootElement="root" SchemaID="Schema690" ShowImportExportValidationErrors="false" AutoFit="true" Append="false" PreserveSortAFLayout="true" PreserveFormat="true">
    <DataBinding FileBinding="true" ConnectionID="690" DataBindingLoadMode="1"/>
  </Map>
  <Map ID="233" Name="root_Map69" RootElement="root" SchemaID="Schema70" ShowImportExportValidationErrors="false" AutoFit="true" Append="false" PreserveSortAFLayout="true" PreserveFormat="true">
    <DataBinding FileBinding="true" ConnectionID="70" DataBindingLoadMode="1"/>
  </Map>
  <Map ID="39543" Name="root_Map690" RootElement="root" SchemaID="Schema691" ShowImportExportValidationErrors="false" AutoFit="true" Append="false" PreserveSortAFLayout="true" PreserveFormat="true">
    <DataBinding FileBinding="true" ConnectionID="691" DataBindingLoadMode="1"/>
  </Map>
  <Map ID="39577" Name="root_Map691" RootElement="root" SchemaID="Schema692" ShowImportExportValidationErrors="false" AutoFit="true" Append="false" PreserveSortAFLayout="true" PreserveFormat="true">
    <DataBinding FileBinding="true" ConnectionID="692" DataBindingLoadMode="1"/>
  </Map>
  <Map ID="39611" Name="root_Map692" RootElement="root" SchemaID="Schema693" ShowImportExportValidationErrors="false" AutoFit="true" Append="false" PreserveSortAFLayout="true" PreserveFormat="true">
    <DataBinding FileBinding="true" ConnectionID="693" DataBindingLoadMode="1"/>
  </Map>
  <Map ID="39645" Name="root_Map693" RootElement="root" SchemaID="Schema694" ShowImportExportValidationErrors="false" AutoFit="true" Append="false" PreserveSortAFLayout="true" PreserveFormat="true">
    <DataBinding FileBinding="true" ConnectionID="694" DataBindingLoadMode="1"/>
  </Map>
  <Map ID="39679" Name="root_Map694" RootElement="root" SchemaID="Schema695" ShowImportExportValidationErrors="false" AutoFit="true" Append="false" PreserveSortAFLayout="true" PreserveFormat="true">
    <DataBinding FileBinding="true" ConnectionID="695" DataBindingLoadMode="1"/>
  </Map>
  <Map ID="39713" Name="root_Map695" RootElement="root" SchemaID="Schema696" ShowImportExportValidationErrors="false" AutoFit="true" Append="false" PreserveSortAFLayout="true" PreserveFormat="true">
    <DataBinding FileBinding="true" ConnectionID="696" DataBindingLoadMode="1"/>
  </Map>
  <Map ID="39747" Name="root_Map696" RootElement="root" SchemaID="Schema697" ShowImportExportValidationErrors="false" AutoFit="true" Append="false" PreserveSortAFLayout="true" PreserveFormat="true">
    <DataBinding FileBinding="true" ConnectionID="697" DataBindingLoadMode="1"/>
  </Map>
  <Map ID="39781" Name="root_Map697" RootElement="root" SchemaID="Schema698" ShowImportExportValidationErrors="false" AutoFit="true" Append="false" PreserveSortAFLayout="true" PreserveFormat="true">
    <DataBinding FileBinding="true" ConnectionID="698" DataBindingLoadMode="1"/>
  </Map>
  <Map ID="39815" Name="root_Map698" RootElement="root" SchemaID="Schema699" ShowImportExportValidationErrors="false" AutoFit="true" Append="false" PreserveSortAFLayout="true" PreserveFormat="true">
    <DataBinding FileBinding="true" ConnectionID="699" DataBindingLoadMode="1"/>
  </Map>
  <Map ID="39849" Name="root_Map699" RootElement="root" SchemaID="Schema700" ShowImportExportValidationErrors="false" AutoFit="true" Append="false" PreserveSortAFLayout="true" PreserveFormat="true">
    <DataBinding FileBinding="true" ConnectionID="700" DataBindingLoadMode="1"/>
  </Map>
  <Map ID="8" Name="root_Map7" RootElement="root" SchemaID="Schema8" ShowImportExportValidationErrors="false" AutoFit="true" Append="false" PreserveSortAFLayout="true" PreserveFormat="true">
    <DataBinding FileBinding="true" ConnectionID="24" DataBindingLoadMode="1"/>
  </Map>
  <Map ID="237" Name="root_Map70" RootElement="root" SchemaID="Schema71" ShowImportExportValidationErrors="false" AutoFit="true" Append="false" PreserveSortAFLayout="true" PreserveFormat="true">
    <DataBinding FileBinding="true" ConnectionID="71" DataBindingLoadMode="1"/>
  </Map>
  <Map ID="39883" Name="root_Map700" RootElement="root" SchemaID="Schema701" ShowImportExportValidationErrors="false" AutoFit="true" Append="false" PreserveSortAFLayout="true" PreserveFormat="true">
    <DataBinding FileBinding="true" ConnectionID="701" DataBindingLoadMode="1"/>
  </Map>
  <Map ID="39915" Name="root_Map701" RootElement="root" SchemaID="Schema702" ShowImportExportValidationErrors="false" AutoFit="true" Append="false" PreserveSortAFLayout="true" PreserveFormat="true">
    <DataBinding FileBinding="true" ConnectionID="702" DataBindingLoadMode="1"/>
  </Map>
  <Map ID="39947" Name="root_Map702" RootElement="root" SchemaID="Schema703" ShowImportExportValidationErrors="false" AutoFit="true" Append="false" PreserveSortAFLayout="true" PreserveFormat="true">
    <DataBinding FileBinding="true" ConnectionID="703" DataBindingLoadMode="1"/>
  </Map>
  <Map ID="39979" Name="root_Map703" RootElement="root" SchemaID="Schema704" ShowImportExportValidationErrors="false" AutoFit="true" Append="false" PreserveSortAFLayout="true" PreserveFormat="true">
    <DataBinding FileBinding="true" ConnectionID="704" DataBindingLoadMode="1"/>
  </Map>
  <Map ID="40011" Name="root_Map704" RootElement="root" SchemaID="Schema705" ShowImportExportValidationErrors="false" AutoFit="true" Append="false" PreserveSortAFLayout="true" PreserveFormat="true">
    <DataBinding FileBinding="true" ConnectionID="705" DataBindingLoadMode="1"/>
  </Map>
  <Map ID="40043" Name="root_Map705" RootElement="root" SchemaID="Schema706" ShowImportExportValidationErrors="false" AutoFit="true" Append="false" PreserveSortAFLayout="true" PreserveFormat="true">
    <DataBinding FileBinding="true" ConnectionID="706" DataBindingLoadMode="1"/>
  </Map>
  <Map ID="40075" Name="root_Map706" RootElement="root" SchemaID="Schema707" ShowImportExportValidationErrors="false" AutoFit="true" Append="false" PreserveSortAFLayout="true" PreserveFormat="true">
    <DataBinding FileBinding="true" ConnectionID="707" DataBindingLoadMode="1"/>
  </Map>
  <Map ID="40107" Name="root_Map707" RootElement="root" SchemaID="Schema708" ShowImportExportValidationErrors="false" AutoFit="true" Append="false" PreserveSortAFLayout="true" PreserveFormat="true">
    <DataBinding FileBinding="true" ConnectionID="708" DataBindingLoadMode="1"/>
  </Map>
  <Map ID="40139" Name="root_Map708" RootElement="root" SchemaID="Schema709" ShowImportExportValidationErrors="false" AutoFit="true" Append="false" PreserveSortAFLayout="true" PreserveFormat="true">
    <DataBinding FileBinding="true" ConnectionID="709" DataBindingLoadMode="1"/>
  </Map>
  <Map ID="40171" Name="root_Map709" RootElement="root" SchemaID="Schema710" ShowImportExportValidationErrors="false" AutoFit="true" Append="false" PreserveSortAFLayout="true" PreserveFormat="true">
    <DataBinding FileBinding="true" ConnectionID="710" DataBindingLoadMode="1"/>
  </Map>
  <Map ID="240" Name="root_Map71" RootElement="root" SchemaID="Schema72" ShowImportExportValidationErrors="false" AutoFit="true" Append="false" PreserveSortAFLayout="true" PreserveFormat="true">
    <DataBinding FileBinding="true" ConnectionID="72" DataBindingLoadMode="1"/>
  </Map>
  <Map ID="40203" Name="root_Map710" RootElement="root" SchemaID="Schema711" ShowImportExportValidationErrors="false" AutoFit="true" Append="false" PreserveSortAFLayout="true" PreserveFormat="true">
    <DataBinding FileBinding="true" ConnectionID="711" DataBindingLoadMode="1"/>
  </Map>
  <Map ID="40234" Name="root_Map711" RootElement="root" SchemaID="Schema712" ShowImportExportValidationErrors="false" AutoFit="true" Append="false" PreserveSortAFLayout="true" PreserveFormat="true">
    <DataBinding FileBinding="true" ConnectionID="712" DataBindingLoadMode="1"/>
  </Map>
  <Map ID="40265" Name="root_Map712" RootElement="root" SchemaID="Schema713" ShowImportExportValidationErrors="false" AutoFit="true" Append="false" PreserveSortAFLayout="true" PreserveFormat="true">
    <DataBinding FileBinding="true" ConnectionID="713" DataBindingLoadMode="1"/>
  </Map>
  <Map ID="40296" Name="root_Map713" RootElement="root" SchemaID="Schema714" ShowImportExportValidationErrors="false" AutoFit="true" Append="false" PreserveSortAFLayout="true" PreserveFormat="true">
    <DataBinding FileBinding="true" ConnectionID="714" DataBindingLoadMode="1"/>
  </Map>
  <Map ID="40327" Name="root_Map714" RootElement="root" SchemaID="Schema715" ShowImportExportValidationErrors="false" AutoFit="true" Append="false" PreserveSortAFLayout="true" PreserveFormat="true">
    <DataBinding FileBinding="true" ConnectionID="715" DataBindingLoadMode="1"/>
  </Map>
  <Map ID="40358" Name="root_Map715" RootElement="root" SchemaID="Schema716" ShowImportExportValidationErrors="false" AutoFit="true" Append="false" PreserveSortAFLayout="true" PreserveFormat="true">
    <DataBinding FileBinding="true" ConnectionID="716" DataBindingLoadMode="1"/>
  </Map>
  <Map ID="40389" Name="root_Map716" RootElement="root" SchemaID="Schema717" ShowImportExportValidationErrors="false" AutoFit="true" Append="false" PreserveSortAFLayout="true" PreserveFormat="true">
    <DataBinding FileBinding="true" ConnectionID="717" DataBindingLoadMode="1"/>
  </Map>
  <Map ID="40420" Name="root_Map717" RootElement="root" SchemaID="Schema718" ShowImportExportValidationErrors="false" AutoFit="true" Append="false" PreserveSortAFLayout="true" PreserveFormat="true">
    <DataBinding FileBinding="true" ConnectionID="718" DataBindingLoadMode="1"/>
  </Map>
  <Map ID="40451" Name="root_Map718" RootElement="root" SchemaID="Schema719" ShowImportExportValidationErrors="false" AutoFit="true" Append="false" PreserveSortAFLayout="true" PreserveFormat="true">
    <DataBinding FileBinding="true" ConnectionID="719" DataBindingLoadMode="1"/>
  </Map>
  <Map ID="40482" Name="root_Map719" RootElement="root" SchemaID="Schema720" ShowImportExportValidationErrors="false" AutoFit="true" Append="false" PreserveSortAFLayout="true" PreserveFormat="true">
    <DataBinding FileBinding="true" ConnectionID="720" DataBindingLoadMode="1"/>
  </Map>
  <Map ID="243" Name="root_Map72" RootElement="root" SchemaID="Schema73" ShowImportExportValidationErrors="false" AutoFit="true" Append="false" PreserveSortAFLayout="true" PreserveFormat="true">
    <DataBinding FileBinding="true" ConnectionID="73" DataBindingLoadMode="1"/>
  </Map>
  <Map ID="40513" Name="root_Map720" RootElement="root" SchemaID="Schema721" ShowImportExportValidationErrors="false" AutoFit="true" Append="false" PreserveSortAFLayout="true" PreserveFormat="true">
    <DataBinding FileBinding="true" ConnectionID="721" DataBindingLoadMode="1"/>
  </Map>
  <Map ID="40543" Name="root_Map721" RootElement="root" SchemaID="Schema722" ShowImportExportValidationErrors="false" AutoFit="true" Append="false" PreserveSortAFLayout="true" PreserveFormat="true">
    <DataBinding FileBinding="true" ConnectionID="722" DataBindingLoadMode="1"/>
  </Map>
  <Map ID="40573" Name="root_Map722" RootElement="root" SchemaID="Schema723" ShowImportExportValidationErrors="false" AutoFit="true" Append="false" PreserveSortAFLayout="true" PreserveFormat="true">
    <DataBinding FileBinding="true" ConnectionID="723" DataBindingLoadMode="1"/>
  </Map>
  <Map ID="40603" Name="root_Map723" RootElement="root" SchemaID="Schema724" ShowImportExportValidationErrors="false" AutoFit="true" Append="false" PreserveSortAFLayout="true" PreserveFormat="true">
    <DataBinding FileBinding="true" ConnectionID="724" DataBindingLoadMode="1"/>
  </Map>
  <Map ID="40633" Name="root_Map724" RootElement="root" SchemaID="Schema725" ShowImportExportValidationErrors="false" AutoFit="true" Append="false" PreserveSortAFLayout="true" PreserveFormat="true">
    <DataBinding FileBinding="true" ConnectionID="725" DataBindingLoadMode="1"/>
  </Map>
  <Map ID="40663" Name="root_Map725" RootElement="root" SchemaID="Schema726" ShowImportExportValidationErrors="false" AutoFit="true" Append="false" PreserveSortAFLayout="true" PreserveFormat="true">
    <DataBinding FileBinding="true" ConnectionID="726" DataBindingLoadMode="1"/>
  </Map>
  <Map ID="40693" Name="root_Map726" RootElement="root" SchemaID="Schema727" ShowImportExportValidationErrors="false" AutoFit="true" Append="false" PreserveSortAFLayout="true" PreserveFormat="true">
    <DataBinding FileBinding="true" ConnectionID="727" DataBindingLoadMode="1"/>
  </Map>
  <Map ID="40723" Name="root_Map727" RootElement="root" SchemaID="Schema728" ShowImportExportValidationErrors="false" AutoFit="true" Append="false" PreserveSortAFLayout="true" PreserveFormat="true">
    <DataBinding FileBinding="true" ConnectionID="728" DataBindingLoadMode="1"/>
  </Map>
  <Map ID="40753" Name="root_Map728" RootElement="root" SchemaID="Schema729" ShowImportExportValidationErrors="false" AutoFit="true" Append="false" PreserveSortAFLayout="true" PreserveFormat="true">
    <DataBinding FileBinding="true" ConnectionID="729" DataBindingLoadMode="1"/>
  </Map>
  <Map ID="40783" Name="root_Map729" RootElement="root" SchemaID="Schema730" ShowImportExportValidationErrors="false" AutoFit="true" Append="false" PreserveSortAFLayout="true" PreserveFormat="true">
    <DataBinding FileBinding="true" ConnectionID="730" DataBindingLoadMode="1"/>
  </Map>
  <Map ID="244" Name="root_Map73" RootElement="root" SchemaID="Schema74" ShowImportExportValidationErrors="false" AutoFit="true" Append="false" PreserveSortAFLayout="true" PreserveFormat="true">
    <DataBinding FileBinding="true" ConnectionID="74" DataBindingLoadMode="1"/>
  </Map>
  <Map ID="40813" Name="root_Map730" RootElement="root" SchemaID="Schema731" ShowImportExportValidationErrors="false" AutoFit="true" Append="false" PreserveSortAFLayout="true" PreserveFormat="true">
    <DataBinding FileBinding="true" ConnectionID="731" DataBindingLoadMode="1"/>
  </Map>
  <Map ID="40842" Name="root_Map731" RootElement="root" SchemaID="Schema732" ShowImportExportValidationErrors="false" AutoFit="true" Append="false" PreserveSortAFLayout="true" PreserveFormat="true">
    <DataBinding FileBinding="true" ConnectionID="732" DataBindingLoadMode="1"/>
  </Map>
  <Map ID="40871" Name="root_Map732" RootElement="root" SchemaID="Schema733" ShowImportExportValidationErrors="false" AutoFit="true" Append="false" PreserveSortAFLayout="true" PreserveFormat="true">
    <DataBinding FileBinding="true" ConnectionID="733" DataBindingLoadMode="1"/>
  </Map>
  <Map ID="40900" Name="root_Map733" RootElement="root" SchemaID="Schema734" ShowImportExportValidationErrors="false" AutoFit="true" Append="false" PreserveSortAFLayout="true" PreserveFormat="true">
    <DataBinding FileBinding="true" ConnectionID="734" DataBindingLoadMode="1"/>
  </Map>
  <Map ID="40929" Name="root_Map734" RootElement="root" SchemaID="Schema735" ShowImportExportValidationErrors="false" AutoFit="true" Append="false" PreserveSortAFLayout="true" PreserveFormat="true">
    <DataBinding FileBinding="true" ConnectionID="735" DataBindingLoadMode="1"/>
  </Map>
  <Map ID="40958" Name="root_Map735" RootElement="root" SchemaID="Schema736" ShowImportExportValidationErrors="false" AutoFit="true" Append="false" PreserveSortAFLayout="true" PreserveFormat="true">
    <DataBinding FileBinding="true" ConnectionID="736" DataBindingLoadMode="1"/>
  </Map>
  <Map ID="40987" Name="root_Map736" RootElement="root" SchemaID="Schema737" ShowImportExportValidationErrors="false" AutoFit="true" Append="false" PreserveSortAFLayout="true" PreserveFormat="true">
    <DataBinding FileBinding="true" ConnectionID="737" DataBindingLoadMode="1"/>
  </Map>
  <Map ID="41016" Name="root_Map737" RootElement="root" SchemaID="Schema738" ShowImportExportValidationErrors="false" AutoFit="true" Append="false" PreserveSortAFLayout="true" PreserveFormat="true">
    <DataBinding FileBinding="true" ConnectionID="738" DataBindingLoadMode="1"/>
  </Map>
  <Map ID="41045" Name="root_Map738" RootElement="root" SchemaID="Schema739" ShowImportExportValidationErrors="false" AutoFit="true" Append="false" PreserveSortAFLayout="true" PreserveFormat="true">
    <DataBinding FileBinding="true" ConnectionID="739" DataBindingLoadMode="1"/>
  </Map>
  <Map ID="41074" Name="root_Map739" RootElement="root" SchemaID="Schema740" ShowImportExportValidationErrors="false" AutoFit="true" Append="false" PreserveSortAFLayout="true" PreserveFormat="true">
    <DataBinding FileBinding="true" ConnectionID="740" DataBindingLoadMode="1"/>
  </Map>
  <Map ID="245" Name="root_Map74" RootElement="root" SchemaID="Schema75" ShowImportExportValidationErrors="false" AutoFit="true" Append="false" PreserveSortAFLayout="true" PreserveFormat="true">
    <DataBinding FileBinding="true" ConnectionID="75" DataBindingLoadMode="1"/>
  </Map>
  <Map ID="41103" Name="root_Map740" RootElement="root" SchemaID="Schema741" ShowImportExportValidationErrors="false" AutoFit="true" Append="false" PreserveSortAFLayout="true" PreserveFormat="true">
    <DataBinding FileBinding="true" ConnectionID="741" DataBindingLoadMode="1"/>
  </Map>
  <Map ID="41131" Name="root_Map741" RootElement="root" SchemaID="Schema742" ShowImportExportValidationErrors="false" AutoFit="true" Append="false" PreserveSortAFLayout="true" PreserveFormat="true">
    <DataBinding FileBinding="true" ConnectionID="742" DataBindingLoadMode="1"/>
  </Map>
  <Map ID="41159" Name="root_Map742" RootElement="root" SchemaID="Schema743" ShowImportExportValidationErrors="false" AutoFit="true" Append="false" PreserveSortAFLayout="true" PreserveFormat="true">
    <DataBinding FileBinding="true" ConnectionID="743" DataBindingLoadMode="1"/>
  </Map>
  <Map ID="41187" Name="root_Map743" RootElement="root" SchemaID="Schema744" ShowImportExportValidationErrors="false" AutoFit="true" Append="false" PreserveSortAFLayout="true" PreserveFormat="true">
    <DataBinding FileBinding="true" ConnectionID="744" DataBindingLoadMode="1"/>
  </Map>
  <Map ID="41215" Name="root_Map744" RootElement="root" SchemaID="Schema745" ShowImportExportValidationErrors="false" AutoFit="true" Append="false" PreserveSortAFLayout="true" PreserveFormat="true">
    <DataBinding FileBinding="true" ConnectionID="745" DataBindingLoadMode="1"/>
  </Map>
  <Map ID="41243" Name="root_Map745" RootElement="root" SchemaID="Schema746" ShowImportExportValidationErrors="false" AutoFit="true" Append="false" PreserveSortAFLayout="true" PreserveFormat="true">
    <DataBinding FileBinding="true" ConnectionID="746" DataBindingLoadMode="1"/>
  </Map>
  <Map ID="41271" Name="root_Map746" RootElement="root" SchemaID="Schema747" ShowImportExportValidationErrors="false" AutoFit="true" Append="false" PreserveSortAFLayout="true" PreserveFormat="true">
    <DataBinding FileBinding="true" ConnectionID="747" DataBindingLoadMode="1"/>
  </Map>
  <Map ID="41299" Name="root_Map747" RootElement="root" SchemaID="Schema748" ShowImportExportValidationErrors="false" AutoFit="true" Append="false" PreserveSortAFLayout="true" PreserveFormat="true">
    <DataBinding FileBinding="true" ConnectionID="748" DataBindingLoadMode="1"/>
  </Map>
  <Map ID="41327" Name="root_Map748" RootElement="root" SchemaID="Schema749" ShowImportExportValidationErrors="false" AutoFit="true" Append="false" PreserveSortAFLayout="true" PreserveFormat="true">
    <DataBinding FileBinding="true" ConnectionID="749" DataBindingLoadMode="1"/>
  </Map>
  <Map ID="41355" Name="root_Map749" RootElement="root" SchemaID="Schema750" ShowImportExportValidationErrors="false" AutoFit="true" Append="false" PreserveSortAFLayout="true" PreserveFormat="true">
    <DataBinding FileBinding="true" ConnectionID="750" DataBindingLoadMode="1"/>
  </Map>
  <Map ID="246" Name="root_Map75" RootElement="root" SchemaID="Schema76" ShowImportExportValidationErrors="false" AutoFit="true" Append="false" PreserveSortAFLayout="true" PreserveFormat="true">
    <DataBinding FileBinding="true" ConnectionID="76" DataBindingLoadMode="1"/>
  </Map>
  <Map ID="41383" Name="root_Map750" RootElement="root" SchemaID="Schema751" ShowImportExportValidationErrors="false" AutoFit="true" Append="false" PreserveSortAFLayout="true" PreserveFormat="true">
    <DataBinding FileBinding="true" ConnectionID="751" DataBindingLoadMode="1"/>
  </Map>
  <Map ID="41410" Name="root_Map751" RootElement="root" SchemaID="Schema752" ShowImportExportValidationErrors="false" AutoFit="true" Append="false" PreserveSortAFLayout="true" PreserveFormat="true">
    <DataBinding FileBinding="true" ConnectionID="752" DataBindingLoadMode="1"/>
  </Map>
  <Map ID="41437" Name="root_Map752" RootElement="root" SchemaID="Schema753" ShowImportExportValidationErrors="false" AutoFit="true" Append="false" PreserveSortAFLayout="true" PreserveFormat="true">
    <DataBinding FileBinding="true" ConnectionID="753" DataBindingLoadMode="1"/>
  </Map>
  <Map ID="41464" Name="root_Map753" RootElement="root" SchemaID="Schema754" ShowImportExportValidationErrors="false" AutoFit="true" Append="false" PreserveSortAFLayout="true" PreserveFormat="true">
    <DataBinding FileBinding="true" ConnectionID="754" DataBindingLoadMode="1"/>
  </Map>
  <Map ID="41491" Name="root_Map754" RootElement="root" SchemaID="Schema755" ShowImportExportValidationErrors="false" AutoFit="true" Append="false" PreserveSortAFLayout="true" PreserveFormat="true">
    <DataBinding FileBinding="true" ConnectionID="755" DataBindingLoadMode="1"/>
  </Map>
  <Map ID="41518" Name="root_Map755" RootElement="root" SchemaID="Schema756" ShowImportExportValidationErrors="false" AutoFit="true" Append="false" PreserveSortAFLayout="true" PreserveFormat="true">
    <DataBinding FileBinding="true" ConnectionID="756" DataBindingLoadMode="1"/>
  </Map>
  <Map ID="41545" Name="root_Map756" RootElement="root" SchemaID="Schema757" ShowImportExportValidationErrors="false" AutoFit="true" Append="false" PreserveSortAFLayout="true" PreserveFormat="true">
    <DataBinding FileBinding="true" ConnectionID="757" DataBindingLoadMode="1"/>
  </Map>
  <Map ID="41572" Name="root_Map757" RootElement="root" SchemaID="Schema758" ShowImportExportValidationErrors="false" AutoFit="true" Append="false" PreserveSortAFLayout="true" PreserveFormat="true">
    <DataBinding FileBinding="true" ConnectionID="758" DataBindingLoadMode="1"/>
  </Map>
  <Map ID="41599" Name="root_Map758" RootElement="root" SchemaID="Schema759" ShowImportExportValidationErrors="false" AutoFit="true" Append="false" PreserveSortAFLayout="true" PreserveFormat="true">
    <DataBinding FileBinding="true" ConnectionID="759" DataBindingLoadMode="1"/>
  </Map>
  <Map ID="41626" Name="root_Map759" RootElement="root" SchemaID="Schema760" ShowImportExportValidationErrors="false" AutoFit="true" Append="false" PreserveSortAFLayout="true" PreserveFormat="true">
    <DataBinding FileBinding="true" ConnectionID="760" DataBindingLoadMode="1"/>
  </Map>
  <Map ID="247" Name="root_Map76" RootElement="root" SchemaID="Schema77" ShowImportExportValidationErrors="false" AutoFit="true" Append="false" PreserveSortAFLayout="true" PreserveFormat="true">
    <DataBinding FileBinding="true" ConnectionID="77" DataBindingLoadMode="1"/>
  </Map>
  <Map ID="41653" Name="root_Map760" RootElement="root" SchemaID="Schema761" ShowImportExportValidationErrors="false" AutoFit="true" Append="false" PreserveSortAFLayout="true" PreserveFormat="true">
    <DataBinding FileBinding="true" ConnectionID="761" DataBindingLoadMode="1"/>
  </Map>
  <Map ID="41679" Name="root_Map761" RootElement="root" SchemaID="Schema762" ShowImportExportValidationErrors="false" AutoFit="true" Append="false" PreserveSortAFLayout="true" PreserveFormat="true">
    <DataBinding FileBinding="true" ConnectionID="762" DataBindingLoadMode="1"/>
  </Map>
  <Map ID="41705" Name="root_Map762" RootElement="root" SchemaID="Schema763" ShowImportExportValidationErrors="false" AutoFit="true" Append="false" PreserveSortAFLayout="true" PreserveFormat="true">
    <DataBinding FileBinding="true" ConnectionID="763" DataBindingLoadMode="1"/>
  </Map>
  <Map ID="41731" Name="root_Map763" RootElement="root" SchemaID="Schema764" ShowImportExportValidationErrors="false" AutoFit="true" Append="false" PreserveSortAFLayout="true" PreserveFormat="true">
    <DataBinding FileBinding="true" ConnectionID="764" DataBindingLoadMode="1"/>
  </Map>
  <Map ID="41757" Name="root_Map764" RootElement="root" SchemaID="Schema765" ShowImportExportValidationErrors="false" AutoFit="true" Append="false" PreserveSortAFLayout="true" PreserveFormat="true">
    <DataBinding FileBinding="true" ConnectionID="765" DataBindingLoadMode="1"/>
  </Map>
  <Map ID="41783" Name="root_Map765" RootElement="root" SchemaID="Schema766" ShowImportExportValidationErrors="false" AutoFit="true" Append="false" PreserveSortAFLayout="true" PreserveFormat="true">
    <DataBinding FileBinding="true" ConnectionID="766" DataBindingLoadMode="1"/>
  </Map>
  <Map ID="41809" Name="root_Map766" RootElement="root" SchemaID="Schema767" ShowImportExportValidationErrors="false" AutoFit="true" Append="false" PreserveSortAFLayout="true" PreserveFormat="true">
    <DataBinding FileBinding="true" ConnectionID="767" DataBindingLoadMode="1"/>
  </Map>
  <Map ID="41835" Name="root_Map767" RootElement="root" SchemaID="Schema768" ShowImportExportValidationErrors="false" AutoFit="true" Append="false" PreserveSortAFLayout="true" PreserveFormat="true">
    <DataBinding FileBinding="true" ConnectionID="768" DataBindingLoadMode="1"/>
  </Map>
  <Map ID="41861" Name="root_Map768" RootElement="root" SchemaID="Schema769" ShowImportExportValidationErrors="false" AutoFit="true" Append="false" PreserveSortAFLayout="true" PreserveFormat="true">
    <DataBinding FileBinding="true" ConnectionID="769" DataBindingLoadMode="1"/>
  </Map>
  <Map ID="41887" Name="root_Map769" RootElement="root" SchemaID="Schema770" ShowImportExportValidationErrors="false" AutoFit="true" Append="false" PreserveSortAFLayout="true" PreserveFormat="true">
    <DataBinding FileBinding="true" ConnectionID="770" DataBindingLoadMode="1"/>
  </Map>
  <Map ID="248" Name="root_Map77" RootElement="root" SchemaID="Schema78" ShowImportExportValidationErrors="false" AutoFit="true" Append="false" PreserveSortAFLayout="true" PreserveFormat="true">
    <DataBinding FileBinding="true" ConnectionID="78" DataBindingLoadMode="1"/>
  </Map>
  <Map ID="41913" Name="root_Map770" RootElement="root" SchemaID="Schema771" ShowImportExportValidationErrors="false" AutoFit="true" Append="false" PreserveSortAFLayout="true" PreserveFormat="true">
    <DataBinding FileBinding="true" ConnectionID="771" DataBindingLoadMode="1"/>
  </Map>
  <Map ID="41938" Name="root_Map771" RootElement="root" SchemaID="Schema772" ShowImportExportValidationErrors="false" AutoFit="true" Append="false" PreserveSortAFLayout="true" PreserveFormat="true">
    <DataBinding FileBinding="true" ConnectionID="772" DataBindingLoadMode="1"/>
  </Map>
  <Map ID="41963" Name="root_Map772" RootElement="root" SchemaID="Schema773" ShowImportExportValidationErrors="false" AutoFit="true" Append="false" PreserveSortAFLayout="true" PreserveFormat="true">
    <DataBinding FileBinding="true" ConnectionID="773" DataBindingLoadMode="1"/>
  </Map>
  <Map ID="41988" Name="root_Map773" RootElement="root" SchemaID="Schema774" ShowImportExportValidationErrors="false" AutoFit="true" Append="false" PreserveSortAFLayout="true" PreserveFormat="true">
    <DataBinding FileBinding="true" ConnectionID="774" DataBindingLoadMode="1"/>
  </Map>
  <Map ID="42013" Name="root_Map774" RootElement="root" SchemaID="Schema775" ShowImportExportValidationErrors="false" AutoFit="true" Append="false" PreserveSortAFLayout="true" PreserveFormat="true">
    <DataBinding FileBinding="true" ConnectionID="775" DataBindingLoadMode="1"/>
  </Map>
  <Map ID="42038" Name="root_Map775" RootElement="root" SchemaID="Schema776" ShowImportExportValidationErrors="false" AutoFit="true" Append="false" PreserveSortAFLayout="true" PreserveFormat="true">
    <DataBinding FileBinding="true" ConnectionID="776" DataBindingLoadMode="1"/>
  </Map>
  <Map ID="42063" Name="root_Map776" RootElement="root" SchemaID="Schema777" ShowImportExportValidationErrors="false" AutoFit="true" Append="false" PreserveSortAFLayout="true" PreserveFormat="true">
    <DataBinding FileBinding="true" ConnectionID="777" DataBindingLoadMode="1"/>
  </Map>
  <Map ID="42088" Name="root_Map777" RootElement="root" SchemaID="Schema778" ShowImportExportValidationErrors="false" AutoFit="true" Append="false" PreserveSortAFLayout="true" PreserveFormat="true">
    <DataBinding FileBinding="true" ConnectionID="778" DataBindingLoadMode="1"/>
  </Map>
  <Map ID="42113" Name="root_Map778" RootElement="root" SchemaID="Schema779" ShowImportExportValidationErrors="false" AutoFit="true" Append="false" PreserveSortAFLayout="true" PreserveFormat="true">
    <DataBinding FileBinding="true" ConnectionID="779" DataBindingLoadMode="1"/>
  </Map>
  <Map ID="42138" Name="root_Map779" RootElement="root" SchemaID="Schema780" ShowImportExportValidationErrors="false" AutoFit="true" Append="false" PreserveSortAFLayout="true" PreserveFormat="true">
    <DataBinding FileBinding="true" ConnectionID="780" DataBindingLoadMode="1"/>
  </Map>
  <Map ID="249" Name="root_Map78" RootElement="root" SchemaID="Schema79" ShowImportExportValidationErrors="false" AutoFit="true" Append="false" PreserveSortAFLayout="true" PreserveFormat="true">
    <DataBinding FileBinding="true" ConnectionID="79" DataBindingLoadMode="1"/>
  </Map>
  <Map ID="42163" Name="root_Map780" RootElement="root" SchemaID="Schema781" ShowImportExportValidationErrors="false" AutoFit="true" Append="false" PreserveSortAFLayout="true" PreserveFormat="true">
    <DataBinding FileBinding="true" ConnectionID="781" DataBindingLoadMode="1"/>
  </Map>
  <Map ID="42187" Name="root_Map781" RootElement="root" SchemaID="Schema782" ShowImportExportValidationErrors="false" AutoFit="true" Append="false" PreserveSortAFLayout="true" PreserveFormat="true">
    <DataBinding FileBinding="true" ConnectionID="782" DataBindingLoadMode="1"/>
  </Map>
  <Map ID="42211" Name="root_Map782" RootElement="root" SchemaID="Schema783" ShowImportExportValidationErrors="false" AutoFit="true" Append="false" PreserveSortAFLayout="true" PreserveFormat="true">
    <DataBinding FileBinding="true" ConnectionID="783" DataBindingLoadMode="1"/>
  </Map>
  <Map ID="42235" Name="root_Map783" RootElement="root" SchemaID="Schema784" ShowImportExportValidationErrors="false" AutoFit="true" Append="false" PreserveSortAFLayout="true" PreserveFormat="true">
    <DataBinding FileBinding="true" ConnectionID="784" DataBindingLoadMode="1"/>
  </Map>
  <Map ID="42259" Name="root_Map784" RootElement="root" SchemaID="Schema785" ShowImportExportValidationErrors="false" AutoFit="true" Append="false" PreserveSortAFLayout="true" PreserveFormat="true">
    <DataBinding FileBinding="true" ConnectionID="785" DataBindingLoadMode="1"/>
  </Map>
  <Map ID="42283" Name="root_Map785" RootElement="root" SchemaID="Schema786" ShowImportExportValidationErrors="false" AutoFit="true" Append="false" PreserveSortAFLayout="true" PreserveFormat="true">
    <DataBinding FileBinding="true" ConnectionID="786" DataBindingLoadMode="1"/>
  </Map>
  <Map ID="42307" Name="root_Map786" RootElement="root" SchemaID="Schema787" ShowImportExportValidationErrors="false" AutoFit="true" Append="false" PreserveSortAFLayout="true" PreserveFormat="true">
    <DataBinding FileBinding="true" ConnectionID="787" DataBindingLoadMode="1"/>
  </Map>
  <Map ID="42331" Name="root_Map787" RootElement="root" SchemaID="Schema788" ShowImportExportValidationErrors="false" AutoFit="true" Append="false" PreserveSortAFLayout="true" PreserveFormat="true">
    <DataBinding FileBinding="true" ConnectionID="788" DataBindingLoadMode="1"/>
  </Map>
  <Map ID="42355" Name="root_Map788" RootElement="root" SchemaID="Schema789" ShowImportExportValidationErrors="false" AutoFit="true" Append="false" PreserveSortAFLayout="true" PreserveFormat="true">
    <DataBinding FileBinding="true" ConnectionID="789" DataBindingLoadMode="1"/>
  </Map>
  <Map ID="42379" Name="root_Map789" RootElement="root" SchemaID="Schema790" ShowImportExportValidationErrors="false" AutoFit="true" Append="false" PreserveSortAFLayout="true" PreserveFormat="true">
    <DataBinding FileBinding="true" ConnectionID="790" DataBindingLoadMode="1"/>
  </Map>
  <Map ID="250" Name="root_Map79" RootElement="root" SchemaID="Schema80" ShowImportExportValidationErrors="false" AutoFit="true" Append="false" PreserveSortAFLayout="true" PreserveFormat="true">
    <DataBinding FileBinding="true" ConnectionID="80" DataBindingLoadMode="1"/>
  </Map>
  <Map ID="42403" Name="root_Map790" RootElement="root" SchemaID="Schema791" ShowImportExportValidationErrors="false" AutoFit="true" Append="false" PreserveSortAFLayout="true" PreserveFormat="true">
    <DataBinding FileBinding="true" ConnectionID="791" DataBindingLoadMode="1"/>
  </Map>
  <Map ID="42426" Name="root_Map791" RootElement="root" SchemaID="Schema792" ShowImportExportValidationErrors="false" AutoFit="true" Append="false" PreserveSortAFLayout="true" PreserveFormat="true">
    <DataBinding FileBinding="true" ConnectionID="792" DataBindingLoadMode="1"/>
  </Map>
  <Map ID="42449" Name="root_Map792" RootElement="root" SchemaID="Schema793" ShowImportExportValidationErrors="false" AutoFit="true" Append="false" PreserveSortAFLayout="true" PreserveFormat="true">
    <DataBinding FileBinding="true" ConnectionID="793" DataBindingLoadMode="1"/>
  </Map>
  <Map ID="42472" Name="root_Map793" RootElement="root" SchemaID="Schema794" ShowImportExportValidationErrors="false" AutoFit="true" Append="false" PreserveSortAFLayout="true" PreserveFormat="true">
    <DataBinding FileBinding="true" ConnectionID="794" DataBindingLoadMode="1"/>
  </Map>
  <Map ID="42495" Name="root_Map794" RootElement="root" SchemaID="Schema795" ShowImportExportValidationErrors="false" AutoFit="true" Append="false" PreserveSortAFLayout="true" PreserveFormat="true">
    <DataBinding FileBinding="true" ConnectionID="795" DataBindingLoadMode="1"/>
  </Map>
  <Map ID="42518" Name="root_Map795" RootElement="root" SchemaID="Schema796" ShowImportExportValidationErrors="false" AutoFit="true" Append="false" PreserveSortAFLayout="true" PreserveFormat="true">
    <DataBinding FileBinding="true" ConnectionID="796" DataBindingLoadMode="1"/>
  </Map>
  <Map ID="42541" Name="root_Map796" RootElement="root" SchemaID="Schema797" ShowImportExportValidationErrors="false" AutoFit="true" Append="false" PreserveSortAFLayout="true" PreserveFormat="true">
    <DataBinding FileBinding="true" ConnectionID="797" DataBindingLoadMode="1"/>
  </Map>
  <Map ID="42564" Name="root_Map797" RootElement="root" SchemaID="Schema798" ShowImportExportValidationErrors="false" AutoFit="true" Append="false" PreserveSortAFLayout="true" PreserveFormat="true">
    <DataBinding FileBinding="true" ConnectionID="798" DataBindingLoadMode="1"/>
  </Map>
  <Map ID="42587" Name="root_Map798" RootElement="root" SchemaID="Schema799" ShowImportExportValidationErrors="false" AutoFit="true" Append="false" PreserveSortAFLayout="true" PreserveFormat="true">
    <DataBinding FileBinding="true" ConnectionID="799" DataBindingLoadMode="1"/>
  </Map>
  <Map ID="42610" Name="root_Map799" RootElement="root" SchemaID="Schema800" ShowImportExportValidationErrors="false" AutoFit="true" Append="false" PreserveSortAFLayout="true" PreserveFormat="true">
    <DataBinding FileBinding="true" ConnectionID="800" DataBindingLoadMode="1"/>
  </Map>
  <Map ID="9" Name="root_Map8" RootElement="root" SchemaID="Schema9" ShowImportExportValidationErrors="false" AutoFit="true" Append="false" PreserveSortAFLayout="true" PreserveFormat="true">
    <DataBinding FileBinding="true" ConnectionID="25" DataBindingLoadMode="1"/>
  </Map>
  <Map ID="253" Name="root_Map80" RootElement="root" SchemaID="Schema81" ShowImportExportValidationErrors="false" AutoFit="true" Append="false" PreserveSortAFLayout="true" PreserveFormat="true">
    <DataBinding FileBinding="true" ConnectionID="81" DataBindingLoadMode="1"/>
  </Map>
  <Map ID="42633" Name="root_Map800" RootElement="root" SchemaID="Schema801" ShowImportExportValidationErrors="false" AutoFit="true" Append="false" PreserveSortAFLayout="true" PreserveFormat="true">
    <DataBinding FileBinding="true" ConnectionID="801" DataBindingLoadMode="1"/>
  </Map>
  <Map ID="42654" Name="root_Map801" RootElement="root" SchemaID="Schema802" ShowImportExportValidationErrors="false" AutoFit="true" Append="false" PreserveSortAFLayout="true" PreserveFormat="true">
    <DataBinding FileBinding="true" ConnectionID="802" DataBindingLoadMode="1"/>
  </Map>
  <Map ID="42675" Name="root_Map802" RootElement="root" SchemaID="Schema803" ShowImportExportValidationErrors="false" AutoFit="true" Append="false" PreserveSortAFLayout="true" PreserveFormat="true">
    <DataBinding FileBinding="true" ConnectionID="803" DataBindingLoadMode="1"/>
  </Map>
  <Map ID="42696" Name="root_Map803" RootElement="root" SchemaID="Schema804" ShowImportExportValidationErrors="false" AutoFit="true" Append="false" PreserveSortAFLayout="true" PreserveFormat="true">
    <DataBinding FileBinding="true" ConnectionID="804" DataBindingLoadMode="1"/>
  </Map>
  <Map ID="42717" Name="root_Map804" RootElement="root" SchemaID="Schema805" ShowImportExportValidationErrors="false" AutoFit="true" Append="false" PreserveSortAFLayout="true" PreserveFormat="true">
    <DataBinding FileBinding="true" ConnectionID="805" DataBindingLoadMode="1"/>
  </Map>
  <Map ID="42738" Name="root_Map805" RootElement="root" SchemaID="Schema806" ShowImportExportValidationErrors="false" AutoFit="true" Append="false" PreserveSortAFLayout="true" PreserveFormat="true">
    <DataBinding FileBinding="true" ConnectionID="806" DataBindingLoadMode="1"/>
  </Map>
  <Map ID="42759" Name="root_Map806" RootElement="root" SchemaID="Schema807" ShowImportExportValidationErrors="false" AutoFit="true" Append="false" PreserveSortAFLayout="true" PreserveFormat="true">
    <DataBinding FileBinding="true" ConnectionID="807" DataBindingLoadMode="1"/>
  </Map>
  <Map ID="42780" Name="root_Map807" RootElement="root" SchemaID="Schema808" ShowImportExportValidationErrors="false" AutoFit="true" Append="false" PreserveSortAFLayout="true" PreserveFormat="true">
    <DataBinding FileBinding="true" ConnectionID="808" DataBindingLoadMode="1"/>
  </Map>
  <Map ID="42801" Name="root_Map808" RootElement="root" SchemaID="Schema809" ShowImportExportValidationErrors="false" AutoFit="true" Append="false" PreserveSortAFLayout="true" PreserveFormat="true">
    <DataBinding FileBinding="true" ConnectionID="809" DataBindingLoadMode="1"/>
  </Map>
  <Map ID="42822" Name="root_Map809" RootElement="root" SchemaID="Schema810" ShowImportExportValidationErrors="false" AutoFit="true" Append="false" PreserveSortAFLayout="true" PreserveFormat="true">
    <DataBinding FileBinding="true" ConnectionID="810" DataBindingLoadMode="1"/>
  </Map>
  <Map ID="255" Name="root_Map81" RootElement="root" SchemaID="Schema82" ShowImportExportValidationErrors="false" AutoFit="true" Append="false" PreserveSortAFLayout="true" PreserveFormat="true">
    <DataBinding FileBinding="true" ConnectionID="82" DataBindingLoadMode="1"/>
  </Map>
  <Map ID="42843" Name="root_Map810" RootElement="root" SchemaID="Schema811" ShowImportExportValidationErrors="false" AutoFit="true" Append="false" PreserveSortAFLayout="true" PreserveFormat="true">
    <DataBinding FileBinding="true" ConnectionID="811" DataBindingLoadMode="1"/>
  </Map>
  <Map ID="42863" Name="root_Map811" RootElement="root" SchemaID="Schema812" ShowImportExportValidationErrors="false" AutoFit="true" Append="false" PreserveSortAFLayout="true" PreserveFormat="true">
    <DataBinding FileBinding="true" ConnectionID="812" DataBindingLoadMode="1"/>
  </Map>
  <Map ID="42883" Name="root_Map812" RootElement="root" SchemaID="Schema813" ShowImportExportValidationErrors="false" AutoFit="true" Append="false" PreserveSortAFLayout="true" PreserveFormat="true">
    <DataBinding FileBinding="true" ConnectionID="813" DataBindingLoadMode="1"/>
  </Map>
  <Map ID="42903" Name="root_Map813" RootElement="root" SchemaID="Schema814" ShowImportExportValidationErrors="false" AutoFit="true" Append="false" PreserveSortAFLayout="true" PreserveFormat="true">
    <DataBinding FileBinding="true" ConnectionID="814" DataBindingLoadMode="1"/>
  </Map>
  <Map ID="42923" Name="root_Map814" RootElement="root" SchemaID="Schema815" ShowImportExportValidationErrors="false" AutoFit="true" Append="false" PreserveSortAFLayout="true" PreserveFormat="true">
    <DataBinding FileBinding="true" ConnectionID="815" DataBindingLoadMode="1"/>
  </Map>
  <Map ID="42943" Name="root_Map815" RootElement="root" SchemaID="Schema816" ShowImportExportValidationErrors="false" AutoFit="true" Append="false" PreserveSortAFLayout="true" PreserveFormat="true">
    <DataBinding FileBinding="true" ConnectionID="816" DataBindingLoadMode="1"/>
  </Map>
  <Map ID="42963" Name="root_Map816" RootElement="root" SchemaID="Schema817" ShowImportExportValidationErrors="false" AutoFit="true" Append="false" PreserveSortAFLayout="true" PreserveFormat="true">
    <DataBinding FileBinding="true" ConnectionID="817" DataBindingLoadMode="1"/>
  </Map>
  <Map ID="42983" Name="root_Map817" RootElement="root" SchemaID="Schema818" ShowImportExportValidationErrors="false" AutoFit="true" Append="false" PreserveSortAFLayout="true" PreserveFormat="true">
    <DataBinding FileBinding="true" ConnectionID="818" DataBindingLoadMode="1"/>
  </Map>
  <Map ID="43003" Name="root_Map818" RootElement="root" SchemaID="Schema819" ShowImportExportValidationErrors="false" AutoFit="true" Append="false" PreserveSortAFLayout="true" PreserveFormat="true">
    <DataBinding FileBinding="true" ConnectionID="819" DataBindingLoadMode="1"/>
  </Map>
  <Map ID="43023" Name="root_Map819" RootElement="root" SchemaID="Schema820" ShowImportExportValidationErrors="false" AutoFit="true" Append="false" PreserveSortAFLayout="true" PreserveFormat="true">
    <DataBinding FileBinding="true" ConnectionID="820" DataBindingLoadMode="1"/>
  </Map>
  <Map ID="257" Name="root_Map82" RootElement="root" SchemaID="Schema83" ShowImportExportValidationErrors="false" AutoFit="true" Append="false" PreserveSortAFLayout="true" PreserveFormat="true">
    <DataBinding FileBinding="true" ConnectionID="83" DataBindingLoadMode="1"/>
  </Map>
  <Map ID="43043" Name="root_Map820" RootElement="root" SchemaID="Schema821" ShowImportExportValidationErrors="false" AutoFit="true" Append="false" PreserveSortAFLayout="true" PreserveFormat="true">
    <DataBinding FileBinding="true" ConnectionID="821" DataBindingLoadMode="1"/>
  </Map>
  <Map ID="43062" Name="root_Map821" RootElement="root" SchemaID="Schema822" ShowImportExportValidationErrors="false" AutoFit="true" Append="false" PreserveSortAFLayout="true" PreserveFormat="true">
    <DataBinding FileBinding="true" ConnectionID="822" DataBindingLoadMode="1"/>
  </Map>
  <Map ID="43081" Name="root_Map822" RootElement="root" SchemaID="Schema823" ShowImportExportValidationErrors="false" AutoFit="true" Append="false" PreserveSortAFLayout="true" PreserveFormat="true">
    <DataBinding FileBinding="true" ConnectionID="823" DataBindingLoadMode="1"/>
  </Map>
  <Map ID="43100" Name="root_Map823" RootElement="root" SchemaID="Schema824" ShowImportExportValidationErrors="false" AutoFit="true" Append="false" PreserveSortAFLayout="true" PreserveFormat="true">
    <DataBinding FileBinding="true" ConnectionID="824" DataBindingLoadMode="1"/>
  </Map>
  <Map ID="43119" Name="root_Map824" RootElement="root" SchemaID="Schema825" ShowImportExportValidationErrors="false" AutoFit="true" Append="false" PreserveSortAFLayout="true" PreserveFormat="true">
    <DataBinding FileBinding="true" ConnectionID="825" DataBindingLoadMode="1"/>
  </Map>
  <Map ID="43138" Name="root_Map825" RootElement="root" SchemaID="Schema826" ShowImportExportValidationErrors="false" AutoFit="true" Append="false" PreserveSortAFLayout="true" PreserveFormat="true">
    <DataBinding FileBinding="true" ConnectionID="826" DataBindingLoadMode="1"/>
  </Map>
  <Map ID="43157" Name="root_Map826" RootElement="root" SchemaID="Schema827" ShowImportExportValidationErrors="false" AutoFit="true" Append="false" PreserveSortAFLayout="true" PreserveFormat="true">
    <DataBinding FileBinding="true" ConnectionID="827" DataBindingLoadMode="1"/>
  </Map>
  <Map ID="43176" Name="root_Map827" RootElement="root" SchemaID="Schema828" ShowImportExportValidationErrors="false" AutoFit="true" Append="false" PreserveSortAFLayout="true" PreserveFormat="true">
    <DataBinding FileBinding="true" ConnectionID="828" DataBindingLoadMode="1"/>
  </Map>
  <Map ID="43195" Name="root_Map828" RootElement="root" SchemaID="Schema829" ShowImportExportValidationErrors="false" AutoFit="true" Append="false" PreserveSortAFLayout="true" PreserveFormat="true">
    <DataBinding FileBinding="true" ConnectionID="829" DataBindingLoadMode="1"/>
  </Map>
  <Map ID="43214" Name="root_Map829" RootElement="root" SchemaID="Schema830" ShowImportExportValidationErrors="false" AutoFit="true" Append="false" PreserveSortAFLayout="true" PreserveFormat="true">
    <DataBinding FileBinding="true" ConnectionID="830" DataBindingLoadMode="1"/>
  </Map>
  <Map ID="259" Name="root_Map83" RootElement="root" SchemaID="Schema84" ShowImportExportValidationErrors="false" AutoFit="true" Append="false" PreserveSortAFLayout="true" PreserveFormat="true">
    <DataBinding FileBinding="true" ConnectionID="84" DataBindingLoadMode="1"/>
  </Map>
  <Map ID="43233" Name="root_Map830" RootElement="root" SchemaID="Schema831" ShowImportExportValidationErrors="false" AutoFit="true" Append="false" PreserveSortAFLayout="true" PreserveFormat="true">
    <DataBinding FileBinding="true" ConnectionID="831" DataBindingLoadMode="1"/>
  </Map>
  <Map ID="43251" Name="root_Map831" RootElement="root" SchemaID="Schema832" ShowImportExportValidationErrors="false" AutoFit="true" Append="false" PreserveSortAFLayout="true" PreserveFormat="true">
    <DataBinding FileBinding="true" ConnectionID="832" DataBindingLoadMode="1"/>
  </Map>
  <Map ID="43269" Name="root_Map832" RootElement="root" SchemaID="Schema833" ShowImportExportValidationErrors="false" AutoFit="true" Append="false" PreserveSortAFLayout="true" PreserveFormat="true">
    <DataBinding FileBinding="true" ConnectionID="833" DataBindingLoadMode="1"/>
  </Map>
  <Map ID="43287" Name="root_Map833" RootElement="root" SchemaID="Schema834" ShowImportExportValidationErrors="false" AutoFit="true" Append="false" PreserveSortAFLayout="true" PreserveFormat="true">
    <DataBinding FileBinding="true" ConnectionID="834" DataBindingLoadMode="1"/>
  </Map>
  <Map ID="43305" Name="root_Map834" RootElement="root" SchemaID="Schema835" ShowImportExportValidationErrors="false" AutoFit="true" Append="false" PreserveSortAFLayout="true" PreserveFormat="true">
    <DataBinding FileBinding="true" ConnectionID="835" DataBindingLoadMode="1"/>
  </Map>
  <Map ID="43323" Name="root_Map835" RootElement="root" SchemaID="Schema836" ShowImportExportValidationErrors="false" AutoFit="true" Append="false" PreserveSortAFLayout="true" PreserveFormat="true">
    <DataBinding FileBinding="true" ConnectionID="836" DataBindingLoadMode="1"/>
  </Map>
  <Map ID="43341" Name="root_Map836" RootElement="root" SchemaID="Schema837" ShowImportExportValidationErrors="false" AutoFit="true" Append="false" PreserveSortAFLayout="true" PreserveFormat="true">
    <DataBinding FileBinding="true" ConnectionID="837" DataBindingLoadMode="1"/>
  </Map>
  <Map ID="43359" Name="root_Map837" RootElement="root" SchemaID="Schema838" ShowImportExportValidationErrors="false" AutoFit="true" Append="false" PreserveSortAFLayout="true" PreserveFormat="true">
    <DataBinding FileBinding="true" ConnectionID="838" DataBindingLoadMode="1"/>
  </Map>
  <Map ID="43377" Name="root_Map838" RootElement="root" SchemaID="Schema839" ShowImportExportValidationErrors="false" AutoFit="true" Append="false" PreserveSortAFLayout="true" PreserveFormat="true">
    <DataBinding FileBinding="true" ConnectionID="839" DataBindingLoadMode="1"/>
  </Map>
  <Map ID="43395" Name="root_Map839" RootElement="root" SchemaID="Schema840" ShowImportExportValidationErrors="false" AutoFit="true" Append="false" PreserveSortAFLayout="true" PreserveFormat="true">
    <DataBinding FileBinding="true" ConnectionID="840" DataBindingLoadMode="1"/>
  </Map>
  <Map ID="261" Name="root_Map84" RootElement="root" SchemaID="Schema85" ShowImportExportValidationErrors="false" AutoFit="true" Append="false" PreserveSortAFLayout="true" PreserveFormat="true">
    <DataBinding FileBinding="true" ConnectionID="85" DataBindingLoadMode="1"/>
  </Map>
  <Map ID="43413" Name="root_Map840" RootElement="root" SchemaID="Schema841" ShowImportExportValidationErrors="false" AutoFit="true" Append="false" PreserveSortAFLayout="true" PreserveFormat="true">
    <DataBinding FileBinding="true" ConnectionID="841" DataBindingLoadMode="1"/>
  </Map>
  <Map ID="43430" Name="root_Map841" RootElement="root" SchemaID="Schema842" ShowImportExportValidationErrors="false" AutoFit="true" Append="false" PreserveSortAFLayout="true" PreserveFormat="true">
    <DataBinding FileBinding="true" ConnectionID="842" DataBindingLoadMode="1"/>
  </Map>
  <Map ID="43447" Name="root_Map842" RootElement="root" SchemaID="Schema843" ShowImportExportValidationErrors="false" AutoFit="true" Append="false" PreserveSortAFLayout="true" PreserveFormat="true">
    <DataBinding FileBinding="true" ConnectionID="843" DataBindingLoadMode="1"/>
  </Map>
  <Map ID="43464" Name="root_Map843" RootElement="root" SchemaID="Schema844" ShowImportExportValidationErrors="false" AutoFit="true" Append="false" PreserveSortAFLayout="true" PreserveFormat="true">
    <DataBinding FileBinding="true" ConnectionID="844" DataBindingLoadMode="1"/>
  </Map>
  <Map ID="43481" Name="root_Map844" RootElement="root" SchemaID="Schema845" ShowImportExportValidationErrors="false" AutoFit="true" Append="false" PreserveSortAFLayout="true" PreserveFormat="true">
    <DataBinding FileBinding="true" ConnectionID="845" DataBindingLoadMode="1"/>
  </Map>
  <Map ID="43498" Name="root_Map845" RootElement="root" SchemaID="Schema846" ShowImportExportValidationErrors="false" AutoFit="true" Append="false" PreserveSortAFLayout="true" PreserveFormat="true">
    <DataBinding FileBinding="true" ConnectionID="846" DataBindingLoadMode="1"/>
  </Map>
  <Map ID="43515" Name="root_Map846" RootElement="root" SchemaID="Schema847" ShowImportExportValidationErrors="false" AutoFit="true" Append="false" PreserveSortAFLayout="true" PreserveFormat="true">
    <DataBinding FileBinding="true" ConnectionID="847" DataBindingLoadMode="1"/>
  </Map>
  <Map ID="43532" Name="root_Map847" RootElement="root" SchemaID="Schema848" ShowImportExportValidationErrors="false" AutoFit="true" Append="false" PreserveSortAFLayout="true" PreserveFormat="true">
    <DataBinding FileBinding="true" ConnectionID="848" DataBindingLoadMode="1"/>
  </Map>
  <Map ID="43549" Name="root_Map848" RootElement="root" SchemaID="Schema849" ShowImportExportValidationErrors="false" AutoFit="true" Append="false" PreserveSortAFLayout="true" PreserveFormat="true">
    <DataBinding FileBinding="true" ConnectionID="849" DataBindingLoadMode="1"/>
  </Map>
  <Map ID="43566" Name="root_Map849" RootElement="root" SchemaID="Schema850" ShowImportExportValidationErrors="false" AutoFit="true" Append="false" PreserveSortAFLayout="true" PreserveFormat="true">
    <DataBinding FileBinding="true" ConnectionID="850" DataBindingLoadMode="1"/>
  </Map>
  <Map ID="263" Name="root_Map85" RootElement="root" SchemaID="Schema86" ShowImportExportValidationErrors="false" AutoFit="true" Append="false" PreserveSortAFLayout="true" PreserveFormat="true">
    <DataBinding FileBinding="true" ConnectionID="86" DataBindingLoadMode="1"/>
  </Map>
  <Map ID="43583" Name="root_Map850" RootElement="root" SchemaID="Schema851" ShowImportExportValidationErrors="false" AutoFit="true" Append="false" PreserveSortAFLayout="true" PreserveFormat="true">
    <DataBinding FileBinding="true" ConnectionID="851" DataBindingLoadMode="1"/>
  </Map>
  <Map ID="43599" Name="root_Map851" RootElement="root" SchemaID="Schema852" ShowImportExportValidationErrors="false" AutoFit="true" Append="false" PreserveSortAFLayout="true" PreserveFormat="true">
    <DataBinding FileBinding="true" ConnectionID="852" DataBindingLoadMode="1"/>
  </Map>
  <Map ID="43615" Name="root_Map852" RootElement="root" SchemaID="Schema853" ShowImportExportValidationErrors="false" AutoFit="true" Append="false" PreserveSortAFLayout="true" PreserveFormat="true">
    <DataBinding FileBinding="true" ConnectionID="853" DataBindingLoadMode="1"/>
  </Map>
  <Map ID="43631" Name="root_Map853" RootElement="root" SchemaID="Schema854" ShowImportExportValidationErrors="false" AutoFit="true" Append="false" PreserveSortAFLayout="true" PreserveFormat="true">
    <DataBinding FileBinding="true" ConnectionID="854" DataBindingLoadMode="1"/>
  </Map>
  <Map ID="43647" Name="root_Map854" RootElement="root" SchemaID="Schema855" ShowImportExportValidationErrors="false" AutoFit="true" Append="false" PreserveSortAFLayout="true" PreserveFormat="true">
    <DataBinding FileBinding="true" ConnectionID="855" DataBindingLoadMode="1"/>
  </Map>
  <Map ID="43663" Name="root_Map855" RootElement="root" SchemaID="Schema856" ShowImportExportValidationErrors="false" AutoFit="true" Append="false" PreserveSortAFLayout="true" PreserveFormat="true">
    <DataBinding FileBinding="true" ConnectionID="856" DataBindingLoadMode="1"/>
  </Map>
  <Map ID="43679" Name="root_Map856" RootElement="root" SchemaID="Schema857" ShowImportExportValidationErrors="false" AutoFit="true" Append="false" PreserveSortAFLayout="true" PreserveFormat="true">
    <DataBinding FileBinding="true" ConnectionID="857" DataBindingLoadMode="1"/>
  </Map>
  <Map ID="43695" Name="root_Map857" RootElement="root" SchemaID="Schema858" ShowImportExportValidationErrors="false" AutoFit="true" Append="false" PreserveSortAFLayout="true" PreserveFormat="true">
    <DataBinding FileBinding="true" ConnectionID="858" DataBindingLoadMode="1"/>
  </Map>
  <Map ID="43711" Name="root_Map858" RootElement="root" SchemaID="Schema859" ShowImportExportValidationErrors="false" AutoFit="true" Append="false" PreserveSortAFLayout="true" PreserveFormat="true">
    <DataBinding FileBinding="true" ConnectionID="859" DataBindingLoadMode="1"/>
  </Map>
  <Map ID="43727" Name="root_Map859" RootElement="root" SchemaID="Schema860" ShowImportExportValidationErrors="false" AutoFit="true" Append="false" PreserveSortAFLayout="true" PreserveFormat="true">
    <DataBinding FileBinding="true" ConnectionID="860" DataBindingLoadMode="1"/>
  </Map>
  <Map ID="265" Name="root_Map86" RootElement="root" SchemaID="Schema87" ShowImportExportValidationErrors="false" AutoFit="true" Append="false" PreserveSortAFLayout="true" PreserveFormat="true">
    <DataBinding FileBinding="true" ConnectionID="87" DataBindingLoadMode="1"/>
  </Map>
  <Map ID="43743" Name="root_Map860" RootElement="root" SchemaID="Schema861" ShowImportExportValidationErrors="false" AutoFit="true" Append="false" PreserveSortAFLayout="true" PreserveFormat="true">
    <DataBinding FileBinding="true" ConnectionID="861" DataBindingLoadMode="1"/>
  </Map>
  <Map ID="43758" Name="root_Map861" RootElement="root" SchemaID="Schema862" ShowImportExportValidationErrors="false" AutoFit="true" Append="false" PreserveSortAFLayout="true" PreserveFormat="true">
    <DataBinding FileBinding="true" ConnectionID="862" DataBindingLoadMode="1"/>
  </Map>
  <Map ID="43773" Name="root_Map862" RootElement="root" SchemaID="Schema863" ShowImportExportValidationErrors="false" AutoFit="true" Append="false" PreserveSortAFLayout="true" PreserveFormat="true">
    <DataBinding FileBinding="true" ConnectionID="863" DataBindingLoadMode="1"/>
  </Map>
  <Map ID="43788" Name="root_Map863" RootElement="root" SchemaID="Schema864" ShowImportExportValidationErrors="false" AutoFit="true" Append="false" PreserveSortAFLayout="true" PreserveFormat="true">
    <DataBinding FileBinding="true" ConnectionID="864" DataBindingLoadMode="1"/>
  </Map>
  <Map ID="43803" Name="root_Map864" RootElement="root" SchemaID="Schema865" ShowImportExportValidationErrors="false" AutoFit="true" Append="false" PreserveSortAFLayout="true" PreserveFormat="true">
    <DataBinding FileBinding="true" ConnectionID="865" DataBindingLoadMode="1"/>
  </Map>
  <Map ID="43818" Name="root_Map865" RootElement="root" SchemaID="Schema866" ShowImportExportValidationErrors="false" AutoFit="true" Append="false" PreserveSortAFLayout="true" PreserveFormat="true">
    <DataBinding FileBinding="true" ConnectionID="866" DataBindingLoadMode="1"/>
  </Map>
  <Map ID="43833" Name="root_Map866" RootElement="root" SchemaID="Schema867" ShowImportExportValidationErrors="false" AutoFit="true" Append="false" PreserveSortAFLayout="true" PreserveFormat="true">
    <DataBinding FileBinding="true" ConnectionID="867" DataBindingLoadMode="1"/>
  </Map>
  <Map ID="43848" Name="root_Map867" RootElement="root" SchemaID="Schema868" ShowImportExportValidationErrors="false" AutoFit="true" Append="false" PreserveSortAFLayout="true" PreserveFormat="true">
    <DataBinding FileBinding="true" ConnectionID="868" DataBindingLoadMode="1"/>
  </Map>
  <Map ID="43863" Name="root_Map868" RootElement="root" SchemaID="Schema869" ShowImportExportValidationErrors="false" AutoFit="true" Append="false" PreserveSortAFLayout="true" PreserveFormat="true">
    <DataBinding FileBinding="true" ConnectionID="869" DataBindingLoadMode="1"/>
  </Map>
  <Map ID="43878" Name="root_Map869" RootElement="root" SchemaID="Schema870" ShowImportExportValidationErrors="false" AutoFit="true" Append="false" PreserveSortAFLayout="true" PreserveFormat="true">
    <DataBinding FileBinding="true" ConnectionID="870" DataBindingLoadMode="1"/>
  </Map>
  <Map ID="267" Name="root_Map87" RootElement="root" SchemaID="Schema88" ShowImportExportValidationErrors="false" AutoFit="true" Append="false" PreserveSortAFLayout="true" PreserveFormat="true">
    <DataBinding FileBinding="true" ConnectionID="88" DataBindingLoadMode="1"/>
  </Map>
  <Map ID="43893" Name="root_Map870" RootElement="root" SchemaID="Schema871" ShowImportExportValidationErrors="false" AutoFit="true" Append="false" PreserveSortAFLayout="true" PreserveFormat="true">
    <DataBinding FileBinding="true" ConnectionID="871" DataBindingLoadMode="1"/>
  </Map>
  <Map ID="43907" Name="root_Map871" RootElement="root" SchemaID="Schema872" ShowImportExportValidationErrors="false" AutoFit="true" Append="false" PreserveSortAFLayout="true" PreserveFormat="true">
    <DataBinding FileBinding="true" ConnectionID="872" DataBindingLoadMode="1"/>
  </Map>
  <Map ID="43921" Name="root_Map872" RootElement="root" SchemaID="Schema873" ShowImportExportValidationErrors="false" AutoFit="true" Append="false" PreserveSortAFLayout="true" PreserveFormat="true">
    <DataBinding FileBinding="true" ConnectionID="873" DataBindingLoadMode="1"/>
  </Map>
  <Map ID="43935" Name="root_Map873" RootElement="root" SchemaID="Schema874" ShowImportExportValidationErrors="false" AutoFit="true" Append="false" PreserveSortAFLayout="true" PreserveFormat="true">
    <DataBinding FileBinding="true" ConnectionID="874" DataBindingLoadMode="1"/>
  </Map>
  <Map ID="43949" Name="root_Map874" RootElement="root" SchemaID="Schema875" ShowImportExportValidationErrors="false" AutoFit="true" Append="false" PreserveSortAFLayout="true" PreserveFormat="true">
    <DataBinding FileBinding="true" ConnectionID="875" DataBindingLoadMode="1"/>
  </Map>
  <Map ID="43963" Name="root_Map875" RootElement="root" SchemaID="Schema876" ShowImportExportValidationErrors="false" AutoFit="true" Append="false" PreserveSortAFLayout="true" PreserveFormat="true">
    <DataBinding FileBinding="true" ConnectionID="876" DataBindingLoadMode="1"/>
  </Map>
  <Map ID="43977" Name="root_Map876" RootElement="root" SchemaID="Schema877" ShowImportExportValidationErrors="false" AutoFit="true" Append="false" PreserveSortAFLayout="true" PreserveFormat="true">
    <DataBinding FileBinding="true" ConnectionID="877" DataBindingLoadMode="1"/>
  </Map>
  <Map ID="43991" Name="root_Map877" RootElement="root" SchemaID="Schema878" ShowImportExportValidationErrors="false" AutoFit="true" Append="false" PreserveSortAFLayout="true" PreserveFormat="true">
    <DataBinding FileBinding="true" ConnectionID="878" DataBindingLoadMode="1"/>
  </Map>
  <Map ID="44005" Name="root_Map878" RootElement="root" SchemaID="Schema879" ShowImportExportValidationErrors="false" AutoFit="true" Append="false" PreserveSortAFLayout="true" PreserveFormat="true">
    <DataBinding FileBinding="true" ConnectionID="879" DataBindingLoadMode="1"/>
  </Map>
  <Map ID="44019" Name="root_Map879" RootElement="root" SchemaID="Schema880" ShowImportExportValidationErrors="false" AutoFit="true" Append="false" PreserveSortAFLayout="true" PreserveFormat="true">
    <DataBinding FileBinding="true" ConnectionID="880" DataBindingLoadMode="1"/>
  </Map>
  <Map ID="269" Name="root_Map88" RootElement="root" SchemaID="Schema89" ShowImportExportValidationErrors="false" AutoFit="true" Append="false" PreserveSortAFLayout="true" PreserveFormat="true">
    <DataBinding FileBinding="true" ConnectionID="89" DataBindingLoadMode="1"/>
  </Map>
  <Map ID="44033" Name="root_Map880" RootElement="root" SchemaID="Schema881" ShowImportExportValidationErrors="false" AutoFit="true" Append="false" PreserveSortAFLayout="true" PreserveFormat="true">
    <DataBinding FileBinding="true" ConnectionID="881" DataBindingLoadMode="1"/>
  </Map>
  <Map ID="44046" Name="root_Map881" RootElement="root" SchemaID="Schema882" ShowImportExportValidationErrors="false" AutoFit="true" Append="false" PreserveSortAFLayout="true" PreserveFormat="true">
    <DataBinding FileBinding="true" ConnectionID="882" DataBindingLoadMode="1"/>
  </Map>
  <Map ID="44059" Name="root_Map882" RootElement="root" SchemaID="Schema883" ShowImportExportValidationErrors="false" AutoFit="true" Append="false" PreserveSortAFLayout="true" PreserveFormat="true">
    <DataBinding FileBinding="true" ConnectionID="883" DataBindingLoadMode="1"/>
  </Map>
  <Map ID="44072" Name="root_Map883" RootElement="root" SchemaID="Schema884" ShowImportExportValidationErrors="false" AutoFit="true" Append="false" PreserveSortAFLayout="true" PreserveFormat="true">
    <DataBinding FileBinding="true" ConnectionID="884" DataBindingLoadMode="1"/>
  </Map>
  <Map ID="44085" Name="root_Map884" RootElement="root" SchemaID="Schema885" ShowImportExportValidationErrors="false" AutoFit="true" Append="false" PreserveSortAFLayout="true" PreserveFormat="true">
    <DataBinding FileBinding="true" ConnectionID="885" DataBindingLoadMode="1"/>
  </Map>
  <Map ID="44098" Name="root_Map885" RootElement="root" SchemaID="Schema886" ShowImportExportValidationErrors="false" AutoFit="true" Append="false" PreserveSortAFLayout="true" PreserveFormat="true">
    <DataBinding FileBinding="true" ConnectionID="886" DataBindingLoadMode="1"/>
  </Map>
  <Map ID="44111" Name="root_Map886" RootElement="root" SchemaID="Schema887" ShowImportExportValidationErrors="false" AutoFit="true" Append="false" PreserveSortAFLayout="true" PreserveFormat="true">
    <DataBinding FileBinding="true" ConnectionID="887" DataBindingLoadMode="1"/>
  </Map>
  <Map ID="44124" Name="root_Map887" RootElement="root" SchemaID="Schema888" ShowImportExportValidationErrors="false" AutoFit="true" Append="false" PreserveSortAFLayout="true" PreserveFormat="true">
    <DataBinding FileBinding="true" ConnectionID="888" DataBindingLoadMode="1"/>
  </Map>
  <Map ID="44137" Name="root_Map888" RootElement="root" SchemaID="Schema889" ShowImportExportValidationErrors="false" AutoFit="true" Append="false" PreserveSortAFLayout="true" PreserveFormat="true">
    <DataBinding FileBinding="true" ConnectionID="889" DataBindingLoadMode="1"/>
  </Map>
  <Map ID="271" Name="root_Map89" RootElement="root" SchemaID="Schema90" ShowImportExportValidationErrors="false" AutoFit="true" Append="false" PreserveSortAFLayout="true" PreserveFormat="true">
    <DataBinding FileBinding="true" ConnectionID="90" DataBindingLoadMode="1"/>
  </Map>
  <Map ID="10" Name="root_Map9" RootElement="root" SchemaID="Schema10" ShowImportExportValidationErrors="false" AutoFit="true" Append="false" PreserveSortAFLayout="true" PreserveFormat="true">
    <DataBinding FileBinding="true" ConnectionID="26" DataBindingLoadMode="1"/>
  </Map>
  <Map ID="273" Name="root_Map90" RootElement="root" SchemaID="Schema91" ShowImportExportValidationErrors="false" AutoFit="true" Append="false" PreserveSortAFLayout="true" PreserveFormat="true">
    <DataBinding FileBinding="true" ConnectionID="91" DataBindingLoadMode="1"/>
  </Map>
  <Map ID="274" Name="root_Map91" RootElement="root" SchemaID="Schema92" ShowImportExportValidationErrors="false" AutoFit="true" Append="false" PreserveSortAFLayout="true" PreserveFormat="true">
    <DataBinding FileBinding="true" ConnectionID="92" DataBindingLoadMode="1"/>
  </Map>
  <Map ID="275" Name="root_Map92" RootElement="root" SchemaID="Schema93" ShowImportExportValidationErrors="false" AutoFit="true" Append="false" PreserveSortAFLayout="true" PreserveFormat="true">
    <DataBinding FileBinding="true" ConnectionID="93" DataBindingLoadMode="1"/>
  </Map>
  <Map ID="276" Name="root_Map93" RootElement="root" SchemaID="Schema94" ShowImportExportValidationErrors="false" AutoFit="true" Append="false" PreserveSortAFLayout="true" PreserveFormat="true">
    <DataBinding FileBinding="true" ConnectionID="94" DataBindingLoadMode="1"/>
  </Map>
  <Map ID="277" Name="root_Map94" RootElement="root" SchemaID="Schema95" ShowImportExportValidationErrors="false" AutoFit="true" Append="false" PreserveSortAFLayout="true" PreserveFormat="true">
    <DataBinding FileBinding="true" ConnectionID="95" DataBindingLoadMode="1"/>
  </Map>
  <Map ID="278" Name="root_Map95" RootElement="root" SchemaID="Schema96" ShowImportExportValidationErrors="false" AutoFit="true" Append="false" PreserveSortAFLayout="true" PreserveFormat="true">
    <DataBinding FileBinding="true" ConnectionID="96" DataBindingLoadMode="1"/>
  </Map>
  <Map ID="279" Name="root_Map96" RootElement="root" SchemaID="Schema97" ShowImportExportValidationErrors="false" AutoFit="true" Append="false" PreserveSortAFLayout="true" PreserveFormat="true">
    <DataBinding FileBinding="true" ConnectionID="97" DataBindingLoadMode="1"/>
  </Map>
  <Map ID="280" Name="root_Map97" RootElement="root" SchemaID="Schema98" ShowImportExportValidationErrors="false" AutoFit="true" Append="false" PreserveSortAFLayout="true" PreserveFormat="true">
    <DataBinding FileBinding="true" ConnectionID="98" DataBindingLoadMode="1"/>
  </Map>
  <Map ID="281" Name="root_Map98" RootElement="root" SchemaID="Schema99" ShowImportExportValidationErrors="false" AutoFit="true" Append="false" PreserveSortAFLayout="true" PreserveFormat="true">
    <DataBinding FileBinding="true" ConnectionID="99" DataBindingLoadMode="1"/>
  </Map>
  <Map ID="282" Name="root_Map99" RootElement="root" SchemaID="Schema100" ShowImportExportValidationErrors="false" AutoFit="true" Append="false" PreserveSortAFLayout="true" PreserveFormat="true">
    <DataBinding FileBinding="true" ConnectionID="10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6"/>
  <sheetViews>
    <sheetView workbookViewId="0">
      <selection activeCell="A5" sqref="A5:J5"/>
    </sheetView>
  </sheetViews>
  <sheetFormatPr baseColWidth="10" defaultRowHeight="15" x14ac:dyDescent="0.25"/>
  <sheetData>
    <row r="1" spans="1:11" ht="45" x14ac:dyDescent="0.25">
      <c r="A1" s="3" t="s">
        <v>2</v>
      </c>
      <c r="B1" s="3" t="s">
        <v>3</v>
      </c>
      <c r="C1" s="3" t="s">
        <v>4</v>
      </c>
      <c r="D1" s="3" t="s">
        <v>5</v>
      </c>
      <c r="E1" s="4" t="s">
        <v>6</v>
      </c>
      <c r="F1" s="4" t="s">
        <v>7</v>
      </c>
      <c r="G1" s="3" t="s">
        <v>8</v>
      </c>
      <c r="H1" s="4" t="s">
        <v>9</v>
      </c>
      <c r="I1" s="4" t="s">
        <v>10</v>
      </c>
      <c r="J1" s="4" t="s">
        <v>11</v>
      </c>
    </row>
    <row r="2" spans="1:11" x14ac:dyDescent="0.25">
      <c r="A2" t="s">
        <v>15</v>
      </c>
      <c r="C2" t="s">
        <v>12</v>
      </c>
      <c r="E2" t="s">
        <v>13</v>
      </c>
      <c r="F2" t="s">
        <v>14</v>
      </c>
      <c r="G2" t="s">
        <v>16</v>
      </c>
      <c r="H2" t="s">
        <v>17</v>
      </c>
      <c r="I2" t="s">
        <v>18</v>
      </c>
      <c r="J2" t="s">
        <v>19</v>
      </c>
      <c r="K2" t="str">
        <f>IF(OR(H2&gt;500,I2&gt;5,J2&gt;60),"SÍ","NO")</f>
        <v>SÍ</v>
      </c>
    </row>
    <row r="3" spans="1:11" x14ac:dyDescent="0.25">
      <c r="I3" s="5" t="s">
        <v>20</v>
      </c>
    </row>
    <row r="5" spans="1:11" x14ac:dyDescent="0.25">
      <c r="A5" t="s">
        <v>0</v>
      </c>
      <c r="C5">
        <v>595524</v>
      </c>
      <c r="E5">
        <v>20200901</v>
      </c>
      <c r="F5">
        <v>85530</v>
      </c>
      <c r="G5" t="s">
        <v>1</v>
      </c>
      <c r="H5">
        <v>1.1769999999999999E-2</v>
      </c>
      <c r="I5">
        <v>2.9903999999999998E-4</v>
      </c>
      <c r="J5">
        <v>305</v>
      </c>
    </row>
    <row r="6" spans="1:11" x14ac:dyDescent="0.25">
      <c r="A6" t="s">
        <v>0</v>
      </c>
      <c r="C6">
        <v>595524</v>
      </c>
      <c r="E6">
        <v>20200901</v>
      </c>
      <c r="F6">
        <v>85530</v>
      </c>
      <c r="G6" t="s">
        <v>1</v>
      </c>
      <c r="H6">
        <v>2.9903999999999998E-4</v>
      </c>
      <c r="I6">
        <v>1.1769999999999999E-2</v>
      </c>
      <c r="J6">
        <v>305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P100"/>
  <sheetViews>
    <sheetView workbookViewId="0">
      <selection activeCell="X1" sqref="X1"/>
    </sheetView>
  </sheetViews>
  <sheetFormatPr baseColWidth="10" defaultRowHeight="15" x14ac:dyDescent="0.25"/>
  <cols>
    <col min="1" max="1" width="13.28515625" customWidth="1"/>
    <col min="2" max="2" width="20.140625" customWidth="1"/>
    <col min="3" max="3" width="13.42578125" customWidth="1"/>
    <col min="4" max="4" width="16.5703125" bestFit="1" customWidth="1"/>
    <col min="5" max="5" width="14" customWidth="1"/>
    <col min="6" max="6" width="14.140625" customWidth="1"/>
    <col min="7" max="7" width="14.140625" bestFit="1" customWidth="1"/>
    <col min="8" max="8" width="9.28515625" bestFit="1" customWidth="1"/>
    <col min="9" max="9" width="9.85546875" bestFit="1" customWidth="1"/>
    <col min="10" max="10" width="12.42578125" customWidth="1"/>
    <col min="11" max="11" width="63.28515625" bestFit="1" customWidth="1"/>
  </cols>
  <sheetData>
    <row r="1" spans="1:16" ht="45" x14ac:dyDescent="0.25">
      <c r="A1" s="3" t="s">
        <v>2</v>
      </c>
      <c r="B1" s="3" t="s">
        <v>3</v>
      </c>
      <c r="C1" s="3" t="s">
        <v>4</v>
      </c>
      <c r="D1" s="3" t="s">
        <v>5</v>
      </c>
      <c r="E1" s="4" t="s">
        <v>6</v>
      </c>
      <c r="F1" s="4" t="s">
        <v>7</v>
      </c>
      <c r="G1" s="3" t="s">
        <v>8</v>
      </c>
      <c r="H1" s="4" t="s">
        <v>9</v>
      </c>
      <c r="I1" s="4" t="s">
        <v>10</v>
      </c>
      <c r="J1" s="4" t="s">
        <v>11</v>
      </c>
      <c r="K1" s="6" t="s">
        <v>21</v>
      </c>
    </row>
    <row r="2" spans="1:16" x14ac:dyDescent="0.25">
      <c r="B2" t="s">
        <v>22</v>
      </c>
      <c r="E2" t="s">
        <v>22</v>
      </c>
      <c r="F2" t="s">
        <v>22</v>
      </c>
      <c r="K2" t="str">
        <f>IF(A2="","","SÍ")</f>
        <v/>
      </c>
      <c r="P2" t="str">
        <f>IF((A2)="","","CIRUGIA VASCULAR")</f>
        <v/>
      </c>
    </row>
    <row r="3" spans="1:16" x14ac:dyDescent="0.25">
      <c r="B3" t="s">
        <v>22</v>
      </c>
      <c r="E3" t="s">
        <v>22</v>
      </c>
      <c r="F3" t="s">
        <v>22</v>
      </c>
      <c r="K3" t="str">
        <f t="shared" ref="K3:K20" si="0">IF(A3="","","SÍ")</f>
        <v/>
      </c>
      <c r="P3" t="str">
        <f t="shared" ref="P3:P20" si="1">IF((A3)="","","CIRUGIA VASCULAR")</f>
        <v/>
      </c>
    </row>
    <row r="4" spans="1:16" x14ac:dyDescent="0.25">
      <c r="B4" t="s">
        <v>22</v>
      </c>
      <c r="E4" t="s">
        <v>22</v>
      </c>
      <c r="F4" t="s">
        <v>22</v>
      </c>
      <c r="K4" t="str">
        <f t="shared" si="0"/>
        <v/>
      </c>
      <c r="P4" t="str">
        <f t="shared" si="1"/>
        <v/>
      </c>
    </row>
    <row r="5" spans="1:16" x14ac:dyDescent="0.25">
      <c r="B5" t="s">
        <v>22</v>
      </c>
      <c r="E5" t="s">
        <v>22</v>
      </c>
      <c r="F5" t="s">
        <v>22</v>
      </c>
      <c r="K5" t="str">
        <f t="shared" si="0"/>
        <v/>
      </c>
      <c r="P5" t="str">
        <f t="shared" si="1"/>
        <v/>
      </c>
    </row>
    <row r="6" spans="1:16" x14ac:dyDescent="0.25">
      <c r="B6" t="s">
        <v>22</v>
      </c>
      <c r="E6" t="s">
        <v>22</v>
      </c>
      <c r="F6" t="s">
        <v>22</v>
      </c>
      <c r="K6" t="str">
        <f t="shared" si="0"/>
        <v/>
      </c>
      <c r="P6" t="str">
        <f t="shared" si="1"/>
        <v/>
      </c>
    </row>
    <row r="7" spans="1:16" x14ac:dyDescent="0.25">
      <c r="B7" t="s">
        <v>22</v>
      </c>
      <c r="E7" t="s">
        <v>22</v>
      </c>
      <c r="F7" t="s">
        <v>22</v>
      </c>
      <c r="K7" t="str">
        <f t="shared" si="0"/>
        <v/>
      </c>
      <c r="P7" t="str">
        <f t="shared" si="1"/>
        <v/>
      </c>
    </row>
    <row r="8" spans="1:16" x14ac:dyDescent="0.25">
      <c r="B8" t="s">
        <v>22</v>
      </c>
      <c r="E8" t="s">
        <v>22</v>
      </c>
      <c r="F8" t="s">
        <v>22</v>
      </c>
      <c r="K8" t="str">
        <f t="shared" si="0"/>
        <v/>
      </c>
      <c r="P8" t="str">
        <f t="shared" si="1"/>
        <v/>
      </c>
    </row>
    <row r="9" spans="1:16" x14ac:dyDescent="0.25">
      <c r="B9" t="s">
        <v>22</v>
      </c>
      <c r="E9" t="s">
        <v>22</v>
      </c>
      <c r="F9" t="s">
        <v>22</v>
      </c>
      <c r="K9" t="str">
        <f t="shared" si="0"/>
        <v/>
      </c>
      <c r="P9" t="str">
        <f t="shared" si="1"/>
        <v/>
      </c>
    </row>
    <row r="10" spans="1:16" x14ac:dyDescent="0.25">
      <c r="B10" t="s">
        <v>22</v>
      </c>
      <c r="E10" t="s">
        <v>22</v>
      </c>
      <c r="F10" t="s">
        <v>22</v>
      </c>
      <c r="K10" t="str">
        <f t="shared" si="0"/>
        <v/>
      </c>
      <c r="P10" t="str">
        <f t="shared" si="1"/>
        <v/>
      </c>
    </row>
    <row r="11" spans="1:16" x14ac:dyDescent="0.25">
      <c r="B11" t="s">
        <v>22</v>
      </c>
      <c r="E11" t="s">
        <v>22</v>
      </c>
      <c r="F11" t="s">
        <v>22</v>
      </c>
      <c r="K11" t="str">
        <f t="shared" si="0"/>
        <v/>
      </c>
      <c r="P11" t="str">
        <f t="shared" si="1"/>
        <v/>
      </c>
    </row>
    <row r="12" spans="1:16" x14ac:dyDescent="0.25">
      <c r="B12" t="s">
        <v>22</v>
      </c>
      <c r="E12" t="s">
        <v>22</v>
      </c>
      <c r="F12" t="s">
        <v>22</v>
      </c>
      <c r="K12" t="str">
        <f t="shared" si="0"/>
        <v/>
      </c>
      <c r="P12" t="str">
        <f t="shared" si="1"/>
        <v/>
      </c>
    </row>
    <row r="13" spans="1:16" x14ac:dyDescent="0.25">
      <c r="B13" t="s">
        <v>22</v>
      </c>
      <c r="E13" t="s">
        <v>22</v>
      </c>
      <c r="F13" t="s">
        <v>22</v>
      </c>
      <c r="K13" t="str">
        <f t="shared" si="0"/>
        <v/>
      </c>
      <c r="P13" t="str">
        <f t="shared" si="1"/>
        <v/>
      </c>
    </row>
    <row r="14" spans="1:16" x14ac:dyDescent="0.25">
      <c r="B14" t="s">
        <v>22</v>
      </c>
      <c r="E14" t="s">
        <v>22</v>
      </c>
      <c r="F14" t="s">
        <v>22</v>
      </c>
      <c r="K14" t="str">
        <f t="shared" si="0"/>
        <v/>
      </c>
      <c r="P14" t="str">
        <f t="shared" si="1"/>
        <v/>
      </c>
    </row>
    <row r="15" spans="1:16" x14ac:dyDescent="0.25">
      <c r="B15" t="s">
        <v>22</v>
      </c>
      <c r="E15" t="s">
        <v>22</v>
      </c>
      <c r="F15" t="s">
        <v>22</v>
      </c>
      <c r="K15" t="str">
        <f t="shared" si="0"/>
        <v/>
      </c>
      <c r="P15" t="str">
        <f t="shared" si="1"/>
        <v/>
      </c>
    </row>
    <row r="16" spans="1:16" x14ac:dyDescent="0.25">
      <c r="B16" t="s">
        <v>22</v>
      </c>
      <c r="E16" t="s">
        <v>22</v>
      </c>
      <c r="F16" t="s">
        <v>22</v>
      </c>
      <c r="K16" t="str">
        <f t="shared" si="0"/>
        <v/>
      </c>
      <c r="P16" t="str">
        <f t="shared" si="1"/>
        <v/>
      </c>
    </row>
    <row r="17" spans="2:16" x14ac:dyDescent="0.25">
      <c r="B17" t="s">
        <v>22</v>
      </c>
      <c r="E17" t="s">
        <v>22</v>
      </c>
      <c r="F17" t="s">
        <v>22</v>
      </c>
      <c r="K17" t="str">
        <f t="shared" si="0"/>
        <v/>
      </c>
      <c r="P17" t="str">
        <f t="shared" si="1"/>
        <v/>
      </c>
    </row>
    <row r="18" spans="2:16" x14ac:dyDescent="0.25">
      <c r="B18" t="s">
        <v>22</v>
      </c>
      <c r="E18" t="s">
        <v>22</v>
      </c>
      <c r="F18" t="s">
        <v>22</v>
      </c>
      <c r="K18" t="str">
        <f t="shared" si="0"/>
        <v/>
      </c>
      <c r="P18" t="str">
        <f t="shared" si="1"/>
        <v/>
      </c>
    </row>
    <row r="19" spans="2:16" x14ac:dyDescent="0.25">
      <c r="B19" t="s">
        <v>22</v>
      </c>
      <c r="E19" t="s">
        <v>22</v>
      </c>
      <c r="F19" t="s">
        <v>22</v>
      </c>
      <c r="K19" t="str">
        <f t="shared" si="0"/>
        <v/>
      </c>
      <c r="P19" t="str">
        <f t="shared" si="1"/>
        <v/>
      </c>
    </row>
    <row r="20" spans="2:16" x14ac:dyDescent="0.25">
      <c r="B20" t="s">
        <v>22</v>
      </c>
      <c r="E20" t="s">
        <v>22</v>
      </c>
      <c r="F20" t="s">
        <v>22</v>
      </c>
      <c r="K20" t="str">
        <f t="shared" si="0"/>
        <v/>
      </c>
      <c r="P20" t="str">
        <f t="shared" si="1"/>
        <v/>
      </c>
    </row>
    <row r="21" spans="2:16" x14ac:dyDescent="0.25">
      <c r="E21" t="s">
        <v>22</v>
      </c>
      <c r="F21" t="s">
        <v>22</v>
      </c>
    </row>
    <row r="22" spans="2:16" x14ac:dyDescent="0.25">
      <c r="E22" t="s">
        <v>22</v>
      </c>
      <c r="F22" t="s">
        <v>22</v>
      </c>
    </row>
    <row r="23" spans="2:16" x14ac:dyDescent="0.25">
      <c r="E23" t="s">
        <v>22</v>
      </c>
      <c r="F23" t="s">
        <v>22</v>
      </c>
    </row>
    <row r="24" spans="2:16" x14ac:dyDescent="0.25">
      <c r="E24" t="s">
        <v>22</v>
      </c>
      <c r="F24" t="s">
        <v>22</v>
      </c>
    </row>
    <row r="25" spans="2:16" x14ac:dyDescent="0.25">
      <c r="E25" t="s">
        <v>22</v>
      </c>
      <c r="F25" t="s">
        <v>22</v>
      </c>
    </row>
    <row r="26" spans="2:16" x14ac:dyDescent="0.25">
      <c r="E26" t="s">
        <v>22</v>
      </c>
      <c r="F26" t="s">
        <v>22</v>
      </c>
    </row>
    <row r="27" spans="2:16" x14ac:dyDescent="0.25">
      <c r="E27" t="s">
        <v>22</v>
      </c>
      <c r="F27" t="s">
        <v>22</v>
      </c>
    </row>
    <row r="28" spans="2:16" x14ac:dyDescent="0.25">
      <c r="E28" t="s">
        <v>22</v>
      </c>
      <c r="F28" t="s">
        <v>22</v>
      </c>
    </row>
    <row r="29" spans="2:16" x14ac:dyDescent="0.25">
      <c r="E29" t="s">
        <v>22</v>
      </c>
      <c r="F29" t="s">
        <v>22</v>
      </c>
    </row>
    <row r="30" spans="2:16" x14ac:dyDescent="0.25">
      <c r="E30" t="s">
        <v>22</v>
      </c>
      <c r="F30" t="s">
        <v>22</v>
      </c>
    </row>
    <row r="31" spans="2:16" x14ac:dyDescent="0.25">
      <c r="E31" t="s">
        <v>22</v>
      </c>
      <c r="F31" t="s">
        <v>22</v>
      </c>
    </row>
    <row r="32" spans="2:16" x14ac:dyDescent="0.25">
      <c r="E32" t="s">
        <v>22</v>
      </c>
      <c r="F32" t="s">
        <v>22</v>
      </c>
    </row>
    <row r="33" spans="5:6" x14ac:dyDescent="0.25">
      <c r="E33" t="s">
        <v>22</v>
      </c>
      <c r="F33" t="s">
        <v>22</v>
      </c>
    </row>
    <row r="34" spans="5:6" x14ac:dyDescent="0.25">
      <c r="E34" t="s">
        <v>22</v>
      </c>
      <c r="F34" t="s">
        <v>22</v>
      </c>
    </row>
    <row r="35" spans="5:6" x14ac:dyDescent="0.25">
      <c r="E35" t="s">
        <v>22</v>
      </c>
      <c r="F35" t="s">
        <v>22</v>
      </c>
    </row>
    <row r="36" spans="5:6" x14ac:dyDescent="0.25">
      <c r="E36" t="s">
        <v>22</v>
      </c>
      <c r="F36" t="s">
        <v>22</v>
      </c>
    </row>
    <row r="37" spans="5:6" x14ac:dyDescent="0.25">
      <c r="E37" t="s">
        <v>22</v>
      </c>
      <c r="F37" t="s">
        <v>22</v>
      </c>
    </row>
    <row r="38" spans="5:6" x14ac:dyDescent="0.25">
      <c r="E38" t="s">
        <v>22</v>
      </c>
      <c r="F38" t="s">
        <v>22</v>
      </c>
    </row>
    <row r="39" spans="5:6" x14ac:dyDescent="0.25">
      <c r="E39" t="s">
        <v>22</v>
      </c>
      <c r="F39" t="s">
        <v>22</v>
      </c>
    </row>
    <row r="40" spans="5:6" x14ac:dyDescent="0.25">
      <c r="E40" t="s">
        <v>22</v>
      </c>
      <c r="F40" t="s">
        <v>22</v>
      </c>
    </row>
    <row r="41" spans="5:6" x14ac:dyDescent="0.25">
      <c r="E41" t="s">
        <v>22</v>
      </c>
      <c r="F41" t="s">
        <v>22</v>
      </c>
    </row>
    <row r="42" spans="5:6" x14ac:dyDescent="0.25">
      <c r="E42" t="s">
        <v>22</v>
      </c>
      <c r="F42" t="s">
        <v>22</v>
      </c>
    </row>
    <row r="43" spans="5:6" x14ac:dyDescent="0.25">
      <c r="E43" t="s">
        <v>22</v>
      </c>
      <c r="F43" t="s">
        <v>22</v>
      </c>
    </row>
    <row r="44" spans="5:6" x14ac:dyDescent="0.25">
      <c r="E44" t="s">
        <v>22</v>
      </c>
      <c r="F44" t="s">
        <v>22</v>
      </c>
    </row>
    <row r="45" spans="5:6" x14ac:dyDescent="0.25">
      <c r="E45" t="s">
        <v>22</v>
      </c>
      <c r="F45" t="s">
        <v>22</v>
      </c>
    </row>
    <row r="46" spans="5:6" x14ac:dyDescent="0.25">
      <c r="E46" t="s">
        <v>22</v>
      </c>
      <c r="F46" t="s">
        <v>22</v>
      </c>
    </row>
    <row r="47" spans="5:6" x14ac:dyDescent="0.25">
      <c r="E47" t="s">
        <v>22</v>
      </c>
      <c r="F47" t="s">
        <v>22</v>
      </c>
    </row>
    <row r="48" spans="5:6" x14ac:dyDescent="0.25">
      <c r="E48" t="s">
        <v>22</v>
      </c>
      <c r="F48" t="s">
        <v>22</v>
      </c>
    </row>
    <row r="49" spans="5:6" x14ac:dyDescent="0.25">
      <c r="E49" t="s">
        <v>22</v>
      </c>
      <c r="F49" t="s">
        <v>22</v>
      </c>
    </row>
    <row r="50" spans="5:6" x14ac:dyDescent="0.25">
      <c r="E50" t="s">
        <v>22</v>
      </c>
      <c r="F50" t="s">
        <v>22</v>
      </c>
    </row>
    <row r="51" spans="5:6" x14ac:dyDescent="0.25">
      <c r="E51" t="s">
        <v>22</v>
      </c>
      <c r="F51" t="s">
        <v>22</v>
      </c>
    </row>
    <row r="52" spans="5:6" x14ac:dyDescent="0.25">
      <c r="E52" t="s">
        <v>22</v>
      </c>
      <c r="F52" t="s">
        <v>22</v>
      </c>
    </row>
    <row r="53" spans="5:6" x14ac:dyDescent="0.25">
      <c r="E53" t="s">
        <v>22</v>
      </c>
      <c r="F53" t="s">
        <v>22</v>
      </c>
    </row>
    <row r="54" spans="5:6" x14ac:dyDescent="0.25">
      <c r="E54" t="s">
        <v>22</v>
      </c>
      <c r="F54" t="s">
        <v>22</v>
      </c>
    </row>
    <row r="55" spans="5:6" x14ac:dyDescent="0.25">
      <c r="E55" t="s">
        <v>22</v>
      </c>
      <c r="F55" t="s">
        <v>22</v>
      </c>
    </row>
    <row r="56" spans="5:6" x14ac:dyDescent="0.25">
      <c r="E56" t="s">
        <v>22</v>
      </c>
      <c r="F56" t="s">
        <v>22</v>
      </c>
    </row>
    <row r="57" spans="5:6" x14ac:dyDescent="0.25">
      <c r="E57" t="s">
        <v>22</v>
      </c>
      <c r="F57" t="s">
        <v>22</v>
      </c>
    </row>
    <row r="58" spans="5:6" x14ac:dyDescent="0.25">
      <c r="E58" t="s">
        <v>22</v>
      </c>
      <c r="F58" t="s">
        <v>22</v>
      </c>
    </row>
    <row r="59" spans="5:6" x14ac:dyDescent="0.25">
      <c r="E59" t="s">
        <v>22</v>
      </c>
      <c r="F59" t="s">
        <v>22</v>
      </c>
    </row>
    <row r="60" spans="5:6" x14ac:dyDescent="0.25">
      <c r="E60" t="s">
        <v>22</v>
      </c>
      <c r="F60" t="s">
        <v>22</v>
      </c>
    </row>
    <row r="61" spans="5:6" x14ac:dyDescent="0.25">
      <c r="E61" t="s">
        <v>22</v>
      </c>
      <c r="F61" t="s">
        <v>22</v>
      </c>
    </row>
    <row r="62" spans="5:6" x14ac:dyDescent="0.25">
      <c r="E62" t="s">
        <v>22</v>
      </c>
      <c r="F62" t="s">
        <v>22</v>
      </c>
    </row>
    <row r="63" spans="5:6" x14ac:dyDescent="0.25">
      <c r="E63" t="s">
        <v>22</v>
      </c>
      <c r="F63" t="s">
        <v>22</v>
      </c>
    </row>
    <row r="64" spans="5:6" x14ac:dyDescent="0.25">
      <c r="E64" t="s">
        <v>22</v>
      </c>
      <c r="F64" t="s">
        <v>22</v>
      </c>
    </row>
    <row r="65" spans="5:6" x14ac:dyDescent="0.25">
      <c r="E65" t="s">
        <v>22</v>
      </c>
      <c r="F65" t="s">
        <v>22</v>
      </c>
    </row>
    <row r="66" spans="5:6" x14ac:dyDescent="0.25">
      <c r="E66" t="s">
        <v>22</v>
      </c>
      <c r="F66" t="s">
        <v>22</v>
      </c>
    </row>
    <row r="67" spans="5:6" x14ac:dyDescent="0.25">
      <c r="E67" t="s">
        <v>22</v>
      </c>
      <c r="F67" t="s">
        <v>22</v>
      </c>
    </row>
    <row r="68" spans="5:6" x14ac:dyDescent="0.25">
      <c r="E68" t="s">
        <v>22</v>
      </c>
      <c r="F68" t="s">
        <v>22</v>
      </c>
    </row>
    <row r="69" spans="5:6" x14ac:dyDescent="0.25">
      <c r="E69" t="s">
        <v>22</v>
      </c>
      <c r="F69" t="s">
        <v>22</v>
      </c>
    </row>
    <row r="70" spans="5:6" x14ac:dyDescent="0.25">
      <c r="E70" t="s">
        <v>22</v>
      </c>
      <c r="F70" t="s">
        <v>22</v>
      </c>
    </row>
    <row r="71" spans="5:6" x14ac:dyDescent="0.25">
      <c r="E71" t="s">
        <v>22</v>
      </c>
      <c r="F71" t="s">
        <v>22</v>
      </c>
    </row>
    <row r="72" spans="5:6" x14ac:dyDescent="0.25">
      <c r="E72" t="s">
        <v>22</v>
      </c>
      <c r="F72" t="s">
        <v>22</v>
      </c>
    </row>
    <row r="73" spans="5:6" x14ac:dyDescent="0.25">
      <c r="E73" t="s">
        <v>22</v>
      </c>
      <c r="F73" t="s">
        <v>22</v>
      </c>
    </row>
    <row r="74" spans="5:6" x14ac:dyDescent="0.25">
      <c r="E74" t="s">
        <v>22</v>
      </c>
      <c r="F74" t="s">
        <v>22</v>
      </c>
    </row>
    <row r="75" spans="5:6" x14ac:dyDescent="0.25">
      <c r="E75" t="s">
        <v>22</v>
      </c>
      <c r="F75" t="s">
        <v>22</v>
      </c>
    </row>
    <row r="76" spans="5:6" x14ac:dyDescent="0.25">
      <c r="E76" t="s">
        <v>22</v>
      </c>
      <c r="F76" t="s">
        <v>22</v>
      </c>
    </row>
    <row r="77" spans="5:6" x14ac:dyDescent="0.25">
      <c r="E77" t="s">
        <v>22</v>
      </c>
      <c r="F77" t="s">
        <v>22</v>
      </c>
    </row>
    <row r="78" spans="5:6" x14ac:dyDescent="0.25">
      <c r="E78" t="s">
        <v>22</v>
      </c>
      <c r="F78" t="s">
        <v>22</v>
      </c>
    </row>
    <row r="79" spans="5:6" x14ac:dyDescent="0.25">
      <c r="E79" t="s">
        <v>22</v>
      </c>
      <c r="F79" t="s">
        <v>22</v>
      </c>
    </row>
    <row r="80" spans="5:6" x14ac:dyDescent="0.25">
      <c r="E80" t="s">
        <v>22</v>
      </c>
      <c r="F80" t="s">
        <v>22</v>
      </c>
    </row>
    <row r="81" spans="5:6" x14ac:dyDescent="0.25">
      <c r="E81" t="s">
        <v>22</v>
      </c>
      <c r="F81" t="s">
        <v>22</v>
      </c>
    </row>
    <row r="82" spans="5:6" x14ac:dyDescent="0.25">
      <c r="E82" t="s">
        <v>22</v>
      </c>
      <c r="F82" t="s">
        <v>22</v>
      </c>
    </row>
    <row r="83" spans="5:6" x14ac:dyDescent="0.25">
      <c r="E83" t="s">
        <v>22</v>
      </c>
      <c r="F83" t="s">
        <v>22</v>
      </c>
    </row>
    <row r="84" spans="5:6" x14ac:dyDescent="0.25">
      <c r="E84" t="s">
        <v>22</v>
      </c>
      <c r="F84" t="s">
        <v>22</v>
      </c>
    </row>
    <row r="85" spans="5:6" x14ac:dyDescent="0.25">
      <c r="E85" t="s">
        <v>22</v>
      </c>
      <c r="F85" t="s">
        <v>22</v>
      </c>
    </row>
    <row r="86" spans="5:6" x14ac:dyDescent="0.25">
      <c r="E86" t="s">
        <v>22</v>
      </c>
      <c r="F86" t="s">
        <v>22</v>
      </c>
    </row>
    <row r="87" spans="5:6" x14ac:dyDescent="0.25">
      <c r="E87" t="s">
        <v>22</v>
      </c>
      <c r="F87" t="s">
        <v>22</v>
      </c>
    </row>
    <row r="88" spans="5:6" x14ac:dyDescent="0.25">
      <c r="E88" t="s">
        <v>22</v>
      </c>
      <c r="F88" t="s">
        <v>22</v>
      </c>
    </row>
    <row r="89" spans="5:6" x14ac:dyDescent="0.25">
      <c r="E89" t="s">
        <v>22</v>
      </c>
      <c r="F89" t="s">
        <v>22</v>
      </c>
    </row>
    <row r="90" spans="5:6" x14ac:dyDescent="0.25">
      <c r="E90" t="s">
        <v>22</v>
      </c>
      <c r="F90" t="s">
        <v>22</v>
      </c>
    </row>
    <row r="91" spans="5:6" x14ac:dyDescent="0.25">
      <c r="E91" t="s">
        <v>22</v>
      </c>
      <c r="F91" t="s">
        <v>22</v>
      </c>
    </row>
    <row r="92" spans="5:6" x14ac:dyDescent="0.25">
      <c r="E92" t="s">
        <v>22</v>
      </c>
      <c r="F92" t="s">
        <v>22</v>
      </c>
    </row>
    <row r="93" spans="5:6" x14ac:dyDescent="0.25">
      <c r="E93" t="s">
        <v>22</v>
      </c>
      <c r="F93" t="s">
        <v>22</v>
      </c>
    </row>
    <row r="94" spans="5:6" x14ac:dyDescent="0.25">
      <c r="E94" t="s">
        <v>22</v>
      </c>
      <c r="F94" t="s">
        <v>22</v>
      </c>
    </row>
    <row r="95" spans="5:6" x14ac:dyDescent="0.25">
      <c r="E95" t="s">
        <v>22</v>
      </c>
      <c r="F95" t="s">
        <v>22</v>
      </c>
    </row>
    <row r="96" spans="5:6" x14ac:dyDescent="0.25">
      <c r="E96" t="s">
        <v>22</v>
      </c>
      <c r="F96" t="s">
        <v>22</v>
      </c>
    </row>
    <row r="97" spans="5:6" x14ac:dyDescent="0.25">
      <c r="E97" t="s">
        <v>22</v>
      </c>
      <c r="F97" t="s">
        <v>22</v>
      </c>
    </row>
    <row r="98" spans="5:6" x14ac:dyDescent="0.25">
      <c r="E98" t="s">
        <v>22</v>
      </c>
      <c r="F98" t="s">
        <v>22</v>
      </c>
    </row>
    <row r="99" spans="5:6" x14ac:dyDescent="0.25">
      <c r="E99" t="s">
        <v>22</v>
      </c>
      <c r="F99" t="s">
        <v>22</v>
      </c>
    </row>
    <row r="100" spans="5:6" x14ac:dyDescent="0.25">
      <c r="E100" t="s">
        <v>22</v>
      </c>
      <c r="F100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M604"/>
  <sheetViews>
    <sheetView workbookViewId="0">
      <selection sqref="A1:XFD1048576"/>
    </sheetView>
  </sheetViews>
  <sheetFormatPr baseColWidth="10" defaultRowHeight="15" x14ac:dyDescent="0.25"/>
  <cols>
    <col min="1" max="1" width="21.28515625" bestFit="1" customWidth="1"/>
    <col min="2" max="2" width="19.5703125" bestFit="1" customWidth="1"/>
    <col min="3" max="3" width="17" bestFit="1" customWidth="1"/>
    <col min="4" max="4" width="21.85546875" bestFit="1" customWidth="1"/>
    <col min="5" max="5" width="21.42578125" bestFit="1" customWidth="1"/>
    <col min="6" max="6" width="10.140625" customWidth="1"/>
    <col min="7" max="7" width="12.85546875" bestFit="1" customWidth="1"/>
    <col min="8" max="8" width="12.42578125" bestFit="1" customWidth="1"/>
    <col min="9" max="9" width="13.140625" bestFit="1" customWidth="1"/>
    <col min="10" max="10" width="12.7109375" customWidth="1"/>
    <col min="11" max="11" width="11.5703125" customWidth="1"/>
    <col min="12" max="12" width="10" customWidth="1"/>
    <col min="13" max="13" width="54.28515625" customWidth="1"/>
    <col min="14" max="14" width="49.140625" customWidth="1"/>
    <col min="15" max="15" width="24.85546875" bestFit="1" customWidth="1"/>
    <col min="16" max="16" width="19" bestFit="1" customWidth="1"/>
    <col min="17" max="17" width="37.42578125" customWidth="1"/>
    <col min="18" max="18" width="22.7109375" customWidth="1"/>
    <col min="19" max="19" width="16.5703125" customWidth="1"/>
    <col min="20" max="20" width="22.42578125" customWidth="1"/>
    <col min="21" max="21" width="23.85546875" customWidth="1"/>
    <col min="22" max="22" width="25" customWidth="1"/>
    <col min="23" max="23" width="32" customWidth="1"/>
    <col min="24" max="24" width="16" customWidth="1"/>
    <col min="25" max="25" width="27.7109375" customWidth="1"/>
    <col min="26" max="26" width="45.85546875" customWidth="1"/>
    <col min="27" max="27" width="24.42578125" customWidth="1"/>
    <col min="28" max="28" width="16.42578125" customWidth="1"/>
    <col min="29" max="29" width="26.42578125" customWidth="1"/>
    <col min="30" max="30" width="33.28515625" customWidth="1"/>
    <col min="31" max="31" width="23.28515625" customWidth="1"/>
    <col min="32" max="32" width="20" customWidth="1"/>
    <col min="33" max="33" width="37.7109375" customWidth="1"/>
    <col min="34" max="34" width="26.7109375" customWidth="1"/>
    <col min="35" max="35" width="16.85546875" customWidth="1"/>
    <col min="36" max="36" width="21.85546875" customWidth="1"/>
    <col min="37" max="37" width="23.7109375" customWidth="1"/>
    <col min="38" max="38" width="14.7109375" customWidth="1"/>
    <col min="39" max="39" width="32.7109375" customWidth="1"/>
    <col min="40" max="40" width="23.5703125" customWidth="1"/>
    <col min="41" max="41" width="11.7109375" customWidth="1"/>
    <col min="42" max="42" width="54.28515625" customWidth="1"/>
    <col min="43" max="43" width="16" customWidth="1"/>
    <col min="44" max="44" width="17.42578125" customWidth="1"/>
    <col min="45" max="45" width="20.85546875" customWidth="1"/>
    <col min="46" max="46" width="81.140625" customWidth="1"/>
    <col min="47" max="47" width="13.140625" customWidth="1"/>
    <col min="48" max="48" width="15.28515625" customWidth="1"/>
    <col min="49" max="49" width="11.28515625" customWidth="1"/>
    <col min="50" max="50" width="20.28515625" customWidth="1"/>
    <col min="51" max="51" width="29.85546875" customWidth="1"/>
    <col min="52" max="52" width="6.85546875" customWidth="1"/>
    <col min="53" max="53" width="19.42578125" customWidth="1"/>
    <col min="54" max="54" width="30.42578125" customWidth="1"/>
    <col min="55" max="55" width="39" customWidth="1"/>
    <col min="56" max="56" width="21.5703125" customWidth="1"/>
    <col min="57" max="57" width="24.140625" customWidth="1"/>
    <col min="58" max="58" width="28.85546875" customWidth="1"/>
    <col min="59" max="59" width="29.140625" customWidth="1"/>
    <col min="60" max="60" width="31.140625" customWidth="1"/>
    <col min="61" max="61" width="33.42578125" customWidth="1"/>
    <col min="62" max="62" width="33.85546875" customWidth="1"/>
    <col min="63" max="63" width="34.140625" customWidth="1"/>
    <col min="64" max="64" width="19.42578125" customWidth="1"/>
    <col min="65" max="65" width="26.85546875" bestFit="1" customWidth="1"/>
  </cols>
  <sheetData>
    <row r="2" spans="1:65" x14ac:dyDescent="0.25">
      <c r="A2" s="1"/>
      <c r="B2" s="2"/>
      <c r="C2" s="2"/>
      <c r="D2" s="1"/>
      <c r="E2" s="1"/>
      <c r="L2" s="1"/>
      <c r="M2" s="1"/>
      <c r="N2" s="1"/>
      <c r="O2" s="1"/>
      <c r="P2" s="1"/>
      <c r="Q2" s="1"/>
      <c r="R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V2" s="1"/>
      <c r="AW2" s="1"/>
      <c r="AY2" s="1"/>
      <c r="AZ2" s="1"/>
      <c r="BB2" s="1"/>
      <c r="BC2" s="1"/>
      <c r="BD2" s="1"/>
      <c r="BE2" s="1"/>
      <c r="BF2" s="1"/>
      <c r="BJ2" s="1"/>
      <c r="BK2" s="1"/>
      <c r="BL2" s="1"/>
      <c r="BM2" s="1"/>
    </row>
    <row r="3" spans="1:65" x14ac:dyDescent="0.25">
      <c r="A3" s="1"/>
      <c r="B3" s="2"/>
      <c r="C3" s="2"/>
      <c r="D3" s="1"/>
      <c r="E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</row>
    <row r="4" spans="1:65" x14ac:dyDescent="0.25">
      <c r="A4" s="1"/>
      <c r="B4" s="2"/>
      <c r="C4" s="2"/>
      <c r="D4" s="1"/>
      <c r="E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</row>
    <row r="5" spans="1:65" x14ac:dyDescent="0.25">
      <c r="A5" s="1"/>
      <c r="B5" s="2"/>
      <c r="C5" s="2"/>
      <c r="D5" s="1"/>
      <c r="E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</row>
    <row r="6" spans="1:65" x14ac:dyDescent="0.25">
      <c r="A6" s="1"/>
      <c r="B6" s="2"/>
      <c r="C6" s="2"/>
      <c r="D6" s="1"/>
      <c r="E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</row>
    <row r="7" spans="1:65" x14ac:dyDescent="0.25">
      <c r="A7" s="1"/>
      <c r="B7" s="2"/>
      <c r="C7" s="2"/>
      <c r="D7" s="1"/>
      <c r="E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</row>
    <row r="8" spans="1:65" x14ac:dyDescent="0.25">
      <c r="A8" s="1"/>
      <c r="B8" s="2"/>
      <c r="C8" s="2"/>
      <c r="D8" s="1"/>
      <c r="E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</row>
    <row r="9" spans="1:65" x14ac:dyDescent="0.25">
      <c r="A9" s="1"/>
      <c r="B9" s="2"/>
      <c r="C9" s="2"/>
      <c r="D9" s="1"/>
      <c r="E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</row>
    <row r="10" spans="1:65" x14ac:dyDescent="0.25">
      <c r="A10" s="1"/>
      <c r="B10" s="2"/>
      <c r="C10" s="2"/>
      <c r="D10" s="1"/>
      <c r="E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</row>
    <row r="11" spans="1:65" x14ac:dyDescent="0.25">
      <c r="A11" s="1"/>
      <c r="B11" s="2"/>
      <c r="C11" s="2"/>
      <c r="D11" s="1"/>
      <c r="E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</row>
    <row r="12" spans="1:65" x14ac:dyDescent="0.25">
      <c r="A12" s="1"/>
      <c r="B12" s="2"/>
      <c r="C12" s="2"/>
      <c r="D12" s="1"/>
      <c r="E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</row>
    <row r="13" spans="1:65" x14ac:dyDescent="0.25">
      <c r="A13" s="1"/>
      <c r="B13" s="2"/>
      <c r="C13" s="2"/>
      <c r="D13" s="1"/>
      <c r="E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</row>
    <row r="14" spans="1:65" x14ac:dyDescent="0.25">
      <c r="A14" s="1"/>
      <c r="B14" s="2"/>
      <c r="C14" s="2"/>
      <c r="D14" s="1"/>
      <c r="E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</row>
    <row r="15" spans="1:65" x14ac:dyDescent="0.25">
      <c r="A15" s="1"/>
      <c r="B15" s="2"/>
      <c r="C15" s="2"/>
      <c r="D15" s="1"/>
      <c r="E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</row>
    <row r="16" spans="1:65" x14ac:dyDescent="0.25">
      <c r="A16" s="1"/>
      <c r="B16" s="2"/>
      <c r="C16" s="2"/>
      <c r="D16" s="1"/>
      <c r="E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</row>
    <row r="17" spans="1:65" x14ac:dyDescent="0.25">
      <c r="A17" s="1"/>
      <c r="B17" s="2"/>
      <c r="C17" s="2"/>
      <c r="D17" s="1"/>
      <c r="E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</row>
    <row r="18" spans="1:65" x14ac:dyDescent="0.25">
      <c r="A18" s="1"/>
      <c r="B18" s="2"/>
      <c r="C18" s="2"/>
      <c r="D18" s="1"/>
      <c r="E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</row>
    <row r="19" spans="1:65" x14ac:dyDescent="0.25">
      <c r="A19" s="1"/>
      <c r="B19" s="2"/>
      <c r="C19" s="2"/>
      <c r="D19" s="1"/>
      <c r="E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</row>
    <row r="20" spans="1:65" x14ac:dyDescent="0.25">
      <c r="A20" s="1"/>
      <c r="B20" s="2"/>
      <c r="C20" s="2"/>
      <c r="D20" s="1"/>
      <c r="E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</row>
    <row r="21" spans="1:65" x14ac:dyDescent="0.25">
      <c r="A21" s="1"/>
      <c r="B21" s="2"/>
      <c r="C21" s="2"/>
      <c r="D21" s="1"/>
      <c r="E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</row>
    <row r="22" spans="1:65" x14ac:dyDescent="0.25">
      <c r="A22" s="1"/>
      <c r="B22" s="2"/>
      <c r="C22" s="2"/>
      <c r="D22" s="1"/>
      <c r="E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</row>
    <row r="23" spans="1:65" x14ac:dyDescent="0.25">
      <c r="A23" s="1"/>
      <c r="B23" s="2"/>
      <c r="C23" s="2"/>
      <c r="D23" s="1"/>
      <c r="E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</row>
    <row r="24" spans="1:65" x14ac:dyDescent="0.25">
      <c r="A24" s="1"/>
      <c r="B24" s="2"/>
      <c r="C24" s="2"/>
      <c r="D24" s="1"/>
      <c r="E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</row>
    <row r="25" spans="1:65" x14ac:dyDescent="0.25">
      <c r="A25" s="1"/>
      <c r="B25" s="2"/>
      <c r="C25" s="2"/>
      <c r="D25" s="1"/>
      <c r="E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</row>
    <row r="26" spans="1:65" x14ac:dyDescent="0.25">
      <c r="A26" s="1"/>
      <c r="B26" s="2"/>
      <c r="C26" s="2"/>
      <c r="D26" s="1"/>
      <c r="E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</row>
    <row r="27" spans="1:65" x14ac:dyDescent="0.25">
      <c r="A27" s="1"/>
      <c r="B27" s="2"/>
      <c r="C27" s="2"/>
      <c r="D27" s="1"/>
      <c r="E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</row>
    <row r="28" spans="1:65" x14ac:dyDescent="0.25">
      <c r="A28" s="1"/>
      <c r="B28" s="2"/>
      <c r="C28" s="2"/>
      <c r="D28" s="1"/>
      <c r="E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</row>
    <row r="29" spans="1:65" x14ac:dyDescent="0.25">
      <c r="A29" s="1"/>
      <c r="B29" s="2"/>
      <c r="C29" s="2"/>
      <c r="D29" s="1"/>
      <c r="E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</row>
    <row r="30" spans="1:65" x14ac:dyDescent="0.25">
      <c r="A30" s="1"/>
      <c r="B30" s="2"/>
      <c r="C30" s="2"/>
      <c r="D30" s="1"/>
      <c r="E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</row>
    <row r="31" spans="1:65" x14ac:dyDescent="0.25">
      <c r="A31" s="1"/>
      <c r="B31" s="2"/>
      <c r="C31" s="2"/>
      <c r="D31" s="1"/>
      <c r="E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</row>
    <row r="32" spans="1:65" x14ac:dyDescent="0.25">
      <c r="A32" s="1"/>
      <c r="B32" s="2"/>
      <c r="C32" s="2"/>
      <c r="D32" s="1"/>
      <c r="E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</row>
    <row r="33" spans="1:65" x14ac:dyDescent="0.25">
      <c r="A33" s="1"/>
      <c r="B33" s="2"/>
      <c r="C33" s="2"/>
      <c r="D33" s="1"/>
      <c r="E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</row>
    <row r="34" spans="1:65" x14ac:dyDescent="0.25">
      <c r="A34" s="1"/>
      <c r="B34" s="2"/>
      <c r="C34" s="2"/>
      <c r="D34" s="1"/>
      <c r="E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</row>
    <row r="35" spans="1:65" x14ac:dyDescent="0.25">
      <c r="A35" s="1"/>
      <c r="B35" s="2"/>
      <c r="C35" s="2"/>
      <c r="D35" s="1"/>
      <c r="E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</row>
    <row r="36" spans="1:65" x14ac:dyDescent="0.25">
      <c r="A36" s="1"/>
      <c r="B36" s="2"/>
      <c r="C36" s="2"/>
      <c r="D36" s="1"/>
      <c r="E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</row>
    <row r="37" spans="1:65" x14ac:dyDescent="0.25">
      <c r="A37" s="1"/>
      <c r="B37" s="2"/>
      <c r="C37" s="2"/>
      <c r="D37" s="1"/>
      <c r="E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</row>
    <row r="38" spans="1:65" x14ac:dyDescent="0.25">
      <c r="A38" s="1"/>
      <c r="B38" s="2"/>
      <c r="C38" s="2"/>
      <c r="D38" s="1"/>
      <c r="E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</row>
    <row r="39" spans="1:65" x14ac:dyDescent="0.25">
      <c r="A39" s="1"/>
      <c r="B39" s="2"/>
      <c r="C39" s="2"/>
      <c r="D39" s="1"/>
      <c r="E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</row>
    <row r="40" spans="1:65" x14ac:dyDescent="0.25">
      <c r="A40" s="1"/>
      <c r="B40" s="2"/>
      <c r="C40" s="2"/>
      <c r="D40" s="1"/>
      <c r="E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</row>
    <row r="41" spans="1:65" x14ac:dyDescent="0.25">
      <c r="A41" s="1"/>
      <c r="B41" s="2"/>
      <c r="C41" s="2"/>
      <c r="D41" s="1"/>
      <c r="E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</row>
    <row r="42" spans="1:65" x14ac:dyDescent="0.25">
      <c r="A42" s="1"/>
      <c r="B42" s="2"/>
      <c r="C42" s="2"/>
      <c r="D42" s="1"/>
      <c r="E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</row>
    <row r="43" spans="1:65" x14ac:dyDescent="0.25">
      <c r="A43" s="1"/>
      <c r="B43" s="2"/>
      <c r="C43" s="2"/>
      <c r="D43" s="1"/>
      <c r="E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</row>
    <row r="44" spans="1:65" x14ac:dyDescent="0.25">
      <c r="A44" s="1"/>
      <c r="B44" s="2"/>
      <c r="C44" s="2"/>
      <c r="D44" s="1"/>
      <c r="E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</row>
    <row r="45" spans="1:65" x14ac:dyDescent="0.25">
      <c r="A45" s="1"/>
      <c r="B45" s="2"/>
      <c r="C45" s="2"/>
      <c r="D45" s="1"/>
      <c r="E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</row>
    <row r="46" spans="1:65" x14ac:dyDescent="0.25">
      <c r="A46" s="1"/>
      <c r="B46" s="2"/>
      <c r="C46" s="2"/>
      <c r="D46" s="1"/>
      <c r="E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</row>
    <row r="47" spans="1:65" x14ac:dyDescent="0.25">
      <c r="A47" s="1"/>
      <c r="B47" s="2"/>
      <c r="C47" s="2"/>
      <c r="D47" s="1"/>
      <c r="E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</row>
    <row r="48" spans="1:65" x14ac:dyDescent="0.25">
      <c r="A48" s="1"/>
      <c r="B48" s="2"/>
      <c r="C48" s="2"/>
      <c r="D48" s="1"/>
      <c r="E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</row>
    <row r="49" spans="1:65" x14ac:dyDescent="0.25">
      <c r="A49" s="1"/>
      <c r="B49" s="2"/>
      <c r="C49" s="2"/>
      <c r="D49" s="1"/>
      <c r="E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</row>
    <row r="50" spans="1:65" x14ac:dyDescent="0.25">
      <c r="A50" s="1"/>
      <c r="B50" s="2"/>
      <c r="C50" s="2"/>
      <c r="D50" s="1"/>
      <c r="E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</row>
    <row r="51" spans="1:65" x14ac:dyDescent="0.25">
      <c r="A51" s="1"/>
      <c r="B51" s="2"/>
      <c r="C51" s="2"/>
      <c r="D51" s="1"/>
      <c r="E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</row>
    <row r="52" spans="1:65" x14ac:dyDescent="0.25">
      <c r="A52" s="1"/>
      <c r="B52" s="2"/>
      <c r="C52" s="2"/>
      <c r="D52" s="1"/>
      <c r="E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</row>
    <row r="53" spans="1:65" x14ac:dyDescent="0.25">
      <c r="A53" s="1"/>
      <c r="B53" s="2"/>
      <c r="C53" s="2"/>
      <c r="D53" s="1"/>
      <c r="E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</row>
    <row r="54" spans="1:65" x14ac:dyDescent="0.25">
      <c r="A54" s="1"/>
      <c r="B54" s="2"/>
      <c r="C54" s="2"/>
      <c r="D54" s="1"/>
      <c r="E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</row>
    <row r="55" spans="1:65" x14ac:dyDescent="0.25">
      <c r="A55" s="1"/>
      <c r="B55" s="2"/>
      <c r="C55" s="2"/>
      <c r="D55" s="1"/>
      <c r="E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</row>
    <row r="56" spans="1:65" x14ac:dyDescent="0.25">
      <c r="A56" s="1"/>
      <c r="B56" s="2"/>
      <c r="C56" s="2"/>
      <c r="D56" s="1"/>
      <c r="E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</row>
    <row r="57" spans="1:65" x14ac:dyDescent="0.25">
      <c r="A57" s="1"/>
      <c r="B57" s="2"/>
      <c r="C57" s="2"/>
      <c r="D57" s="1"/>
      <c r="E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</row>
    <row r="58" spans="1:65" x14ac:dyDescent="0.25">
      <c r="A58" s="1"/>
      <c r="B58" s="2"/>
      <c r="C58" s="2"/>
      <c r="D58" s="1"/>
      <c r="E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</row>
    <row r="59" spans="1:65" x14ac:dyDescent="0.25">
      <c r="A59" s="1"/>
      <c r="B59" s="2"/>
      <c r="C59" s="2"/>
      <c r="D59" s="1"/>
      <c r="E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</row>
    <row r="60" spans="1:65" x14ac:dyDescent="0.25">
      <c r="A60" s="1"/>
      <c r="B60" s="2"/>
      <c r="C60" s="2"/>
      <c r="D60" s="1"/>
      <c r="E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</row>
    <row r="61" spans="1:65" x14ac:dyDescent="0.25">
      <c r="A61" s="1"/>
      <c r="B61" s="2"/>
      <c r="C61" s="2"/>
      <c r="D61" s="1"/>
      <c r="E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</row>
    <row r="62" spans="1:65" x14ac:dyDescent="0.25">
      <c r="A62" s="1"/>
      <c r="B62" s="2"/>
      <c r="C62" s="2"/>
      <c r="D62" s="1"/>
      <c r="E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</row>
    <row r="63" spans="1:65" x14ac:dyDescent="0.25">
      <c r="A63" s="1"/>
      <c r="B63" s="2"/>
      <c r="C63" s="2"/>
      <c r="D63" s="1"/>
      <c r="E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</row>
    <row r="64" spans="1:65" x14ac:dyDescent="0.25">
      <c r="A64" s="1"/>
      <c r="B64" s="2"/>
      <c r="C64" s="2"/>
      <c r="D64" s="1"/>
      <c r="E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</row>
    <row r="65" spans="1:65" x14ac:dyDescent="0.25">
      <c r="A65" s="1"/>
      <c r="B65" s="2"/>
      <c r="C65" s="2"/>
      <c r="D65" s="1"/>
      <c r="E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</row>
    <row r="66" spans="1:65" x14ac:dyDescent="0.25">
      <c r="A66" s="1"/>
      <c r="B66" s="2"/>
      <c r="C66" s="2"/>
      <c r="D66" s="1"/>
      <c r="E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</row>
    <row r="67" spans="1:65" x14ac:dyDescent="0.25">
      <c r="A67" s="1"/>
      <c r="B67" s="2"/>
      <c r="C67" s="2"/>
      <c r="D67" s="1"/>
      <c r="E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</row>
    <row r="68" spans="1:65" x14ac:dyDescent="0.25">
      <c r="A68" s="1"/>
      <c r="B68" s="2"/>
      <c r="C68" s="2"/>
      <c r="D68" s="1"/>
      <c r="E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</row>
    <row r="69" spans="1:65" x14ac:dyDescent="0.25">
      <c r="A69" s="1"/>
      <c r="B69" s="2"/>
      <c r="C69" s="2"/>
      <c r="D69" s="1"/>
      <c r="E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</row>
    <row r="70" spans="1:65" x14ac:dyDescent="0.25">
      <c r="A70" s="1"/>
      <c r="B70" s="2"/>
      <c r="C70" s="2"/>
      <c r="D70" s="1"/>
      <c r="E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</row>
    <row r="71" spans="1:65" x14ac:dyDescent="0.25">
      <c r="A71" s="1"/>
      <c r="B71" s="2"/>
      <c r="C71" s="2"/>
      <c r="D71" s="1"/>
      <c r="E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</row>
    <row r="72" spans="1:65" x14ac:dyDescent="0.25">
      <c r="A72" s="1"/>
      <c r="B72" s="2"/>
      <c r="C72" s="2"/>
      <c r="D72" s="1"/>
      <c r="E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</row>
    <row r="73" spans="1:65" x14ac:dyDescent="0.25">
      <c r="A73" s="1"/>
      <c r="B73" s="2"/>
      <c r="C73" s="2"/>
      <c r="D73" s="1"/>
      <c r="E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</row>
    <row r="74" spans="1:65" x14ac:dyDescent="0.25">
      <c r="A74" s="1"/>
      <c r="B74" s="2"/>
      <c r="C74" s="2"/>
      <c r="D74" s="1"/>
      <c r="E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</row>
    <row r="75" spans="1:65" x14ac:dyDescent="0.25">
      <c r="A75" s="1"/>
      <c r="B75" s="2"/>
      <c r="C75" s="2"/>
      <c r="D75" s="1"/>
      <c r="E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</row>
    <row r="76" spans="1:65" x14ac:dyDescent="0.25">
      <c r="A76" s="1"/>
      <c r="B76" s="2"/>
      <c r="C76" s="2"/>
      <c r="D76" s="1"/>
      <c r="E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</row>
    <row r="77" spans="1:65" x14ac:dyDescent="0.25">
      <c r="A77" s="1"/>
      <c r="B77" s="2"/>
      <c r="C77" s="2"/>
      <c r="D77" s="1"/>
      <c r="E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</row>
    <row r="78" spans="1:65" x14ac:dyDescent="0.25">
      <c r="A78" s="1"/>
      <c r="B78" s="2"/>
      <c r="C78" s="2"/>
      <c r="D78" s="1"/>
      <c r="E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</row>
    <row r="79" spans="1:65" x14ac:dyDescent="0.25">
      <c r="A79" s="1"/>
      <c r="B79" s="2"/>
      <c r="C79" s="2"/>
      <c r="D79" s="1"/>
      <c r="E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</row>
    <row r="80" spans="1:65" x14ac:dyDescent="0.25">
      <c r="A80" s="1"/>
      <c r="B80" s="2"/>
      <c r="C80" s="2"/>
      <c r="D80" s="1"/>
      <c r="E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</row>
    <row r="81" spans="1:65" x14ac:dyDescent="0.25">
      <c r="A81" s="1"/>
      <c r="B81" s="2"/>
      <c r="C81" s="2"/>
      <c r="D81" s="1"/>
      <c r="E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</row>
    <row r="82" spans="1:65" x14ac:dyDescent="0.25">
      <c r="A82" s="1"/>
      <c r="B82" s="2"/>
      <c r="C82" s="2"/>
      <c r="D82" s="1"/>
      <c r="E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</row>
    <row r="83" spans="1:65" x14ac:dyDescent="0.25">
      <c r="A83" s="1"/>
      <c r="B83" s="2"/>
      <c r="C83" s="2"/>
      <c r="D83" s="1"/>
      <c r="E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</row>
    <row r="84" spans="1:65" x14ac:dyDescent="0.25">
      <c r="A84" s="1"/>
      <c r="B84" s="2"/>
      <c r="C84" s="2"/>
      <c r="D84" s="1"/>
      <c r="E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</row>
    <row r="85" spans="1:65" x14ac:dyDescent="0.25">
      <c r="A85" s="1"/>
      <c r="B85" s="2"/>
      <c r="C85" s="2"/>
      <c r="D85" s="1"/>
      <c r="E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</row>
    <row r="86" spans="1:65" x14ac:dyDescent="0.25">
      <c r="A86" s="1"/>
      <c r="B86" s="2"/>
      <c r="C86" s="2"/>
      <c r="D86" s="1"/>
      <c r="E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</row>
    <row r="87" spans="1:65" x14ac:dyDescent="0.25">
      <c r="A87" s="1"/>
      <c r="B87" s="2"/>
      <c r="C87" s="2"/>
      <c r="D87" s="1"/>
      <c r="E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</row>
    <row r="88" spans="1:65" x14ac:dyDescent="0.25">
      <c r="A88" s="1"/>
      <c r="B88" s="2"/>
      <c r="C88" s="2"/>
      <c r="D88" s="1"/>
      <c r="E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</row>
    <row r="89" spans="1:65" x14ac:dyDescent="0.25">
      <c r="A89" s="1"/>
      <c r="B89" s="2"/>
      <c r="C89" s="2"/>
      <c r="D89" s="1"/>
      <c r="E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</row>
    <row r="90" spans="1:65" x14ac:dyDescent="0.25">
      <c r="A90" s="1"/>
      <c r="B90" s="2"/>
      <c r="C90" s="2"/>
      <c r="D90" s="1"/>
      <c r="E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</row>
    <row r="91" spans="1:65" x14ac:dyDescent="0.25">
      <c r="A91" s="1"/>
      <c r="B91" s="2"/>
      <c r="C91" s="2"/>
      <c r="D91" s="1"/>
      <c r="E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</row>
    <row r="92" spans="1:65" x14ac:dyDescent="0.25">
      <c r="A92" s="1"/>
      <c r="B92" s="2"/>
      <c r="C92" s="2"/>
      <c r="D92" s="1"/>
      <c r="E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</row>
    <row r="93" spans="1:65" x14ac:dyDescent="0.25">
      <c r="A93" s="1"/>
      <c r="B93" s="2"/>
      <c r="C93" s="2"/>
      <c r="D93" s="1"/>
      <c r="E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</row>
    <row r="94" spans="1:65" x14ac:dyDescent="0.25">
      <c r="A94" s="1"/>
      <c r="B94" s="2"/>
      <c r="C94" s="2"/>
      <c r="D94" s="1"/>
      <c r="E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</row>
    <row r="95" spans="1:65" x14ac:dyDescent="0.25">
      <c r="A95" s="1"/>
      <c r="B95" s="2"/>
      <c r="C95" s="2"/>
      <c r="D95" s="1"/>
      <c r="E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</row>
    <row r="96" spans="1:65" x14ac:dyDescent="0.25">
      <c r="A96" s="1"/>
      <c r="B96" s="2"/>
      <c r="C96" s="2"/>
      <c r="D96" s="1"/>
      <c r="E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</row>
    <row r="97" spans="1:65" x14ac:dyDescent="0.25">
      <c r="A97" s="1"/>
      <c r="B97" s="2"/>
      <c r="C97" s="2"/>
      <c r="D97" s="1"/>
      <c r="E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</row>
    <row r="98" spans="1:65" x14ac:dyDescent="0.25">
      <c r="A98" s="1"/>
      <c r="B98" s="2"/>
      <c r="C98" s="2"/>
      <c r="D98" s="1"/>
      <c r="E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</row>
    <row r="99" spans="1:65" x14ac:dyDescent="0.25">
      <c r="A99" s="1"/>
      <c r="B99" s="2"/>
      <c r="C99" s="2"/>
      <c r="D99" s="1"/>
      <c r="E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</row>
    <row r="100" spans="1:65" x14ac:dyDescent="0.25">
      <c r="A100" s="1"/>
      <c r="B100" s="2"/>
      <c r="C100" s="2"/>
      <c r="D100" s="1"/>
      <c r="E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</row>
    <row r="101" spans="1:65" x14ac:dyDescent="0.25">
      <c r="A101" s="1"/>
      <c r="B101" s="2"/>
      <c r="C101" s="2"/>
      <c r="D101" s="1"/>
      <c r="E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</row>
    <row r="102" spans="1:65" x14ac:dyDescent="0.25">
      <c r="A102" s="1"/>
      <c r="B102" s="2"/>
      <c r="C102" s="2"/>
      <c r="D102" s="1"/>
      <c r="E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</row>
    <row r="103" spans="1:65" x14ac:dyDescent="0.25">
      <c r="A103" s="1"/>
      <c r="B103" s="2"/>
      <c r="C103" s="2"/>
      <c r="D103" s="1"/>
      <c r="E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</row>
    <row r="104" spans="1:65" x14ac:dyDescent="0.25">
      <c r="A104" s="1"/>
      <c r="B104" s="2"/>
      <c r="C104" s="2"/>
      <c r="D104" s="1"/>
      <c r="E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</row>
    <row r="105" spans="1:65" x14ac:dyDescent="0.25">
      <c r="A105" s="1"/>
      <c r="B105" s="2"/>
      <c r="C105" s="2"/>
      <c r="D105" s="1"/>
      <c r="E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</row>
    <row r="106" spans="1:65" x14ac:dyDescent="0.25">
      <c r="A106" s="1"/>
      <c r="B106" s="2"/>
      <c r="C106" s="2"/>
      <c r="D106" s="1"/>
      <c r="E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</row>
    <row r="107" spans="1:65" x14ac:dyDescent="0.25">
      <c r="A107" s="1"/>
      <c r="B107" s="2"/>
      <c r="C107" s="2"/>
      <c r="D107" s="1"/>
      <c r="E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</row>
    <row r="108" spans="1:65" x14ac:dyDescent="0.25">
      <c r="A108" s="1"/>
      <c r="B108" s="2"/>
      <c r="C108" s="2"/>
      <c r="D108" s="1"/>
      <c r="E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</row>
    <row r="109" spans="1:65" x14ac:dyDescent="0.25">
      <c r="A109" s="1"/>
      <c r="B109" s="2"/>
      <c r="C109" s="2"/>
      <c r="D109" s="1"/>
      <c r="E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</row>
    <row r="110" spans="1:65" x14ac:dyDescent="0.25">
      <c r="A110" s="1"/>
      <c r="B110" s="2"/>
      <c r="C110" s="2"/>
      <c r="D110" s="1"/>
      <c r="E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</row>
    <row r="111" spans="1:65" x14ac:dyDescent="0.25">
      <c r="A111" s="1"/>
      <c r="B111" s="2"/>
      <c r="C111" s="2"/>
      <c r="D111" s="1"/>
      <c r="E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</row>
    <row r="112" spans="1:65" x14ac:dyDescent="0.25">
      <c r="A112" s="1"/>
      <c r="B112" s="2"/>
      <c r="C112" s="2"/>
      <c r="D112" s="1"/>
      <c r="E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</row>
    <row r="113" spans="1:65" x14ac:dyDescent="0.25">
      <c r="A113" s="1"/>
      <c r="B113" s="2"/>
      <c r="C113" s="2"/>
      <c r="D113" s="1"/>
      <c r="E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</row>
    <row r="114" spans="1:65" x14ac:dyDescent="0.25">
      <c r="A114" s="1"/>
      <c r="B114" s="2"/>
      <c r="C114" s="2"/>
      <c r="D114" s="1"/>
      <c r="E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</row>
    <row r="115" spans="1:65" x14ac:dyDescent="0.25">
      <c r="A115" s="1"/>
      <c r="B115" s="2"/>
      <c r="C115" s="2"/>
      <c r="D115" s="1"/>
      <c r="E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</row>
    <row r="116" spans="1:65" x14ac:dyDescent="0.25">
      <c r="A116" s="1"/>
      <c r="B116" s="2"/>
      <c r="C116" s="2"/>
      <c r="D116" s="1"/>
      <c r="E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</row>
    <row r="117" spans="1:65" x14ac:dyDescent="0.25">
      <c r="A117" s="1"/>
      <c r="B117" s="2"/>
      <c r="C117" s="2"/>
      <c r="D117" s="1"/>
      <c r="E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</row>
    <row r="118" spans="1:65" x14ac:dyDescent="0.25">
      <c r="A118" s="1"/>
      <c r="B118" s="2"/>
      <c r="C118" s="2"/>
      <c r="D118" s="1"/>
      <c r="E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</row>
    <row r="119" spans="1:65" x14ac:dyDescent="0.25">
      <c r="A119" s="1"/>
      <c r="B119" s="2"/>
      <c r="C119" s="2"/>
      <c r="D119" s="1"/>
      <c r="E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</row>
    <row r="120" spans="1:65" x14ac:dyDescent="0.25">
      <c r="A120" s="1"/>
      <c r="B120" s="2"/>
      <c r="C120" s="2"/>
      <c r="D120" s="1"/>
      <c r="E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</row>
    <row r="121" spans="1:65" x14ac:dyDescent="0.25">
      <c r="A121" s="1"/>
      <c r="B121" s="2"/>
      <c r="C121" s="2"/>
      <c r="D121" s="1"/>
      <c r="E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</row>
    <row r="122" spans="1:65" x14ac:dyDescent="0.25">
      <c r="A122" s="1"/>
      <c r="B122" s="2"/>
      <c r="C122" s="2"/>
      <c r="D122" s="1"/>
      <c r="E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</row>
    <row r="123" spans="1:65" x14ac:dyDescent="0.25">
      <c r="A123" s="1"/>
      <c r="B123" s="2"/>
      <c r="C123" s="2"/>
      <c r="D123" s="1"/>
      <c r="E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</row>
    <row r="124" spans="1:65" x14ac:dyDescent="0.25">
      <c r="A124" s="1"/>
      <c r="B124" s="2"/>
      <c r="C124" s="2"/>
      <c r="D124" s="1"/>
      <c r="E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</row>
    <row r="125" spans="1:65" x14ac:dyDescent="0.25">
      <c r="A125" s="1"/>
      <c r="B125" s="2"/>
      <c r="C125" s="2"/>
      <c r="D125" s="1"/>
      <c r="E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</row>
    <row r="126" spans="1:65" x14ac:dyDescent="0.25">
      <c r="A126" s="1"/>
      <c r="B126" s="2"/>
      <c r="C126" s="2"/>
      <c r="D126" s="1"/>
      <c r="E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</row>
    <row r="127" spans="1:65" x14ac:dyDescent="0.25">
      <c r="A127" s="1"/>
      <c r="B127" s="2"/>
      <c r="C127" s="2"/>
      <c r="D127" s="1"/>
      <c r="E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</row>
    <row r="128" spans="1:65" x14ac:dyDescent="0.25">
      <c r="A128" s="1"/>
      <c r="B128" s="2"/>
      <c r="C128" s="2"/>
      <c r="D128" s="1"/>
      <c r="E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</row>
    <row r="129" spans="1:65" x14ac:dyDescent="0.25">
      <c r="A129" s="1"/>
      <c r="B129" s="2"/>
      <c r="C129" s="2"/>
      <c r="D129" s="1"/>
      <c r="E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</row>
    <row r="130" spans="1:65" x14ac:dyDescent="0.25">
      <c r="A130" s="1"/>
      <c r="B130" s="2"/>
      <c r="C130" s="2"/>
      <c r="D130" s="1"/>
      <c r="E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</row>
    <row r="131" spans="1:65" x14ac:dyDescent="0.25">
      <c r="A131" s="1"/>
      <c r="B131" s="2"/>
      <c r="C131" s="2"/>
      <c r="D131" s="1"/>
      <c r="E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</row>
    <row r="132" spans="1:65" x14ac:dyDescent="0.25">
      <c r="A132" s="1"/>
      <c r="B132" s="2"/>
      <c r="C132" s="2"/>
      <c r="D132" s="1"/>
      <c r="E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</row>
    <row r="133" spans="1:65" x14ac:dyDescent="0.25">
      <c r="A133" s="1"/>
      <c r="B133" s="2"/>
      <c r="C133" s="2"/>
      <c r="D133" s="1"/>
      <c r="E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</row>
    <row r="134" spans="1:65" x14ac:dyDescent="0.25">
      <c r="A134" s="1"/>
      <c r="B134" s="2"/>
      <c r="C134" s="2"/>
      <c r="D134" s="1"/>
      <c r="E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</row>
    <row r="135" spans="1:65" x14ac:dyDescent="0.25">
      <c r="A135" s="1"/>
      <c r="B135" s="2"/>
      <c r="C135" s="2"/>
      <c r="D135" s="1"/>
      <c r="E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</row>
    <row r="136" spans="1:65" x14ac:dyDescent="0.25">
      <c r="A136" s="1"/>
      <c r="B136" s="2"/>
      <c r="C136" s="2"/>
      <c r="D136" s="1"/>
      <c r="E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</row>
    <row r="137" spans="1:65" x14ac:dyDescent="0.25">
      <c r="A137" s="1"/>
      <c r="B137" s="2"/>
      <c r="C137" s="2"/>
      <c r="D137" s="1"/>
      <c r="E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</row>
    <row r="138" spans="1:65" x14ac:dyDescent="0.25">
      <c r="A138" s="1"/>
      <c r="B138" s="2"/>
      <c r="C138" s="2"/>
      <c r="D138" s="1"/>
      <c r="E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</row>
    <row r="139" spans="1:65" x14ac:dyDescent="0.25">
      <c r="A139" s="1"/>
      <c r="B139" s="2"/>
      <c r="C139" s="2"/>
      <c r="D139" s="1"/>
      <c r="E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</row>
    <row r="140" spans="1:65" x14ac:dyDescent="0.25">
      <c r="A140" s="1"/>
      <c r="B140" s="2"/>
      <c r="C140" s="2"/>
      <c r="D140" s="1"/>
      <c r="E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</row>
    <row r="141" spans="1:65" x14ac:dyDescent="0.25">
      <c r="A141" s="1"/>
      <c r="B141" s="2"/>
      <c r="C141" s="2"/>
      <c r="D141" s="1"/>
      <c r="E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</row>
    <row r="142" spans="1:65" x14ac:dyDescent="0.25">
      <c r="A142" s="1"/>
      <c r="B142" s="2"/>
      <c r="C142" s="2"/>
      <c r="D142" s="1"/>
      <c r="E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</row>
    <row r="143" spans="1:65" x14ac:dyDescent="0.25">
      <c r="A143" s="1"/>
      <c r="B143" s="2"/>
      <c r="C143" s="2"/>
      <c r="D143" s="1"/>
      <c r="E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</row>
    <row r="144" spans="1:65" x14ac:dyDescent="0.25">
      <c r="A144" s="1"/>
      <c r="B144" s="2"/>
      <c r="C144" s="2"/>
      <c r="D144" s="1"/>
      <c r="E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</row>
    <row r="145" spans="1:65" x14ac:dyDescent="0.25">
      <c r="A145" s="1"/>
      <c r="B145" s="2"/>
      <c r="C145" s="2"/>
      <c r="D145" s="1"/>
      <c r="E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</row>
    <row r="146" spans="1:65" x14ac:dyDescent="0.25">
      <c r="A146" s="1"/>
      <c r="B146" s="2"/>
      <c r="C146" s="2"/>
      <c r="D146" s="1"/>
      <c r="E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</row>
    <row r="147" spans="1:65" x14ac:dyDescent="0.25">
      <c r="A147" s="1"/>
      <c r="B147" s="2"/>
      <c r="C147" s="2"/>
      <c r="D147" s="1"/>
      <c r="E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</row>
    <row r="148" spans="1:65" x14ac:dyDescent="0.25">
      <c r="A148" s="1"/>
      <c r="B148" s="2"/>
      <c r="C148" s="2"/>
      <c r="D148" s="1"/>
      <c r="E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</row>
    <row r="149" spans="1:65" x14ac:dyDescent="0.25">
      <c r="A149" s="1"/>
      <c r="B149" s="2"/>
      <c r="C149" s="2"/>
      <c r="D149" s="1"/>
      <c r="E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</row>
    <row r="150" spans="1:65" x14ac:dyDescent="0.25">
      <c r="A150" s="1"/>
      <c r="B150" s="2"/>
      <c r="C150" s="2"/>
      <c r="D150" s="1"/>
      <c r="E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</row>
    <row r="151" spans="1:65" x14ac:dyDescent="0.25">
      <c r="A151" s="1"/>
      <c r="B151" s="2"/>
      <c r="C151" s="2"/>
      <c r="D151" s="1"/>
      <c r="E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</row>
    <row r="152" spans="1:65" x14ac:dyDescent="0.25">
      <c r="A152" s="1"/>
      <c r="B152" s="2"/>
      <c r="C152" s="2"/>
      <c r="D152" s="1"/>
      <c r="E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</row>
    <row r="153" spans="1:65" x14ac:dyDescent="0.25">
      <c r="A153" s="1"/>
      <c r="B153" s="2"/>
      <c r="C153" s="2"/>
      <c r="D153" s="1"/>
      <c r="E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</row>
    <row r="154" spans="1:65" x14ac:dyDescent="0.25">
      <c r="A154" s="1"/>
      <c r="B154" s="2"/>
      <c r="C154" s="2"/>
      <c r="D154" s="1"/>
      <c r="E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</row>
    <row r="155" spans="1:65" x14ac:dyDescent="0.25">
      <c r="A155" s="1"/>
      <c r="B155" s="2"/>
      <c r="C155" s="2"/>
      <c r="D155" s="1"/>
      <c r="E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</row>
    <row r="156" spans="1:65" x14ac:dyDescent="0.25">
      <c r="A156" s="1"/>
      <c r="B156" s="2"/>
      <c r="C156" s="2"/>
      <c r="D156" s="1"/>
      <c r="E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</row>
    <row r="157" spans="1:65" x14ac:dyDescent="0.25">
      <c r="A157" s="1"/>
      <c r="B157" s="2"/>
      <c r="C157" s="2"/>
      <c r="D157" s="1"/>
      <c r="E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</row>
    <row r="158" spans="1:65" x14ac:dyDescent="0.25">
      <c r="A158" s="1"/>
      <c r="B158" s="2"/>
      <c r="C158" s="2"/>
      <c r="D158" s="1"/>
      <c r="E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</row>
    <row r="159" spans="1:65" x14ac:dyDescent="0.25">
      <c r="A159" s="1"/>
      <c r="B159" s="2"/>
      <c r="C159" s="2"/>
      <c r="D159" s="1"/>
      <c r="E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</row>
    <row r="160" spans="1:65" x14ac:dyDescent="0.25">
      <c r="A160" s="1"/>
      <c r="B160" s="2"/>
      <c r="C160" s="2"/>
      <c r="D160" s="1"/>
      <c r="E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</row>
    <row r="161" spans="1:65" x14ac:dyDescent="0.25">
      <c r="A161" s="1"/>
      <c r="B161" s="2"/>
      <c r="C161" s="2"/>
      <c r="D161" s="1"/>
      <c r="E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</row>
    <row r="162" spans="1:65" x14ac:dyDescent="0.25">
      <c r="A162" s="1"/>
      <c r="B162" s="2"/>
      <c r="C162" s="2"/>
      <c r="D162" s="1"/>
      <c r="E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</row>
    <row r="163" spans="1:65" x14ac:dyDescent="0.25">
      <c r="A163" s="1"/>
      <c r="B163" s="2"/>
      <c r="C163" s="2"/>
      <c r="D163" s="1"/>
      <c r="E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</row>
    <row r="164" spans="1:65" x14ac:dyDescent="0.25">
      <c r="A164" s="1"/>
      <c r="B164" s="2"/>
      <c r="C164" s="2"/>
      <c r="D164" s="1"/>
      <c r="E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</row>
    <row r="165" spans="1:65" x14ac:dyDescent="0.25">
      <c r="A165" s="1"/>
      <c r="B165" s="2"/>
      <c r="C165" s="2"/>
      <c r="D165" s="1"/>
      <c r="E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</row>
    <row r="166" spans="1:65" x14ac:dyDescent="0.25">
      <c r="A166" s="1"/>
      <c r="B166" s="2"/>
      <c r="C166" s="2"/>
      <c r="D166" s="1"/>
      <c r="E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</row>
    <row r="167" spans="1:65" x14ac:dyDescent="0.25">
      <c r="A167" s="1"/>
      <c r="B167" s="2"/>
      <c r="C167" s="2"/>
      <c r="D167" s="1"/>
      <c r="E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</row>
    <row r="168" spans="1:65" x14ac:dyDescent="0.25">
      <c r="A168" s="1"/>
      <c r="B168" s="2"/>
      <c r="C168" s="2"/>
      <c r="D168" s="1"/>
      <c r="E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</row>
    <row r="169" spans="1:65" x14ac:dyDescent="0.25">
      <c r="A169" s="1"/>
      <c r="B169" s="2"/>
      <c r="C169" s="2"/>
      <c r="D169" s="1"/>
      <c r="E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</row>
    <row r="170" spans="1:65" x14ac:dyDescent="0.25">
      <c r="A170" s="1"/>
      <c r="B170" s="2"/>
      <c r="C170" s="2"/>
      <c r="D170" s="1"/>
      <c r="E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</row>
    <row r="171" spans="1:65" x14ac:dyDescent="0.25">
      <c r="A171" s="1"/>
      <c r="B171" s="2"/>
      <c r="C171" s="2"/>
      <c r="D171" s="1"/>
      <c r="E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</row>
    <row r="172" spans="1:65" x14ac:dyDescent="0.25">
      <c r="A172" s="1"/>
      <c r="B172" s="2"/>
      <c r="C172" s="2"/>
      <c r="D172" s="1"/>
      <c r="E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</row>
    <row r="173" spans="1:65" x14ac:dyDescent="0.25">
      <c r="A173" s="1"/>
      <c r="B173" s="2"/>
      <c r="C173" s="2"/>
      <c r="D173" s="1"/>
      <c r="E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</row>
    <row r="174" spans="1:65" x14ac:dyDescent="0.25">
      <c r="A174" s="1"/>
      <c r="B174" s="2"/>
      <c r="C174" s="2"/>
      <c r="D174" s="1"/>
      <c r="E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</row>
    <row r="175" spans="1:65" x14ac:dyDescent="0.25">
      <c r="A175" s="1"/>
      <c r="B175" s="2"/>
      <c r="C175" s="2"/>
      <c r="D175" s="1"/>
      <c r="E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</row>
    <row r="176" spans="1:65" x14ac:dyDescent="0.25">
      <c r="A176" s="1"/>
      <c r="B176" s="2"/>
      <c r="C176" s="2"/>
      <c r="D176" s="1"/>
      <c r="E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</row>
    <row r="177" spans="1:65" x14ac:dyDescent="0.25">
      <c r="A177" s="1"/>
      <c r="B177" s="2"/>
      <c r="C177" s="2"/>
      <c r="D177" s="1"/>
      <c r="E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</row>
    <row r="178" spans="1:65" x14ac:dyDescent="0.25">
      <c r="A178" s="1"/>
      <c r="B178" s="2"/>
      <c r="C178" s="2"/>
      <c r="D178" s="1"/>
      <c r="E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</row>
    <row r="179" spans="1:65" x14ac:dyDescent="0.25">
      <c r="A179" s="1"/>
      <c r="B179" s="2"/>
      <c r="C179" s="2"/>
      <c r="D179" s="1"/>
      <c r="E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</row>
    <row r="180" spans="1:65" x14ac:dyDescent="0.25">
      <c r="A180" s="1"/>
      <c r="B180" s="2"/>
      <c r="C180" s="2"/>
      <c r="D180" s="1"/>
      <c r="E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</row>
    <row r="181" spans="1:65" x14ac:dyDescent="0.25">
      <c r="A181" s="1"/>
      <c r="B181" s="2"/>
      <c r="C181" s="2"/>
      <c r="D181" s="1"/>
      <c r="E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</row>
    <row r="182" spans="1:65" x14ac:dyDescent="0.25">
      <c r="A182" s="1"/>
      <c r="B182" s="2"/>
      <c r="C182" s="2"/>
      <c r="D182" s="1"/>
      <c r="E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</row>
    <row r="183" spans="1:65" x14ac:dyDescent="0.25">
      <c r="A183" s="1"/>
      <c r="B183" s="2"/>
      <c r="C183" s="2"/>
      <c r="D183" s="1"/>
      <c r="E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</row>
    <row r="184" spans="1:65" x14ac:dyDescent="0.25">
      <c r="A184" s="1"/>
      <c r="B184" s="2"/>
      <c r="C184" s="2"/>
      <c r="D184" s="1"/>
      <c r="E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</row>
    <row r="185" spans="1:65" x14ac:dyDescent="0.25">
      <c r="A185" s="1"/>
      <c r="B185" s="2"/>
      <c r="C185" s="2"/>
      <c r="D185" s="1"/>
      <c r="E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</row>
    <row r="186" spans="1:65" x14ac:dyDescent="0.25">
      <c r="A186" s="1"/>
      <c r="B186" s="2"/>
      <c r="C186" s="2"/>
      <c r="D186" s="1"/>
      <c r="E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</row>
    <row r="187" spans="1:65" x14ac:dyDescent="0.25">
      <c r="A187" s="1"/>
      <c r="B187" s="2"/>
      <c r="C187" s="2"/>
      <c r="D187" s="1"/>
      <c r="E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</row>
    <row r="188" spans="1:65" x14ac:dyDescent="0.25">
      <c r="A188" s="1"/>
      <c r="B188" s="2"/>
      <c r="C188" s="2"/>
      <c r="D188" s="1"/>
      <c r="E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</row>
    <row r="189" spans="1:65" x14ac:dyDescent="0.25">
      <c r="A189" s="1"/>
      <c r="B189" s="2"/>
      <c r="C189" s="2"/>
      <c r="D189" s="1"/>
      <c r="E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</row>
    <row r="190" spans="1:65" x14ac:dyDescent="0.25">
      <c r="A190" s="1"/>
      <c r="B190" s="2"/>
      <c r="C190" s="2"/>
      <c r="D190" s="1"/>
      <c r="E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</row>
    <row r="191" spans="1:65" x14ac:dyDescent="0.25">
      <c r="A191" s="1"/>
      <c r="B191" s="2"/>
      <c r="C191" s="2"/>
      <c r="D191" s="1"/>
      <c r="E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</row>
    <row r="192" spans="1:65" x14ac:dyDescent="0.25">
      <c r="A192" s="1"/>
      <c r="B192" s="2"/>
      <c r="C192" s="2"/>
      <c r="D192" s="1"/>
      <c r="E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</row>
    <row r="193" spans="1:65" x14ac:dyDescent="0.25">
      <c r="A193" s="1"/>
      <c r="B193" s="2"/>
      <c r="C193" s="2"/>
      <c r="D193" s="1"/>
      <c r="E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</row>
    <row r="194" spans="1:65" x14ac:dyDescent="0.25">
      <c r="A194" s="1"/>
      <c r="B194" s="2"/>
      <c r="C194" s="2"/>
      <c r="D194" s="1"/>
      <c r="E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</row>
    <row r="195" spans="1:65" x14ac:dyDescent="0.25">
      <c r="A195" s="1"/>
      <c r="B195" s="2"/>
      <c r="C195" s="2"/>
      <c r="D195" s="1"/>
      <c r="E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</row>
    <row r="196" spans="1:65" x14ac:dyDescent="0.25">
      <c r="A196" s="1"/>
      <c r="B196" s="2"/>
      <c r="C196" s="2"/>
      <c r="D196" s="1"/>
      <c r="E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</row>
    <row r="197" spans="1:65" x14ac:dyDescent="0.25">
      <c r="A197" s="1"/>
      <c r="B197" s="2"/>
      <c r="C197" s="2"/>
      <c r="D197" s="1"/>
      <c r="E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</row>
    <row r="198" spans="1:65" x14ac:dyDescent="0.25">
      <c r="A198" s="1"/>
      <c r="B198" s="2"/>
      <c r="C198" s="2"/>
      <c r="D198" s="1"/>
      <c r="E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</row>
    <row r="199" spans="1:65" x14ac:dyDescent="0.25">
      <c r="A199" s="1"/>
      <c r="B199" s="2"/>
      <c r="C199" s="2"/>
      <c r="D199" s="1"/>
      <c r="E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</row>
    <row r="200" spans="1:65" x14ac:dyDescent="0.25">
      <c r="A200" s="1"/>
      <c r="B200" s="2"/>
      <c r="C200" s="2"/>
      <c r="D200" s="1"/>
      <c r="E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</row>
    <row r="201" spans="1:65" x14ac:dyDescent="0.25">
      <c r="A201" s="1"/>
      <c r="B201" s="2"/>
      <c r="C201" s="2"/>
      <c r="D201" s="1"/>
      <c r="E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</row>
    <row r="202" spans="1:65" x14ac:dyDescent="0.25">
      <c r="A202" s="1"/>
      <c r="B202" s="2"/>
      <c r="C202" s="2"/>
      <c r="D202" s="1"/>
      <c r="E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</row>
    <row r="203" spans="1:65" x14ac:dyDescent="0.25">
      <c r="A203" s="1"/>
      <c r="B203" s="2"/>
      <c r="C203" s="2"/>
      <c r="D203" s="1"/>
      <c r="E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</row>
    <row r="204" spans="1:65" x14ac:dyDescent="0.25">
      <c r="A204" s="1"/>
      <c r="B204" s="2"/>
      <c r="C204" s="2"/>
      <c r="D204" s="1"/>
      <c r="E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</row>
    <row r="205" spans="1:65" x14ac:dyDescent="0.25">
      <c r="A205" s="1"/>
      <c r="B205" s="2"/>
      <c r="C205" s="2"/>
      <c r="D205" s="1"/>
      <c r="E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</row>
    <row r="206" spans="1:65" x14ac:dyDescent="0.25">
      <c r="A206" s="1"/>
      <c r="B206" s="2"/>
      <c r="C206" s="2"/>
      <c r="D206" s="1"/>
      <c r="E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</row>
    <row r="207" spans="1:65" x14ac:dyDescent="0.25">
      <c r="A207" s="1"/>
      <c r="B207" s="2"/>
      <c r="C207" s="2"/>
      <c r="D207" s="1"/>
      <c r="E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</row>
    <row r="208" spans="1:65" x14ac:dyDescent="0.25">
      <c r="A208" s="1"/>
      <c r="B208" s="2"/>
      <c r="C208" s="2"/>
      <c r="D208" s="1"/>
      <c r="E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</row>
    <row r="209" spans="1:65" x14ac:dyDescent="0.25">
      <c r="A209" s="1"/>
      <c r="B209" s="2"/>
      <c r="C209" s="2"/>
      <c r="D209" s="1"/>
      <c r="E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</row>
    <row r="210" spans="1:65" x14ac:dyDescent="0.25">
      <c r="A210" s="1"/>
      <c r="B210" s="2"/>
      <c r="C210" s="2"/>
      <c r="D210" s="1"/>
      <c r="E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</row>
    <row r="211" spans="1:65" x14ac:dyDescent="0.25">
      <c r="A211" s="1"/>
      <c r="B211" s="2"/>
      <c r="C211" s="2"/>
      <c r="D211" s="1"/>
      <c r="E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</row>
    <row r="212" spans="1:65" x14ac:dyDescent="0.25">
      <c r="A212" s="1"/>
      <c r="B212" s="2"/>
      <c r="C212" s="2"/>
      <c r="D212" s="1"/>
      <c r="E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</row>
    <row r="213" spans="1:65" x14ac:dyDescent="0.25">
      <c r="A213" s="1"/>
      <c r="B213" s="2"/>
      <c r="C213" s="2"/>
      <c r="D213" s="1"/>
      <c r="E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</row>
    <row r="214" spans="1:65" x14ac:dyDescent="0.25">
      <c r="A214" s="1"/>
      <c r="B214" s="2"/>
      <c r="C214" s="2"/>
      <c r="D214" s="1"/>
      <c r="E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</row>
    <row r="215" spans="1:65" x14ac:dyDescent="0.25">
      <c r="A215" s="1"/>
      <c r="B215" s="2"/>
      <c r="C215" s="2"/>
      <c r="D215" s="1"/>
      <c r="E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</row>
    <row r="216" spans="1:65" x14ac:dyDescent="0.25">
      <c r="A216" s="1"/>
      <c r="B216" s="2"/>
      <c r="C216" s="2"/>
      <c r="D216" s="1"/>
      <c r="E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</row>
    <row r="217" spans="1:65" x14ac:dyDescent="0.25">
      <c r="A217" s="1"/>
      <c r="B217" s="2"/>
      <c r="C217" s="2"/>
      <c r="D217" s="1"/>
      <c r="E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</row>
    <row r="218" spans="1:65" x14ac:dyDescent="0.25">
      <c r="A218" s="1"/>
      <c r="B218" s="2"/>
      <c r="C218" s="2"/>
      <c r="D218" s="1"/>
      <c r="E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</row>
    <row r="219" spans="1:65" x14ac:dyDescent="0.25">
      <c r="A219" s="1"/>
      <c r="B219" s="2"/>
      <c r="C219" s="2"/>
      <c r="D219" s="1"/>
      <c r="E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</row>
    <row r="220" spans="1:65" x14ac:dyDescent="0.25">
      <c r="A220" s="1"/>
      <c r="B220" s="2"/>
      <c r="C220" s="2"/>
      <c r="D220" s="1"/>
      <c r="E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</row>
    <row r="221" spans="1:65" x14ac:dyDescent="0.25">
      <c r="A221" s="1"/>
      <c r="B221" s="2"/>
      <c r="C221" s="2"/>
      <c r="D221" s="1"/>
      <c r="E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</row>
    <row r="222" spans="1:65" x14ac:dyDescent="0.25">
      <c r="A222" s="1"/>
      <c r="B222" s="2"/>
      <c r="C222" s="2"/>
      <c r="D222" s="1"/>
      <c r="E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</row>
    <row r="223" spans="1:65" x14ac:dyDescent="0.25">
      <c r="A223" s="1"/>
      <c r="B223" s="2"/>
      <c r="C223" s="2"/>
      <c r="D223" s="1"/>
      <c r="E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</row>
    <row r="224" spans="1:65" x14ac:dyDescent="0.25">
      <c r="A224" s="1"/>
      <c r="B224" s="2"/>
      <c r="C224" s="2"/>
      <c r="D224" s="1"/>
      <c r="E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</row>
    <row r="225" spans="1:65" x14ac:dyDescent="0.25">
      <c r="A225" s="1"/>
      <c r="B225" s="2"/>
      <c r="C225" s="2"/>
      <c r="D225" s="1"/>
      <c r="E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</row>
    <row r="226" spans="1:65" x14ac:dyDescent="0.25">
      <c r="A226" s="1"/>
      <c r="B226" s="2"/>
      <c r="C226" s="2"/>
      <c r="D226" s="1"/>
      <c r="E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</row>
    <row r="227" spans="1:65" x14ac:dyDescent="0.25">
      <c r="A227" s="1"/>
      <c r="B227" s="2"/>
      <c r="C227" s="2"/>
      <c r="D227" s="1"/>
      <c r="E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</row>
    <row r="228" spans="1:65" x14ac:dyDescent="0.25">
      <c r="A228" s="1"/>
      <c r="B228" s="2"/>
      <c r="C228" s="2"/>
      <c r="D228" s="1"/>
      <c r="E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</row>
    <row r="229" spans="1:65" x14ac:dyDescent="0.25">
      <c r="A229" s="1"/>
      <c r="B229" s="2"/>
      <c r="C229" s="2"/>
      <c r="D229" s="1"/>
      <c r="E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</row>
    <row r="230" spans="1:65" x14ac:dyDescent="0.25">
      <c r="A230" s="1"/>
      <c r="B230" s="2"/>
      <c r="C230" s="2"/>
      <c r="D230" s="1"/>
      <c r="E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</row>
    <row r="231" spans="1:65" x14ac:dyDescent="0.25">
      <c r="A231" s="1"/>
      <c r="B231" s="2"/>
      <c r="C231" s="2"/>
      <c r="D231" s="1"/>
      <c r="E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</row>
    <row r="232" spans="1:65" x14ac:dyDescent="0.25">
      <c r="A232" s="1"/>
      <c r="B232" s="2"/>
      <c r="C232" s="2"/>
      <c r="D232" s="1"/>
      <c r="E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</row>
    <row r="233" spans="1:65" x14ac:dyDescent="0.25">
      <c r="A233" s="1"/>
      <c r="B233" s="2"/>
      <c r="C233" s="2"/>
      <c r="D233" s="1"/>
      <c r="E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</row>
    <row r="234" spans="1:65" x14ac:dyDescent="0.25">
      <c r="A234" s="1"/>
      <c r="B234" s="2"/>
      <c r="C234" s="2"/>
      <c r="D234" s="1"/>
      <c r="E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</row>
    <row r="235" spans="1:65" x14ac:dyDescent="0.25">
      <c r="A235" s="1"/>
      <c r="B235" s="2"/>
      <c r="C235" s="2"/>
      <c r="D235" s="1"/>
      <c r="E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</row>
    <row r="236" spans="1:65" x14ac:dyDescent="0.25">
      <c r="A236" s="1"/>
      <c r="B236" s="2"/>
      <c r="C236" s="2"/>
      <c r="D236" s="1"/>
      <c r="E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</row>
    <row r="237" spans="1:65" x14ac:dyDescent="0.25">
      <c r="A237" s="1"/>
      <c r="B237" s="2"/>
      <c r="C237" s="2"/>
      <c r="D237" s="1"/>
      <c r="E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</row>
    <row r="238" spans="1:65" x14ac:dyDescent="0.25">
      <c r="A238" s="1"/>
      <c r="B238" s="2"/>
      <c r="C238" s="2"/>
      <c r="D238" s="1"/>
      <c r="E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</row>
    <row r="239" spans="1:65" x14ac:dyDescent="0.25">
      <c r="A239" s="1"/>
      <c r="B239" s="2"/>
      <c r="C239" s="2"/>
      <c r="D239" s="1"/>
      <c r="E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</row>
    <row r="240" spans="1:65" x14ac:dyDescent="0.25">
      <c r="A240" s="1"/>
      <c r="B240" s="2"/>
      <c r="C240" s="2"/>
      <c r="D240" s="1"/>
      <c r="E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</row>
    <row r="241" spans="1:65" x14ac:dyDescent="0.25">
      <c r="A241" s="1"/>
      <c r="B241" s="2"/>
      <c r="C241" s="2"/>
      <c r="D241" s="1"/>
      <c r="E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</row>
    <row r="242" spans="1:65" x14ac:dyDescent="0.25">
      <c r="A242" s="1"/>
      <c r="B242" s="2"/>
      <c r="C242" s="2"/>
      <c r="D242" s="1"/>
      <c r="E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</row>
    <row r="243" spans="1:65" x14ac:dyDescent="0.25">
      <c r="A243" s="1"/>
      <c r="B243" s="2"/>
      <c r="C243" s="2"/>
      <c r="D243" s="1"/>
      <c r="E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</row>
    <row r="244" spans="1:65" x14ac:dyDescent="0.25">
      <c r="A244" s="1"/>
      <c r="B244" s="2"/>
      <c r="C244" s="2"/>
      <c r="D244" s="1"/>
      <c r="E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</row>
    <row r="245" spans="1:65" x14ac:dyDescent="0.25">
      <c r="A245" s="1"/>
      <c r="B245" s="2"/>
      <c r="C245" s="2"/>
      <c r="D245" s="1"/>
      <c r="E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</row>
    <row r="246" spans="1:65" x14ac:dyDescent="0.25">
      <c r="A246" s="1"/>
      <c r="B246" s="2"/>
      <c r="C246" s="2"/>
      <c r="D246" s="1"/>
      <c r="E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</row>
    <row r="247" spans="1:65" x14ac:dyDescent="0.25">
      <c r="A247" s="1"/>
      <c r="B247" s="2"/>
      <c r="C247" s="2"/>
      <c r="D247" s="1"/>
      <c r="E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</row>
    <row r="248" spans="1:65" x14ac:dyDescent="0.25">
      <c r="A248" s="1"/>
      <c r="B248" s="2"/>
      <c r="C248" s="2"/>
      <c r="D248" s="1"/>
      <c r="E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</row>
    <row r="249" spans="1:65" x14ac:dyDescent="0.25">
      <c r="A249" s="1"/>
      <c r="B249" s="2"/>
      <c r="C249" s="2"/>
      <c r="D249" s="1"/>
      <c r="E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</row>
    <row r="250" spans="1:65" x14ac:dyDescent="0.25">
      <c r="A250" s="1"/>
      <c r="B250" s="2"/>
      <c r="C250" s="2"/>
      <c r="D250" s="1"/>
      <c r="E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</row>
    <row r="251" spans="1:65" x14ac:dyDescent="0.25">
      <c r="A251" s="1"/>
      <c r="B251" s="2"/>
      <c r="C251" s="2"/>
      <c r="D251" s="1"/>
      <c r="E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</row>
    <row r="252" spans="1:65" x14ac:dyDescent="0.25">
      <c r="A252" s="1"/>
      <c r="B252" s="2"/>
      <c r="C252" s="2"/>
      <c r="D252" s="1"/>
      <c r="E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</row>
    <row r="253" spans="1:65" x14ac:dyDescent="0.25">
      <c r="A253" s="1"/>
      <c r="B253" s="2"/>
      <c r="C253" s="2"/>
      <c r="D253" s="1"/>
      <c r="E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</row>
    <row r="254" spans="1:65" x14ac:dyDescent="0.25">
      <c r="A254" s="1"/>
      <c r="B254" s="2"/>
      <c r="C254" s="2"/>
      <c r="D254" s="1"/>
      <c r="E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</row>
    <row r="255" spans="1:65" x14ac:dyDescent="0.25">
      <c r="A255" s="1"/>
      <c r="B255" s="2"/>
      <c r="C255" s="2"/>
      <c r="D255" s="1"/>
      <c r="E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</row>
    <row r="256" spans="1:65" x14ac:dyDescent="0.25">
      <c r="A256" s="1"/>
      <c r="B256" s="2"/>
      <c r="C256" s="2"/>
      <c r="D256" s="1"/>
      <c r="E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</row>
    <row r="257" spans="1:65" x14ac:dyDescent="0.25">
      <c r="A257" s="1"/>
      <c r="B257" s="2"/>
      <c r="C257" s="2"/>
      <c r="D257" s="1"/>
      <c r="E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</row>
    <row r="258" spans="1:65" x14ac:dyDescent="0.25">
      <c r="A258" s="1"/>
      <c r="B258" s="2"/>
      <c r="C258" s="2"/>
      <c r="D258" s="1"/>
      <c r="E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</row>
    <row r="259" spans="1:65" x14ac:dyDescent="0.25">
      <c r="A259" s="1"/>
      <c r="B259" s="2"/>
      <c r="C259" s="2"/>
      <c r="D259" s="1"/>
      <c r="E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</row>
    <row r="260" spans="1:65" x14ac:dyDescent="0.25">
      <c r="A260" s="1"/>
      <c r="B260" s="2"/>
      <c r="C260" s="2"/>
      <c r="D260" s="1"/>
      <c r="E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</row>
    <row r="261" spans="1:65" x14ac:dyDescent="0.25">
      <c r="A261" s="1"/>
      <c r="B261" s="2"/>
      <c r="C261" s="2"/>
      <c r="D261" s="1"/>
      <c r="E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</row>
    <row r="262" spans="1:65" x14ac:dyDescent="0.25">
      <c r="A262" s="1"/>
      <c r="B262" s="2"/>
      <c r="C262" s="2"/>
      <c r="D262" s="1"/>
      <c r="E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</row>
    <row r="263" spans="1:65" x14ac:dyDescent="0.25">
      <c r="A263" s="1"/>
      <c r="B263" s="2"/>
      <c r="C263" s="2"/>
      <c r="D263" s="1"/>
      <c r="E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</row>
    <row r="264" spans="1:65" x14ac:dyDescent="0.25">
      <c r="A264" s="1"/>
      <c r="B264" s="2"/>
      <c r="C264" s="2"/>
      <c r="D264" s="1"/>
      <c r="E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</row>
    <row r="265" spans="1:65" x14ac:dyDescent="0.25">
      <c r="A265" s="1"/>
      <c r="B265" s="2"/>
      <c r="C265" s="2"/>
      <c r="D265" s="1"/>
      <c r="E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</row>
    <row r="266" spans="1:65" x14ac:dyDescent="0.25">
      <c r="A266" s="1"/>
      <c r="B266" s="2"/>
      <c r="C266" s="2"/>
      <c r="D266" s="1"/>
      <c r="E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</row>
    <row r="267" spans="1:65" x14ac:dyDescent="0.25">
      <c r="A267" s="1"/>
      <c r="B267" s="2"/>
      <c r="C267" s="2"/>
      <c r="D267" s="1"/>
      <c r="E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</row>
    <row r="268" spans="1:65" x14ac:dyDescent="0.25">
      <c r="A268" s="1"/>
      <c r="B268" s="2"/>
      <c r="C268" s="2"/>
      <c r="D268" s="1"/>
      <c r="E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</row>
    <row r="269" spans="1:65" x14ac:dyDescent="0.25">
      <c r="A269" s="1"/>
      <c r="B269" s="2"/>
      <c r="C269" s="2"/>
      <c r="D269" s="1"/>
      <c r="E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</row>
    <row r="270" spans="1:65" x14ac:dyDescent="0.25">
      <c r="A270" s="1"/>
      <c r="B270" s="2"/>
      <c r="C270" s="2"/>
      <c r="D270" s="1"/>
      <c r="E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</row>
    <row r="271" spans="1:65" x14ac:dyDescent="0.25">
      <c r="A271" s="1"/>
      <c r="B271" s="2"/>
      <c r="C271" s="2"/>
      <c r="D271" s="1"/>
      <c r="E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</row>
    <row r="272" spans="1:65" x14ac:dyDescent="0.25">
      <c r="A272" s="1"/>
      <c r="B272" s="2"/>
      <c r="C272" s="2"/>
      <c r="D272" s="1"/>
      <c r="E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</row>
    <row r="273" spans="1:65" x14ac:dyDescent="0.25">
      <c r="A273" s="1"/>
      <c r="B273" s="2"/>
      <c r="C273" s="2"/>
      <c r="D273" s="1"/>
      <c r="E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</row>
    <row r="274" spans="1:65" x14ac:dyDescent="0.25">
      <c r="A274" s="1"/>
      <c r="B274" s="2"/>
      <c r="C274" s="2"/>
      <c r="D274" s="1"/>
      <c r="E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</row>
    <row r="275" spans="1:65" x14ac:dyDescent="0.25">
      <c r="A275" s="1"/>
      <c r="B275" s="2"/>
      <c r="C275" s="2"/>
      <c r="D275" s="1"/>
      <c r="E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</row>
    <row r="276" spans="1:65" x14ac:dyDescent="0.25">
      <c r="A276" s="1"/>
      <c r="B276" s="2"/>
      <c r="C276" s="2"/>
      <c r="D276" s="1"/>
      <c r="E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</row>
    <row r="277" spans="1:65" x14ac:dyDescent="0.25">
      <c r="A277" s="1"/>
      <c r="B277" s="2"/>
      <c r="C277" s="2"/>
      <c r="D277" s="1"/>
      <c r="E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</row>
    <row r="278" spans="1:65" x14ac:dyDescent="0.25">
      <c r="A278" s="1"/>
      <c r="B278" s="2"/>
      <c r="C278" s="2"/>
      <c r="D278" s="1"/>
      <c r="E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</row>
    <row r="279" spans="1:65" x14ac:dyDescent="0.25">
      <c r="A279" s="1"/>
      <c r="B279" s="2"/>
      <c r="C279" s="2"/>
      <c r="D279" s="1"/>
      <c r="E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</row>
    <row r="280" spans="1:65" x14ac:dyDescent="0.25">
      <c r="A280" s="1"/>
      <c r="B280" s="2"/>
      <c r="C280" s="2"/>
      <c r="D280" s="1"/>
      <c r="E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</row>
    <row r="281" spans="1:65" x14ac:dyDescent="0.25">
      <c r="A281" s="1"/>
      <c r="B281" s="2"/>
      <c r="C281" s="2"/>
      <c r="D281" s="1"/>
      <c r="E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</row>
    <row r="282" spans="1:65" x14ac:dyDescent="0.25">
      <c r="A282" s="1"/>
      <c r="B282" s="2"/>
      <c r="C282" s="2"/>
      <c r="D282" s="1"/>
      <c r="E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</row>
    <row r="283" spans="1:65" x14ac:dyDescent="0.25">
      <c r="A283" s="1"/>
      <c r="B283" s="2"/>
      <c r="C283" s="2"/>
      <c r="D283" s="1"/>
      <c r="E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</row>
    <row r="284" spans="1:65" x14ac:dyDescent="0.25">
      <c r="A284" s="1"/>
      <c r="B284" s="2"/>
      <c r="C284" s="2"/>
      <c r="D284" s="1"/>
      <c r="E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</row>
    <row r="285" spans="1:65" x14ac:dyDescent="0.25">
      <c r="A285" s="1"/>
      <c r="B285" s="2"/>
      <c r="C285" s="2"/>
      <c r="D285" s="1"/>
      <c r="E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</row>
    <row r="286" spans="1:65" x14ac:dyDescent="0.25">
      <c r="A286" s="1"/>
      <c r="B286" s="2"/>
      <c r="C286" s="2"/>
      <c r="D286" s="1"/>
      <c r="E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</row>
    <row r="287" spans="1:65" x14ac:dyDescent="0.25">
      <c r="A287" s="1"/>
      <c r="B287" s="2"/>
      <c r="C287" s="2"/>
      <c r="D287" s="1"/>
      <c r="E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</row>
    <row r="288" spans="1:65" x14ac:dyDescent="0.25">
      <c r="A288" s="1"/>
      <c r="B288" s="2"/>
      <c r="C288" s="2"/>
      <c r="D288" s="1"/>
      <c r="E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</row>
    <row r="289" spans="1:65" x14ac:dyDescent="0.25">
      <c r="A289" s="1"/>
      <c r="B289" s="2"/>
      <c r="C289" s="2"/>
      <c r="D289" s="1"/>
      <c r="E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</row>
    <row r="290" spans="1:65" x14ac:dyDescent="0.25">
      <c r="A290" s="1"/>
      <c r="B290" s="2"/>
      <c r="C290" s="2"/>
      <c r="D290" s="1"/>
      <c r="E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</row>
    <row r="291" spans="1:65" x14ac:dyDescent="0.25">
      <c r="A291" s="1"/>
      <c r="B291" s="2"/>
      <c r="C291" s="2"/>
      <c r="D291" s="1"/>
      <c r="E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</row>
    <row r="292" spans="1:65" x14ac:dyDescent="0.25">
      <c r="A292" s="1"/>
      <c r="B292" s="2"/>
      <c r="C292" s="2"/>
      <c r="D292" s="1"/>
      <c r="E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</row>
    <row r="293" spans="1:65" x14ac:dyDescent="0.25">
      <c r="A293" s="1"/>
      <c r="B293" s="2"/>
      <c r="C293" s="2"/>
      <c r="D293" s="1"/>
      <c r="E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</row>
    <row r="294" spans="1:65" x14ac:dyDescent="0.25">
      <c r="A294" s="1"/>
      <c r="B294" s="2"/>
      <c r="C294" s="2"/>
      <c r="D294" s="1"/>
      <c r="E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</row>
    <row r="295" spans="1:65" x14ac:dyDescent="0.25">
      <c r="A295" s="1"/>
      <c r="B295" s="2"/>
      <c r="C295" s="2"/>
      <c r="D295" s="1"/>
      <c r="E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</row>
    <row r="296" spans="1:65" x14ac:dyDescent="0.25">
      <c r="A296" s="1"/>
      <c r="B296" s="2"/>
      <c r="C296" s="2"/>
      <c r="D296" s="1"/>
      <c r="E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</row>
    <row r="297" spans="1:65" x14ac:dyDescent="0.25">
      <c r="A297" s="1"/>
      <c r="B297" s="2"/>
      <c r="C297" s="2"/>
      <c r="D297" s="1"/>
      <c r="E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</row>
    <row r="298" spans="1:65" x14ac:dyDescent="0.25">
      <c r="A298" s="1"/>
      <c r="B298" s="2"/>
      <c r="C298" s="2"/>
      <c r="D298" s="1"/>
      <c r="E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</row>
    <row r="299" spans="1:65" x14ac:dyDescent="0.25">
      <c r="A299" s="1"/>
      <c r="B299" s="2"/>
      <c r="C299" s="2"/>
      <c r="D299" s="1"/>
      <c r="E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</row>
    <row r="300" spans="1:65" x14ac:dyDescent="0.25">
      <c r="A300" s="1"/>
      <c r="B300" s="2"/>
      <c r="C300" s="2"/>
      <c r="D300" s="1"/>
      <c r="E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</row>
    <row r="301" spans="1:65" x14ac:dyDescent="0.25">
      <c r="A301" s="1"/>
      <c r="B301" s="2"/>
      <c r="C301" s="2"/>
      <c r="D301" s="1"/>
      <c r="E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</row>
    <row r="302" spans="1:65" x14ac:dyDescent="0.25">
      <c r="A302" s="1"/>
      <c r="B302" s="2"/>
      <c r="C302" s="2"/>
      <c r="D302" s="1"/>
      <c r="E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</row>
    <row r="303" spans="1:65" x14ac:dyDescent="0.25">
      <c r="A303" s="1"/>
      <c r="B303" s="2"/>
      <c r="C303" s="2"/>
      <c r="D303" s="1"/>
      <c r="E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</row>
    <row r="304" spans="1:65" x14ac:dyDescent="0.25">
      <c r="A304" s="1"/>
      <c r="B304" s="2"/>
      <c r="C304" s="2"/>
      <c r="D304" s="1"/>
      <c r="E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</row>
    <row r="305" spans="1:65" x14ac:dyDescent="0.25">
      <c r="A305" s="1"/>
      <c r="B305" s="2"/>
      <c r="C305" s="2"/>
      <c r="D305" s="1"/>
      <c r="E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</row>
    <row r="306" spans="1:65" x14ac:dyDescent="0.25">
      <c r="A306" s="1"/>
      <c r="B306" s="2"/>
      <c r="C306" s="2"/>
      <c r="D306" s="1"/>
      <c r="E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</row>
    <row r="307" spans="1:65" x14ac:dyDescent="0.25">
      <c r="A307" s="1"/>
      <c r="B307" s="2"/>
      <c r="C307" s="2"/>
      <c r="D307" s="1"/>
      <c r="E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</row>
    <row r="308" spans="1:65" x14ac:dyDescent="0.25">
      <c r="A308" s="1"/>
      <c r="B308" s="2"/>
      <c r="C308" s="2"/>
      <c r="D308" s="1"/>
      <c r="E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</row>
    <row r="309" spans="1:65" x14ac:dyDescent="0.25">
      <c r="A309" s="1"/>
      <c r="B309" s="2"/>
      <c r="C309" s="2"/>
      <c r="D309" s="1"/>
      <c r="E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</row>
    <row r="310" spans="1:65" x14ac:dyDescent="0.25">
      <c r="A310" s="1"/>
      <c r="B310" s="2"/>
      <c r="C310" s="2"/>
      <c r="D310" s="1"/>
      <c r="E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</row>
    <row r="311" spans="1:65" x14ac:dyDescent="0.25">
      <c r="A311" s="1"/>
      <c r="B311" s="2"/>
      <c r="C311" s="2"/>
      <c r="D311" s="1"/>
      <c r="E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</row>
    <row r="312" spans="1:65" x14ac:dyDescent="0.25">
      <c r="A312" s="1"/>
      <c r="B312" s="2"/>
      <c r="C312" s="2"/>
      <c r="D312" s="1"/>
      <c r="E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</row>
    <row r="313" spans="1:65" x14ac:dyDescent="0.25">
      <c r="A313" s="1"/>
      <c r="B313" s="2"/>
      <c r="C313" s="2"/>
      <c r="D313" s="1"/>
      <c r="E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</row>
    <row r="314" spans="1:65" x14ac:dyDescent="0.25">
      <c r="A314" s="1"/>
      <c r="B314" s="2"/>
      <c r="C314" s="2"/>
      <c r="D314" s="1"/>
      <c r="E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</row>
    <row r="315" spans="1:65" x14ac:dyDescent="0.25">
      <c r="A315" s="1"/>
      <c r="B315" s="2"/>
      <c r="C315" s="2"/>
      <c r="D315" s="1"/>
      <c r="E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</row>
    <row r="316" spans="1:65" x14ac:dyDescent="0.25">
      <c r="A316" s="1"/>
      <c r="B316" s="2"/>
      <c r="C316" s="2"/>
      <c r="D316" s="1"/>
      <c r="E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</row>
    <row r="317" spans="1:65" x14ac:dyDescent="0.25">
      <c r="A317" s="1"/>
      <c r="B317" s="2"/>
      <c r="C317" s="2"/>
      <c r="D317" s="1"/>
      <c r="E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</row>
    <row r="318" spans="1:65" x14ac:dyDescent="0.25">
      <c r="A318" s="1"/>
      <c r="B318" s="2"/>
      <c r="C318" s="2"/>
      <c r="D318" s="1"/>
      <c r="E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</row>
    <row r="319" spans="1:65" x14ac:dyDescent="0.25">
      <c r="A319" s="1"/>
      <c r="B319" s="2"/>
      <c r="C319" s="2"/>
      <c r="D319" s="1"/>
      <c r="E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</row>
    <row r="320" spans="1:65" x14ac:dyDescent="0.25">
      <c r="A320" s="1"/>
      <c r="B320" s="2"/>
      <c r="C320" s="2"/>
      <c r="D320" s="1"/>
      <c r="E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</row>
    <row r="321" spans="1:65" x14ac:dyDescent="0.25">
      <c r="A321" s="1"/>
      <c r="B321" s="2"/>
      <c r="C321" s="2"/>
      <c r="D321" s="1"/>
      <c r="E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</row>
    <row r="322" spans="1:65" x14ac:dyDescent="0.25">
      <c r="A322" s="1"/>
      <c r="B322" s="2"/>
      <c r="C322" s="2"/>
      <c r="D322" s="1"/>
      <c r="E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</row>
    <row r="323" spans="1:65" x14ac:dyDescent="0.25">
      <c r="A323" s="1"/>
      <c r="B323" s="2"/>
      <c r="C323" s="2"/>
      <c r="D323" s="1"/>
      <c r="E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</row>
    <row r="324" spans="1:65" x14ac:dyDescent="0.25">
      <c r="A324" s="1"/>
      <c r="B324" s="2"/>
      <c r="C324" s="2"/>
      <c r="D324" s="1"/>
      <c r="E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</row>
    <row r="325" spans="1:65" x14ac:dyDescent="0.25">
      <c r="A325" s="1"/>
      <c r="B325" s="2"/>
      <c r="C325" s="2"/>
      <c r="D325" s="1"/>
      <c r="E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</row>
    <row r="326" spans="1:65" x14ac:dyDescent="0.25">
      <c r="A326" s="1"/>
      <c r="B326" s="2"/>
      <c r="C326" s="2"/>
      <c r="D326" s="1"/>
      <c r="E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</row>
    <row r="327" spans="1:65" x14ac:dyDescent="0.25">
      <c r="A327" s="1"/>
      <c r="B327" s="2"/>
      <c r="C327" s="2"/>
      <c r="D327" s="1"/>
      <c r="E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</row>
    <row r="328" spans="1:65" x14ac:dyDescent="0.25">
      <c r="A328" s="1"/>
      <c r="B328" s="2"/>
      <c r="C328" s="2"/>
      <c r="D328" s="1"/>
      <c r="E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</row>
    <row r="329" spans="1:65" x14ac:dyDescent="0.25">
      <c r="A329" s="1"/>
      <c r="B329" s="2"/>
      <c r="C329" s="2"/>
      <c r="D329" s="1"/>
      <c r="E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</row>
    <row r="330" spans="1:65" x14ac:dyDescent="0.25">
      <c r="A330" s="1"/>
      <c r="B330" s="2"/>
      <c r="C330" s="2"/>
      <c r="D330" s="1"/>
      <c r="E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</row>
    <row r="331" spans="1:65" x14ac:dyDescent="0.25">
      <c r="A331" s="1"/>
      <c r="B331" s="2"/>
      <c r="C331" s="2"/>
      <c r="D331" s="1"/>
      <c r="E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</row>
    <row r="332" spans="1:65" x14ac:dyDescent="0.25">
      <c r="A332" s="1"/>
      <c r="B332" s="2"/>
      <c r="C332" s="2"/>
      <c r="D332" s="1"/>
      <c r="E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H332" s="1"/>
      <c r="BI332" s="1"/>
      <c r="BJ332" s="1"/>
      <c r="BK332" s="1"/>
      <c r="BL332" s="1"/>
      <c r="BM332" s="1"/>
    </row>
    <row r="333" spans="1:65" x14ac:dyDescent="0.25">
      <c r="A333" s="1"/>
      <c r="B333" s="2"/>
      <c r="C333" s="2"/>
      <c r="D333" s="1"/>
      <c r="E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H333" s="1"/>
      <c r="BI333" s="1"/>
      <c r="BJ333" s="1"/>
      <c r="BK333" s="1"/>
      <c r="BL333" s="1"/>
      <c r="BM333" s="1"/>
    </row>
    <row r="334" spans="1:65" x14ac:dyDescent="0.25">
      <c r="A334" s="1"/>
      <c r="B334" s="2"/>
      <c r="C334" s="2"/>
      <c r="D334" s="1"/>
      <c r="E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H334" s="1"/>
      <c r="BI334" s="1"/>
      <c r="BJ334" s="1"/>
      <c r="BK334" s="1"/>
      <c r="BL334" s="1"/>
      <c r="BM334" s="1"/>
    </row>
    <row r="335" spans="1:65" x14ac:dyDescent="0.25">
      <c r="A335" s="1"/>
      <c r="B335" s="2"/>
      <c r="C335" s="2"/>
      <c r="D335" s="1"/>
      <c r="E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H335" s="1"/>
      <c r="BI335" s="1"/>
      <c r="BJ335" s="1"/>
      <c r="BK335" s="1"/>
      <c r="BL335" s="1"/>
      <c r="BM335" s="1"/>
    </row>
    <row r="336" spans="1:65" x14ac:dyDescent="0.25">
      <c r="A336" s="1"/>
      <c r="B336" s="2"/>
      <c r="C336" s="2"/>
      <c r="D336" s="1"/>
      <c r="E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H336" s="1"/>
      <c r="BI336" s="1"/>
      <c r="BJ336" s="1"/>
      <c r="BK336" s="1"/>
      <c r="BL336" s="1"/>
      <c r="BM336" s="1"/>
    </row>
    <row r="337" spans="1:65" x14ac:dyDescent="0.25">
      <c r="A337" s="1"/>
      <c r="B337" s="2"/>
      <c r="C337" s="2"/>
      <c r="D337" s="1"/>
      <c r="E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H337" s="1"/>
      <c r="BI337" s="1"/>
      <c r="BJ337" s="1"/>
      <c r="BK337" s="1"/>
      <c r="BL337" s="1"/>
      <c r="BM337" s="1"/>
    </row>
    <row r="338" spans="1:65" x14ac:dyDescent="0.25">
      <c r="A338" s="1"/>
      <c r="B338" s="2"/>
      <c r="C338" s="2"/>
      <c r="D338" s="1"/>
      <c r="E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H338" s="1"/>
      <c r="BI338" s="1"/>
      <c r="BJ338" s="1"/>
      <c r="BK338" s="1"/>
      <c r="BL338" s="1"/>
      <c r="BM338" s="1"/>
    </row>
    <row r="339" spans="1:65" x14ac:dyDescent="0.25">
      <c r="A339" s="1"/>
      <c r="B339" s="2"/>
      <c r="C339" s="2"/>
      <c r="D339" s="1"/>
      <c r="E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H339" s="1"/>
      <c r="BI339" s="1"/>
      <c r="BJ339" s="1"/>
      <c r="BK339" s="1"/>
      <c r="BL339" s="1"/>
      <c r="BM339" s="1"/>
    </row>
    <row r="340" spans="1:65" x14ac:dyDescent="0.25">
      <c r="A340" s="1"/>
      <c r="B340" s="2"/>
      <c r="C340" s="2"/>
      <c r="D340" s="1"/>
      <c r="E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H340" s="1"/>
      <c r="BI340" s="1"/>
      <c r="BJ340" s="1"/>
      <c r="BK340" s="1"/>
      <c r="BL340" s="1"/>
      <c r="BM340" s="1"/>
    </row>
    <row r="341" spans="1:65" x14ac:dyDescent="0.25">
      <c r="A341" s="1"/>
      <c r="B341" s="2"/>
      <c r="C341" s="2"/>
      <c r="D341" s="1"/>
      <c r="E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H341" s="1"/>
      <c r="BI341" s="1"/>
      <c r="BJ341" s="1"/>
      <c r="BK341" s="1"/>
      <c r="BL341" s="1"/>
      <c r="BM341" s="1"/>
    </row>
    <row r="342" spans="1:65" x14ac:dyDescent="0.25">
      <c r="A342" s="1"/>
      <c r="B342" s="2"/>
      <c r="C342" s="2"/>
      <c r="D342" s="1"/>
      <c r="E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H342" s="1"/>
      <c r="BI342" s="1"/>
      <c r="BJ342" s="1"/>
      <c r="BK342" s="1"/>
      <c r="BL342" s="1"/>
      <c r="BM342" s="1"/>
    </row>
    <row r="343" spans="1:65" x14ac:dyDescent="0.25">
      <c r="A343" s="1"/>
      <c r="B343" s="2"/>
      <c r="C343" s="2"/>
      <c r="D343" s="1"/>
      <c r="E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H343" s="1"/>
      <c r="BI343" s="1"/>
      <c r="BJ343" s="1"/>
      <c r="BK343" s="1"/>
      <c r="BL343" s="1"/>
      <c r="BM343" s="1"/>
    </row>
    <row r="344" spans="1:65" x14ac:dyDescent="0.25">
      <c r="A344" s="1"/>
      <c r="B344" s="2"/>
      <c r="C344" s="2"/>
      <c r="D344" s="1"/>
      <c r="E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H344" s="1"/>
      <c r="BI344" s="1"/>
      <c r="BJ344" s="1"/>
      <c r="BK344" s="1"/>
      <c r="BL344" s="1"/>
      <c r="BM344" s="1"/>
    </row>
    <row r="345" spans="1:65" x14ac:dyDescent="0.25">
      <c r="A345" s="1"/>
      <c r="B345" s="2"/>
      <c r="C345" s="2"/>
      <c r="D345" s="1"/>
      <c r="E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H345" s="1"/>
      <c r="BI345" s="1"/>
      <c r="BJ345" s="1"/>
      <c r="BK345" s="1"/>
      <c r="BL345" s="1"/>
      <c r="BM345" s="1"/>
    </row>
    <row r="346" spans="1:65" x14ac:dyDescent="0.25">
      <c r="A346" s="1"/>
      <c r="B346" s="2"/>
      <c r="C346" s="2"/>
      <c r="D346" s="1"/>
      <c r="E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H346" s="1"/>
      <c r="BI346" s="1"/>
      <c r="BJ346" s="1"/>
      <c r="BK346" s="1"/>
      <c r="BL346" s="1"/>
      <c r="BM346" s="1"/>
    </row>
    <row r="347" spans="1:65" x14ac:dyDescent="0.25">
      <c r="A347" s="1"/>
      <c r="B347" s="2"/>
      <c r="C347" s="2"/>
      <c r="D347" s="1"/>
      <c r="E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H347" s="1"/>
      <c r="BI347" s="1"/>
      <c r="BJ347" s="1"/>
      <c r="BK347" s="1"/>
      <c r="BL347" s="1"/>
      <c r="BM347" s="1"/>
    </row>
    <row r="348" spans="1:65" x14ac:dyDescent="0.25">
      <c r="A348" s="1"/>
      <c r="B348" s="2"/>
      <c r="C348" s="2"/>
      <c r="D348" s="1"/>
      <c r="E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H348" s="1"/>
      <c r="BI348" s="1"/>
      <c r="BJ348" s="1"/>
      <c r="BK348" s="1"/>
      <c r="BL348" s="1"/>
      <c r="BM348" s="1"/>
    </row>
    <row r="349" spans="1:65" x14ac:dyDescent="0.25">
      <c r="A349" s="1"/>
      <c r="B349" s="2"/>
      <c r="C349" s="2"/>
      <c r="D349" s="1"/>
      <c r="E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H349" s="1"/>
      <c r="BI349" s="1"/>
      <c r="BJ349" s="1"/>
      <c r="BK349" s="1"/>
      <c r="BL349" s="1"/>
      <c r="BM349" s="1"/>
    </row>
    <row r="350" spans="1:65" x14ac:dyDescent="0.25">
      <c r="A350" s="1"/>
      <c r="B350" s="2"/>
      <c r="C350" s="2"/>
      <c r="D350" s="1"/>
      <c r="E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H350" s="1"/>
      <c r="BI350" s="1"/>
      <c r="BJ350" s="1"/>
      <c r="BK350" s="1"/>
      <c r="BL350" s="1"/>
      <c r="BM350" s="1"/>
    </row>
    <row r="351" spans="1:65" x14ac:dyDescent="0.25">
      <c r="A351" s="1"/>
      <c r="B351" s="2"/>
      <c r="C351" s="2"/>
      <c r="D351" s="1"/>
      <c r="E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H351" s="1"/>
      <c r="BI351" s="1"/>
      <c r="BJ351" s="1"/>
      <c r="BK351" s="1"/>
      <c r="BL351" s="1"/>
      <c r="BM351" s="1"/>
    </row>
    <row r="352" spans="1:65" x14ac:dyDescent="0.25">
      <c r="A352" s="1"/>
      <c r="B352" s="2"/>
      <c r="C352" s="2"/>
      <c r="D352" s="1"/>
      <c r="E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H352" s="1"/>
      <c r="BI352" s="1"/>
      <c r="BJ352" s="1"/>
      <c r="BK352" s="1"/>
      <c r="BL352" s="1"/>
      <c r="BM352" s="1"/>
    </row>
    <row r="353" spans="1:65" x14ac:dyDescent="0.25">
      <c r="A353" s="1"/>
      <c r="B353" s="2"/>
      <c r="C353" s="2"/>
      <c r="D353" s="1"/>
      <c r="E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H353" s="1"/>
      <c r="BI353" s="1"/>
      <c r="BJ353" s="1"/>
      <c r="BK353" s="1"/>
      <c r="BL353" s="1"/>
      <c r="BM353" s="1"/>
    </row>
    <row r="354" spans="1:65" x14ac:dyDescent="0.25">
      <c r="A354" s="1"/>
      <c r="B354" s="2"/>
      <c r="C354" s="2"/>
      <c r="D354" s="1"/>
      <c r="E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H354" s="1"/>
      <c r="BI354" s="1"/>
      <c r="BJ354" s="1"/>
      <c r="BK354" s="1"/>
      <c r="BL354" s="1"/>
      <c r="BM354" s="1"/>
    </row>
    <row r="355" spans="1:65" x14ac:dyDescent="0.25">
      <c r="A355" s="1"/>
      <c r="B355" s="2"/>
      <c r="C355" s="2"/>
      <c r="D355" s="1"/>
      <c r="E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H355" s="1"/>
      <c r="BI355" s="1"/>
      <c r="BJ355" s="1"/>
      <c r="BK355" s="1"/>
      <c r="BL355" s="1"/>
      <c r="BM355" s="1"/>
    </row>
    <row r="356" spans="1:65" x14ac:dyDescent="0.25">
      <c r="A356" s="1"/>
      <c r="B356" s="2"/>
      <c r="C356" s="2"/>
      <c r="D356" s="1"/>
      <c r="E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H356" s="1"/>
      <c r="BI356" s="1"/>
      <c r="BJ356" s="1"/>
      <c r="BK356" s="1"/>
      <c r="BL356" s="1"/>
      <c r="BM356" s="1"/>
    </row>
    <row r="357" spans="1:65" x14ac:dyDescent="0.25">
      <c r="A357" s="1"/>
      <c r="B357" s="2"/>
      <c r="C357" s="2"/>
      <c r="D357" s="1"/>
      <c r="E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H357" s="1"/>
      <c r="BI357" s="1"/>
      <c r="BJ357" s="1"/>
      <c r="BK357" s="1"/>
      <c r="BL357" s="1"/>
      <c r="BM357" s="1"/>
    </row>
    <row r="358" spans="1:65" x14ac:dyDescent="0.25">
      <c r="A358" s="1"/>
      <c r="B358" s="2"/>
      <c r="C358" s="2"/>
      <c r="D358" s="1"/>
      <c r="E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H358" s="1"/>
      <c r="BI358" s="1"/>
      <c r="BJ358" s="1"/>
      <c r="BK358" s="1"/>
      <c r="BL358" s="1"/>
      <c r="BM358" s="1"/>
    </row>
    <row r="359" spans="1:65" x14ac:dyDescent="0.25">
      <c r="A359" s="1"/>
      <c r="B359" s="2"/>
      <c r="C359" s="2"/>
      <c r="D359" s="1"/>
      <c r="E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H359" s="1"/>
      <c r="BI359" s="1"/>
      <c r="BJ359" s="1"/>
      <c r="BK359" s="1"/>
      <c r="BL359" s="1"/>
      <c r="BM359" s="1"/>
    </row>
    <row r="360" spans="1:65" x14ac:dyDescent="0.25">
      <c r="A360" s="1"/>
      <c r="B360" s="2"/>
      <c r="C360" s="2"/>
      <c r="D360" s="1"/>
      <c r="E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H360" s="1"/>
      <c r="BI360" s="1"/>
      <c r="BJ360" s="1"/>
      <c r="BK360" s="1"/>
      <c r="BL360" s="1"/>
      <c r="BM360" s="1"/>
    </row>
    <row r="361" spans="1:65" x14ac:dyDescent="0.25">
      <c r="A361" s="1"/>
      <c r="B361" s="2"/>
      <c r="C361" s="2"/>
      <c r="D361" s="1"/>
      <c r="E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H361" s="1"/>
      <c r="BI361" s="1"/>
      <c r="BJ361" s="1"/>
      <c r="BK361" s="1"/>
      <c r="BL361" s="1"/>
      <c r="BM361" s="1"/>
    </row>
    <row r="362" spans="1:65" x14ac:dyDescent="0.25">
      <c r="A362" s="1"/>
      <c r="B362" s="2"/>
      <c r="C362" s="2"/>
      <c r="D362" s="1"/>
      <c r="E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H362" s="1"/>
      <c r="BI362" s="1"/>
      <c r="BJ362" s="1"/>
      <c r="BK362" s="1"/>
      <c r="BL362" s="1"/>
      <c r="BM362" s="1"/>
    </row>
    <row r="363" spans="1:65" x14ac:dyDescent="0.25">
      <c r="A363" s="1"/>
      <c r="B363" s="2"/>
      <c r="C363" s="2"/>
      <c r="D363" s="1"/>
      <c r="E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H363" s="1"/>
      <c r="BI363" s="1"/>
      <c r="BJ363" s="1"/>
      <c r="BK363" s="1"/>
      <c r="BL363" s="1"/>
      <c r="BM363" s="1"/>
    </row>
    <row r="364" spans="1:65" x14ac:dyDescent="0.25">
      <c r="A364" s="1"/>
      <c r="B364" s="2"/>
      <c r="C364" s="2"/>
      <c r="D364" s="1"/>
      <c r="E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H364" s="1"/>
      <c r="BI364" s="1"/>
      <c r="BJ364" s="1"/>
      <c r="BK364" s="1"/>
      <c r="BL364" s="1"/>
      <c r="BM364" s="1"/>
    </row>
    <row r="365" spans="1:65" x14ac:dyDescent="0.25">
      <c r="A365" s="1"/>
      <c r="B365" s="2"/>
      <c r="C365" s="2"/>
      <c r="D365" s="1"/>
      <c r="E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H365" s="1"/>
      <c r="BI365" s="1"/>
      <c r="BJ365" s="1"/>
      <c r="BK365" s="1"/>
      <c r="BL365" s="1"/>
      <c r="BM365" s="1"/>
    </row>
    <row r="366" spans="1:65" x14ac:dyDescent="0.25">
      <c r="A366" s="1"/>
      <c r="B366" s="2"/>
      <c r="C366" s="2"/>
      <c r="D366" s="1"/>
      <c r="E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H366" s="1"/>
      <c r="BI366" s="1"/>
      <c r="BJ366" s="1"/>
      <c r="BK366" s="1"/>
      <c r="BL366" s="1"/>
      <c r="BM366" s="1"/>
    </row>
    <row r="367" spans="1:65" x14ac:dyDescent="0.25">
      <c r="A367" s="1"/>
      <c r="B367" s="2"/>
      <c r="C367" s="2"/>
      <c r="D367" s="1"/>
      <c r="E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H367" s="1"/>
      <c r="BI367" s="1"/>
      <c r="BJ367" s="1"/>
      <c r="BK367" s="1"/>
      <c r="BL367" s="1"/>
      <c r="BM367" s="1"/>
    </row>
    <row r="368" spans="1:65" x14ac:dyDescent="0.25">
      <c r="A368" s="1"/>
      <c r="B368" s="2"/>
      <c r="C368" s="2"/>
      <c r="D368" s="1"/>
      <c r="E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H368" s="1"/>
      <c r="BI368" s="1"/>
      <c r="BJ368" s="1"/>
      <c r="BK368" s="1"/>
      <c r="BL368" s="1"/>
      <c r="BM368" s="1"/>
    </row>
    <row r="369" spans="1:65" x14ac:dyDescent="0.25">
      <c r="A369" s="1"/>
      <c r="B369" s="2"/>
      <c r="C369" s="2"/>
      <c r="D369" s="1"/>
      <c r="E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H369" s="1"/>
      <c r="BI369" s="1"/>
      <c r="BJ369" s="1"/>
      <c r="BK369" s="1"/>
      <c r="BL369" s="1"/>
      <c r="BM369" s="1"/>
    </row>
    <row r="370" spans="1:65" x14ac:dyDescent="0.25">
      <c r="A370" s="1"/>
      <c r="B370" s="2"/>
      <c r="C370" s="2"/>
      <c r="D370" s="1"/>
      <c r="E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H370" s="1"/>
      <c r="BI370" s="1"/>
      <c r="BJ370" s="1"/>
      <c r="BK370" s="1"/>
      <c r="BL370" s="1"/>
      <c r="BM370" s="1"/>
    </row>
    <row r="371" spans="1:65" x14ac:dyDescent="0.25">
      <c r="A371" s="1"/>
      <c r="B371" s="2"/>
      <c r="C371" s="2"/>
      <c r="D371" s="1"/>
      <c r="E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H371" s="1"/>
      <c r="BI371" s="1"/>
      <c r="BJ371" s="1"/>
      <c r="BK371" s="1"/>
      <c r="BL371" s="1"/>
      <c r="BM371" s="1"/>
    </row>
    <row r="372" spans="1:65" x14ac:dyDescent="0.25">
      <c r="A372" s="1"/>
      <c r="B372" s="2"/>
      <c r="C372" s="2"/>
      <c r="D372" s="1"/>
      <c r="E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H372" s="1"/>
      <c r="BI372" s="1"/>
      <c r="BJ372" s="1"/>
      <c r="BK372" s="1"/>
      <c r="BL372" s="1"/>
      <c r="BM372" s="1"/>
    </row>
    <row r="373" spans="1:65" x14ac:dyDescent="0.25">
      <c r="A373" s="1"/>
      <c r="B373" s="2"/>
      <c r="C373" s="2"/>
      <c r="D373" s="1"/>
      <c r="E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H373" s="1"/>
      <c r="BI373" s="1"/>
      <c r="BJ373" s="1"/>
      <c r="BK373" s="1"/>
      <c r="BL373" s="1"/>
      <c r="BM373" s="1"/>
    </row>
    <row r="374" spans="1:65" x14ac:dyDescent="0.25">
      <c r="A374" s="1"/>
      <c r="B374" s="2"/>
      <c r="C374" s="2"/>
      <c r="D374" s="1"/>
      <c r="E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H374" s="1"/>
      <c r="BI374" s="1"/>
      <c r="BJ374" s="1"/>
      <c r="BK374" s="1"/>
      <c r="BL374" s="1"/>
      <c r="BM374" s="1"/>
    </row>
    <row r="375" spans="1:65" x14ac:dyDescent="0.25">
      <c r="A375" s="1"/>
      <c r="B375" s="2"/>
      <c r="C375" s="2"/>
      <c r="D375" s="1"/>
      <c r="E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H375" s="1"/>
      <c r="BI375" s="1"/>
      <c r="BJ375" s="1"/>
      <c r="BK375" s="1"/>
      <c r="BL375" s="1"/>
      <c r="BM375" s="1"/>
    </row>
    <row r="376" spans="1:65" x14ac:dyDescent="0.25">
      <c r="A376" s="1"/>
      <c r="B376" s="2"/>
      <c r="C376" s="2"/>
      <c r="D376" s="1"/>
      <c r="E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H376" s="1"/>
      <c r="BI376" s="1"/>
      <c r="BJ376" s="1"/>
      <c r="BK376" s="1"/>
      <c r="BL376" s="1"/>
      <c r="BM376" s="1"/>
    </row>
    <row r="377" spans="1:65" x14ac:dyDescent="0.25">
      <c r="A377" s="1"/>
      <c r="B377" s="2"/>
      <c r="C377" s="2"/>
      <c r="D377" s="1"/>
      <c r="E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H377" s="1"/>
      <c r="BI377" s="1"/>
      <c r="BJ377" s="1"/>
      <c r="BK377" s="1"/>
      <c r="BL377" s="1"/>
      <c r="BM377" s="1"/>
    </row>
    <row r="378" spans="1:65" x14ac:dyDescent="0.25">
      <c r="A378" s="1"/>
      <c r="B378" s="2"/>
      <c r="C378" s="2"/>
      <c r="D378" s="1"/>
      <c r="E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H378" s="1"/>
      <c r="BI378" s="1"/>
      <c r="BJ378" s="1"/>
      <c r="BK378" s="1"/>
      <c r="BL378" s="1"/>
      <c r="BM378" s="1"/>
    </row>
    <row r="379" spans="1:65" x14ac:dyDescent="0.25">
      <c r="A379" s="1"/>
      <c r="B379" s="2"/>
      <c r="C379" s="2"/>
      <c r="D379" s="1"/>
      <c r="E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H379" s="1"/>
      <c r="BI379" s="1"/>
      <c r="BJ379" s="1"/>
      <c r="BK379" s="1"/>
      <c r="BL379" s="1"/>
      <c r="BM379" s="1"/>
    </row>
    <row r="380" spans="1:65" x14ac:dyDescent="0.25">
      <c r="A380" s="1"/>
      <c r="B380" s="2"/>
      <c r="C380" s="2"/>
      <c r="D380" s="1"/>
      <c r="E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H380" s="1"/>
      <c r="BI380" s="1"/>
      <c r="BJ380" s="1"/>
      <c r="BK380" s="1"/>
      <c r="BL380" s="1"/>
      <c r="BM380" s="1"/>
    </row>
    <row r="381" spans="1:65" x14ac:dyDescent="0.25">
      <c r="A381" s="1"/>
      <c r="B381" s="2"/>
      <c r="C381" s="2"/>
      <c r="D381" s="1"/>
      <c r="E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H381" s="1"/>
      <c r="BI381" s="1"/>
      <c r="BJ381" s="1"/>
      <c r="BK381" s="1"/>
      <c r="BL381" s="1"/>
      <c r="BM381" s="1"/>
    </row>
    <row r="382" spans="1:65" x14ac:dyDescent="0.25">
      <c r="A382" s="1"/>
      <c r="B382" s="2"/>
      <c r="C382" s="2"/>
      <c r="D382" s="1"/>
      <c r="E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H382" s="1"/>
      <c r="BI382" s="1"/>
      <c r="BJ382" s="1"/>
      <c r="BK382" s="1"/>
      <c r="BL382" s="1"/>
      <c r="BM382" s="1"/>
    </row>
    <row r="383" spans="1:65" x14ac:dyDescent="0.25">
      <c r="A383" s="1"/>
      <c r="B383" s="2"/>
      <c r="C383" s="2"/>
      <c r="D383" s="1"/>
      <c r="E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H383" s="1"/>
      <c r="BI383" s="1"/>
      <c r="BJ383" s="1"/>
      <c r="BK383" s="1"/>
      <c r="BL383" s="1"/>
      <c r="BM383" s="1"/>
    </row>
    <row r="384" spans="1:65" x14ac:dyDescent="0.25">
      <c r="A384" s="1"/>
      <c r="B384" s="2"/>
      <c r="C384" s="2"/>
      <c r="D384" s="1"/>
      <c r="E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H384" s="1"/>
      <c r="BI384" s="1"/>
      <c r="BJ384" s="1"/>
      <c r="BK384" s="1"/>
      <c r="BL384" s="1"/>
      <c r="BM384" s="1"/>
    </row>
    <row r="385" spans="1:65" x14ac:dyDescent="0.25">
      <c r="A385" s="1"/>
      <c r="B385" s="2"/>
      <c r="C385" s="2"/>
      <c r="D385" s="1"/>
      <c r="E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H385" s="1"/>
      <c r="BI385" s="1"/>
      <c r="BJ385" s="1"/>
      <c r="BK385" s="1"/>
      <c r="BL385" s="1"/>
      <c r="BM385" s="1"/>
    </row>
    <row r="386" spans="1:65" x14ac:dyDescent="0.25">
      <c r="A386" s="1"/>
      <c r="B386" s="2"/>
      <c r="C386" s="2"/>
      <c r="D386" s="1"/>
      <c r="E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H386" s="1"/>
      <c r="BI386" s="1"/>
      <c r="BJ386" s="1"/>
      <c r="BK386" s="1"/>
      <c r="BL386" s="1"/>
      <c r="BM386" s="1"/>
    </row>
    <row r="387" spans="1:65" x14ac:dyDescent="0.25">
      <c r="A387" s="1"/>
      <c r="B387" s="2"/>
      <c r="C387" s="2"/>
      <c r="D387" s="1"/>
      <c r="E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H387" s="1"/>
      <c r="BI387" s="1"/>
      <c r="BJ387" s="1"/>
      <c r="BK387" s="1"/>
      <c r="BL387" s="1"/>
      <c r="BM387" s="1"/>
    </row>
    <row r="388" spans="1:65" x14ac:dyDescent="0.25">
      <c r="A388" s="1"/>
      <c r="B388" s="2"/>
      <c r="C388" s="2"/>
      <c r="D388" s="1"/>
      <c r="E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H388" s="1"/>
      <c r="BI388" s="1"/>
      <c r="BJ388" s="1"/>
      <c r="BK388" s="1"/>
      <c r="BL388" s="1"/>
      <c r="BM388" s="1"/>
    </row>
    <row r="389" spans="1:65" x14ac:dyDescent="0.25">
      <c r="A389" s="1"/>
      <c r="B389" s="2"/>
      <c r="C389" s="2"/>
      <c r="D389" s="1"/>
      <c r="E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H389" s="1"/>
      <c r="BI389" s="1"/>
      <c r="BJ389" s="1"/>
      <c r="BK389" s="1"/>
      <c r="BL389" s="1"/>
      <c r="BM389" s="1"/>
    </row>
    <row r="390" spans="1:65" x14ac:dyDescent="0.25">
      <c r="A390" s="1"/>
      <c r="B390" s="2"/>
      <c r="C390" s="2"/>
      <c r="D390" s="1"/>
      <c r="E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H390" s="1"/>
      <c r="BI390" s="1"/>
      <c r="BJ390" s="1"/>
      <c r="BK390" s="1"/>
      <c r="BL390" s="1"/>
      <c r="BM390" s="1"/>
    </row>
    <row r="391" spans="1:65" x14ac:dyDescent="0.25">
      <c r="A391" s="1"/>
      <c r="B391" s="2"/>
      <c r="C391" s="2"/>
      <c r="D391" s="1"/>
      <c r="E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H391" s="1"/>
      <c r="BI391" s="1"/>
      <c r="BJ391" s="1"/>
      <c r="BK391" s="1"/>
      <c r="BL391" s="1"/>
      <c r="BM391" s="1"/>
    </row>
    <row r="392" spans="1:65" x14ac:dyDescent="0.25">
      <c r="A392" s="1"/>
      <c r="B392" s="2"/>
      <c r="C392" s="2"/>
      <c r="D392" s="1"/>
      <c r="E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H392" s="1"/>
      <c r="BI392" s="1"/>
      <c r="BJ392" s="1"/>
      <c r="BK392" s="1"/>
      <c r="BL392" s="1"/>
      <c r="BM392" s="1"/>
    </row>
    <row r="393" spans="1:65" x14ac:dyDescent="0.25">
      <c r="A393" s="1"/>
      <c r="B393" s="2"/>
      <c r="C393" s="2"/>
      <c r="D393" s="1"/>
      <c r="E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H393" s="1"/>
      <c r="BI393" s="1"/>
      <c r="BJ393" s="1"/>
      <c r="BK393" s="1"/>
      <c r="BL393" s="1"/>
      <c r="BM393" s="1"/>
    </row>
    <row r="394" spans="1:65" x14ac:dyDescent="0.25">
      <c r="A394" s="1"/>
      <c r="B394" s="2"/>
      <c r="C394" s="2"/>
      <c r="D394" s="1"/>
      <c r="E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H394" s="1"/>
      <c r="BI394" s="1"/>
      <c r="BJ394" s="1"/>
      <c r="BK394" s="1"/>
      <c r="BL394" s="1"/>
      <c r="BM394" s="1"/>
    </row>
    <row r="395" spans="1:65" x14ac:dyDescent="0.25">
      <c r="A395" s="1"/>
      <c r="B395" s="2"/>
      <c r="C395" s="2"/>
      <c r="D395" s="1"/>
      <c r="E395" s="1"/>
      <c r="K395" s="1"/>
      <c r="L395" s="1"/>
      <c r="M395" s="1"/>
      <c r="N395" s="1"/>
      <c r="O395" s="1"/>
      <c r="P395" s="1"/>
      <c r="Q395" s="1"/>
      <c r="R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V395" s="1"/>
      <c r="AW395" s="1"/>
      <c r="AY395" s="1"/>
      <c r="AZ395" s="1"/>
      <c r="BB395" s="1"/>
      <c r="BC395" s="1"/>
      <c r="BD395" s="1"/>
      <c r="BE395" s="1"/>
      <c r="BF395" s="1"/>
      <c r="BH395" s="1"/>
      <c r="BI395" s="1"/>
      <c r="BJ395" s="1"/>
      <c r="BK395" s="1"/>
      <c r="BL395" s="1"/>
      <c r="BM395" s="1"/>
    </row>
    <row r="396" spans="1:65" x14ac:dyDescent="0.25">
      <c r="A396" s="1"/>
      <c r="B396" s="2"/>
      <c r="C396" s="2"/>
      <c r="D396" s="1"/>
      <c r="E396" s="1"/>
      <c r="K396" s="1"/>
      <c r="L396" s="1"/>
      <c r="M396" s="1"/>
      <c r="N396" s="1"/>
      <c r="O396" s="1"/>
      <c r="P396" s="1"/>
      <c r="Q396" s="1"/>
      <c r="R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V396" s="1"/>
      <c r="AW396" s="1"/>
      <c r="AY396" s="1"/>
      <c r="AZ396" s="1"/>
      <c r="BB396" s="1"/>
      <c r="BC396" s="1"/>
      <c r="BD396" s="1"/>
      <c r="BE396" s="1"/>
      <c r="BF396" s="1"/>
      <c r="BH396" s="1"/>
      <c r="BI396" s="1"/>
      <c r="BJ396" s="1"/>
      <c r="BK396" s="1"/>
      <c r="BL396" s="1"/>
      <c r="BM396" s="1"/>
    </row>
    <row r="397" spans="1:65" x14ac:dyDescent="0.25">
      <c r="A397" s="1"/>
      <c r="B397" s="2"/>
      <c r="C397" s="2"/>
      <c r="D397" s="1"/>
      <c r="E397" s="1"/>
      <c r="K397" s="1"/>
      <c r="L397" s="1"/>
      <c r="M397" s="1"/>
      <c r="N397" s="1"/>
      <c r="O397" s="1"/>
      <c r="P397" s="1"/>
      <c r="Q397" s="1"/>
      <c r="R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V397" s="1"/>
      <c r="AW397" s="1"/>
      <c r="AY397" s="1"/>
      <c r="AZ397" s="1"/>
      <c r="BB397" s="1"/>
      <c r="BC397" s="1"/>
      <c r="BD397" s="1"/>
      <c r="BE397" s="1"/>
      <c r="BF397" s="1"/>
      <c r="BH397" s="1"/>
      <c r="BI397" s="1"/>
      <c r="BJ397" s="1"/>
      <c r="BK397" s="1"/>
      <c r="BL397" s="1"/>
      <c r="BM397" s="1"/>
    </row>
    <row r="398" spans="1:65" x14ac:dyDescent="0.25">
      <c r="A398" s="1"/>
      <c r="B398" s="2"/>
      <c r="C398" s="2"/>
      <c r="D398" s="1"/>
      <c r="E398" s="1"/>
      <c r="K398" s="1"/>
      <c r="L398" s="1"/>
      <c r="M398" s="1"/>
      <c r="N398" s="1"/>
      <c r="O398" s="1"/>
      <c r="P398" s="1"/>
      <c r="Q398" s="1"/>
      <c r="R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V398" s="1"/>
      <c r="AW398" s="1"/>
      <c r="AY398" s="1"/>
      <c r="AZ398" s="1"/>
      <c r="BB398" s="1"/>
      <c r="BC398" s="1"/>
      <c r="BD398" s="1"/>
      <c r="BE398" s="1"/>
      <c r="BF398" s="1"/>
      <c r="BH398" s="1"/>
      <c r="BI398" s="1"/>
      <c r="BJ398" s="1"/>
      <c r="BK398" s="1"/>
      <c r="BL398" s="1"/>
      <c r="BM398" s="1"/>
    </row>
    <row r="399" spans="1:65" x14ac:dyDescent="0.25">
      <c r="A399" s="1"/>
      <c r="B399" s="2"/>
      <c r="C399" s="2"/>
      <c r="D399" s="1"/>
      <c r="E399" s="1"/>
      <c r="K399" s="1"/>
      <c r="L399" s="1"/>
      <c r="M399" s="1"/>
      <c r="N399" s="1"/>
      <c r="O399" s="1"/>
      <c r="P399" s="1"/>
      <c r="Q399" s="1"/>
      <c r="R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V399" s="1"/>
      <c r="AW399" s="1"/>
      <c r="AY399" s="1"/>
      <c r="AZ399" s="1"/>
      <c r="BB399" s="1"/>
      <c r="BC399" s="1"/>
      <c r="BD399" s="1"/>
      <c r="BE399" s="1"/>
      <c r="BF399" s="1"/>
      <c r="BH399" s="1"/>
      <c r="BI399" s="1"/>
      <c r="BJ399" s="1"/>
      <c r="BK399" s="1"/>
      <c r="BL399" s="1"/>
      <c r="BM399" s="1"/>
    </row>
    <row r="400" spans="1:65" x14ac:dyDescent="0.25">
      <c r="A400" s="1"/>
      <c r="B400" s="2"/>
      <c r="C400" s="2"/>
      <c r="D400" s="1"/>
      <c r="E400" s="1"/>
      <c r="K400" s="1"/>
      <c r="L400" s="1"/>
      <c r="M400" s="1"/>
      <c r="N400" s="1"/>
      <c r="O400" s="1"/>
      <c r="P400" s="1"/>
      <c r="Q400" s="1"/>
      <c r="R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V400" s="1"/>
      <c r="AW400" s="1"/>
      <c r="AY400" s="1"/>
      <c r="AZ400" s="1"/>
      <c r="BB400" s="1"/>
      <c r="BC400" s="1"/>
      <c r="BD400" s="1"/>
      <c r="BE400" s="1"/>
      <c r="BF400" s="1"/>
      <c r="BH400" s="1"/>
      <c r="BI400" s="1"/>
      <c r="BJ400" s="1"/>
      <c r="BK400" s="1"/>
      <c r="BL400" s="1"/>
      <c r="BM400" s="1"/>
    </row>
    <row r="401" spans="1:65" x14ac:dyDescent="0.25">
      <c r="A401" s="1"/>
      <c r="B401" s="2"/>
      <c r="C401" s="2"/>
      <c r="D401" s="1"/>
      <c r="E401" s="1"/>
      <c r="K401" s="1"/>
      <c r="L401" s="1"/>
      <c r="M401" s="1"/>
      <c r="N401" s="1"/>
      <c r="O401" s="1"/>
      <c r="P401" s="1"/>
      <c r="Q401" s="1"/>
      <c r="R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V401" s="1"/>
      <c r="AW401" s="1"/>
      <c r="AY401" s="1"/>
      <c r="AZ401" s="1"/>
      <c r="BB401" s="1"/>
      <c r="BC401" s="1"/>
      <c r="BD401" s="1"/>
      <c r="BE401" s="1"/>
      <c r="BF401" s="1"/>
      <c r="BH401" s="1"/>
      <c r="BI401" s="1"/>
      <c r="BJ401" s="1"/>
      <c r="BK401" s="1"/>
      <c r="BL401" s="1"/>
      <c r="BM401" s="1"/>
    </row>
    <row r="402" spans="1:65" x14ac:dyDescent="0.25">
      <c r="A402" s="1"/>
      <c r="B402" s="2"/>
      <c r="C402" s="2"/>
      <c r="D402" s="1"/>
      <c r="E402" s="1"/>
      <c r="K402" s="1"/>
      <c r="L402" s="1"/>
      <c r="M402" s="1"/>
      <c r="N402" s="1"/>
      <c r="O402" s="1"/>
      <c r="P402" s="1"/>
      <c r="Q402" s="1"/>
      <c r="R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V402" s="1"/>
      <c r="AW402" s="1"/>
      <c r="AY402" s="1"/>
      <c r="AZ402" s="1"/>
      <c r="BB402" s="1"/>
      <c r="BC402" s="1"/>
      <c r="BD402" s="1"/>
      <c r="BE402" s="1"/>
      <c r="BF402" s="1"/>
      <c r="BH402" s="1"/>
      <c r="BI402" s="1"/>
      <c r="BJ402" s="1"/>
      <c r="BK402" s="1"/>
      <c r="BL402" s="1"/>
      <c r="BM402" s="1"/>
    </row>
    <row r="403" spans="1:65" x14ac:dyDescent="0.25">
      <c r="A403" s="1"/>
      <c r="B403" s="2"/>
      <c r="C403" s="2"/>
      <c r="D403" s="1"/>
      <c r="E403" s="1"/>
      <c r="K403" s="1"/>
      <c r="L403" s="1"/>
      <c r="M403" s="1"/>
      <c r="N403" s="1"/>
      <c r="O403" s="1"/>
      <c r="P403" s="1"/>
      <c r="Q403" s="1"/>
      <c r="R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V403" s="1"/>
      <c r="AW403" s="1"/>
      <c r="AY403" s="1"/>
      <c r="AZ403" s="1"/>
      <c r="BB403" s="1"/>
      <c r="BC403" s="1"/>
      <c r="BD403" s="1"/>
      <c r="BE403" s="1"/>
      <c r="BF403" s="1"/>
      <c r="BH403" s="1"/>
      <c r="BI403" s="1"/>
      <c r="BJ403" s="1"/>
      <c r="BK403" s="1"/>
      <c r="BL403" s="1"/>
      <c r="BM403" s="1"/>
    </row>
    <row r="404" spans="1:65" x14ac:dyDescent="0.25">
      <c r="A404" s="1"/>
      <c r="B404" s="2"/>
      <c r="C404" s="2"/>
      <c r="D404" s="1"/>
      <c r="E404" s="1"/>
      <c r="K404" s="1"/>
      <c r="L404" s="1"/>
      <c r="M404" s="1"/>
      <c r="N404" s="1"/>
      <c r="O404" s="1"/>
      <c r="P404" s="1"/>
      <c r="Q404" s="1"/>
      <c r="R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V404" s="1"/>
      <c r="AW404" s="1"/>
      <c r="AY404" s="1"/>
      <c r="AZ404" s="1"/>
      <c r="BB404" s="1"/>
      <c r="BC404" s="1"/>
      <c r="BD404" s="1"/>
      <c r="BE404" s="1"/>
      <c r="BF404" s="1"/>
      <c r="BH404" s="1"/>
      <c r="BI404" s="1"/>
      <c r="BJ404" s="1"/>
      <c r="BK404" s="1"/>
      <c r="BL404" s="1"/>
      <c r="BM404" s="1"/>
    </row>
    <row r="405" spans="1:65" x14ac:dyDescent="0.25">
      <c r="A405" s="1"/>
      <c r="B405" s="2"/>
      <c r="C405" s="2"/>
      <c r="D405" s="1"/>
      <c r="E405" s="1"/>
      <c r="K405" s="1"/>
      <c r="L405" s="1"/>
      <c r="M405" s="1"/>
      <c r="N405" s="1"/>
      <c r="O405" s="1"/>
      <c r="P405" s="1"/>
      <c r="Q405" s="1"/>
      <c r="R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V405" s="1"/>
      <c r="AW405" s="1"/>
      <c r="AY405" s="1"/>
      <c r="AZ405" s="1"/>
      <c r="BB405" s="1"/>
      <c r="BC405" s="1"/>
      <c r="BD405" s="1"/>
      <c r="BE405" s="1"/>
      <c r="BF405" s="1"/>
      <c r="BH405" s="1"/>
      <c r="BI405" s="1"/>
      <c r="BJ405" s="1"/>
      <c r="BK405" s="1"/>
      <c r="BL405" s="1"/>
      <c r="BM405" s="1"/>
    </row>
    <row r="406" spans="1:65" x14ac:dyDescent="0.25">
      <c r="A406" s="1"/>
      <c r="B406" s="2"/>
      <c r="C406" s="2"/>
      <c r="D406" s="1"/>
      <c r="E406" s="1"/>
      <c r="K406" s="1"/>
      <c r="L406" s="1"/>
      <c r="M406" s="1"/>
      <c r="N406" s="1"/>
      <c r="O406" s="1"/>
      <c r="P406" s="1"/>
      <c r="Q406" s="1"/>
      <c r="R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V406" s="1"/>
      <c r="AW406" s="1"/>
      <c r="AY406" s="1"/>
      <c r="AZ406" s="1"/>
      <c r="BB406" s="1"/>
      <c r="BC406" s="1"/>
      <c r="BD406" s="1"/>
      <c r="BE406" s="1"/>
      <c r="BF406" s="1"/>
      <c r="BH406" s="1"/>
      <c r="BI406" s="1"/>
      <c r="BJ406" s="1"/>
      <c r="BK406" s="1"/>
      <c r="BL406" s="1"/>
      <c r="BM406" s="1"/>
    </row>
    <row r="407" spans="1:65" x14ac:dyDescent="0.25">
      <c r="A407" s="1"/>
      <c r="B407" s="2"/>
      <c r="C407" s="2"/>
      <c r="D407" s="1"/>
      <c r="E407" s="1"/>
      <c r="K407" s="1"/>
      <c r="L407" s="1"/>
      <c r="M407" s="1"/>
      <c r="N407" s="1"/>
      <c r="O407" s="1"/>
      <c r="P407" s="1"/>
      <c r="Q407" s="1"/>
      <c r="R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V407" s="1"/>
      <c r="AW407" s="1"/>
      <c r="AY407" s="1"/>
      <c r="AZ407" s="1"/>
      <c r="BB407" s="1"/>
      <c r="BC407" s="1"/>
      <c r="BD407" s="1"/>
      <c r="BE407" s="1"/>
      <c r="BF407" s="1"/>
      <c r="BH407" s="1"/>
      <c r="BI407" s="1"/>
      <c r="BJ407" s="1"/>
      <c r="BK407" s="1"/>
      <c r="BL407" s="1"/>
      <c r="BM407" s="1"/>
    </row>
    <row r="408" spans="1:65" x14ac:dyDescent="0.25">
      <c r="A408" s="1"/>
      <c r="B408" s="2"/>
      <c r="C408" s="2"/>
      <c r="D408" s="1"/>
      <c r="E408" s="1"/>
      <c r="K408" s="1"/>
      <c r="L408" s="1"/>
      <c r="M408" s="1"/>
      <c r="N408" s="1"/>
      <c r="O408" s="1"/>
      <c r="P408" s="1"/>
      <c r="Q408" s="1"/>
      <c r="R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V408" s="1"/>
      <c r="AW408" s="1"/>
      <c r="AY408" s="1"/>
      <c r="AZ408" s="1"/>
      <c r="BB408" s="1"/>
      <c r="BC408" s="1"/>
      <c r="BD408" s="1"/>
      <c r="BE408" s="1"/>
      <c r="BF408" s="1"/>
      <c r="BH408" s="1"/>
      <c r="BI408" s="1"/>
      <c r="BJ408" s="1"/>
      <c r="BK408" s="1"/>
      <c r="BL408" s="1"/>
      <c r="BM408" s="1"/>
    </row>
    <row r="409" spans="1:65" x14ac:dyDescent="0.25">
      <c r="A409" s="1"/>
      <c r="B409" s="2"/>
      <c r="C409" s="2"/>
      <c r="D409" s="1"/>
      <c r="E409" s="1"/>
      <c r="K409" s="1"/>
      <c r="L409" s="1"/>
      <c r="M409" s="1"/>
      <c r="N409" s="1"/>
      <c r="O409" s="1"/>
      <c r="P409" s="1"/>
      <c r="Q409" s="1"/>
      <c r="R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V409" s="1"/>
      <c r="AW409" s="1"/>
      <c r="AY409" s="1"/>
      <c r="AZ409" s="1"/>
      <c r="BB409" s="1"/>
      <c r="BC409" s="1"/>
      <c r="BD409" s="1"/>
      <c r="BE409" s="1"/>
      <c r="BF409" s="1"/>
      <c r="BH409" s="1"/>
      <c r="BI409" s="1"/>
      <c r="BJ409" s="1"/>
      <c r="BK409" s="1"/>
      <c r="BL409" s="1"/>
      <c r="BM409" s="1"/>
    </row>
    <row r="410" spans="1:65" x14ac:dyDescent="0.25">
      <c r="A410" s="1"/>
      <c r="B410" s="2"/>
      <c r="C410" s="2"/>
      <c r="D410" s="1"/>
      <c r="E410" s="1"/>
      <c r="K410" s="1"/>
      <c r="L410" s="1"/>
      <c r="M410" s="1"/>
      <c r="N410" s="1"/>
      <c r="O410" s="1"/>
      <c r="P410" s="1"/>
      <c r="Q410" s="1"/>
      <c r="R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V410" s="1"/>
      <c r="AW410" s="1"/>
      <c r="AY410" s="1"/>
      <c r="AZ410" s="1"/>
      <c r="BB410" s="1"/>
      <c r="BC410" s="1"/>
      <c r="BD410" s="1"/>
      <c r="BE410" s="1"/>
      <c r="BF410" s="1"/>
      <c r="BH410" s="1"/>
      <c r="BI410" s="1"/>
      <c r="BJ410" s="1"/>
      <c r="BK410" s="1"/>
      <c r="BL410" s="1"/>
      <c r="BM410" s="1"/>
    </row>
    <row r="411" spans="1:65" x14ac:dyDescent="0.25">
      <c r="A411" s="1"/>
      <c r="B411" s="2"/>
      <c r="C411" s="2"/>
      <c r="D411" s="1"/>
      <c r="E411" s="1"/>
      <c r="K411" s="1"/>
      <c r="L411" s="1"/>
      <c r="M411" s="1"/>
      <c r="N411" s="1"/>
      <c r="O411" s="1"/>
      <c r="P411" s="1"/>
      <c r="Q411" s="1"/>
      <c r="R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V411" s="1"/>
      <c r="AW411" s="1"/>
      <c r="AY411" s="1"/>
      <c r="AZ411" s="1"/>
      <c r="BB411" s="1"/>
      <c r="BC411" s="1"/>
      <c r="BD411" s="1"/>
      <c r="BE411" s="1"/>
      <c r="BF411" s="1"/>
      <c r="BH411" s="1"/>
      <c r="BI411" s="1"/>
      <c r="BJ411" s="1"/>
      <c r="BK411" s="1"/>
      <c r="BL411" s="1"/>
      <c r="BM411" s="1"/>
    </row>
    <row r="412" spans="1:65" x14ac:dyDescent="0.25">
      <c r="A412" s="1"/>
      <c r="B412" s="2"/>
      <c r="C412" s="2"/>
      <c r="D412" s="1"/>
      <c r="E412" s="1"/>
      <c r="K412" s="1"/>
      <c r="L412" s="1"/>
      <c r="M412" s="1"/>
      <c r="N412" s="1"/>
      <c r="O412" s="1"/>
      <c r="P412" s="1"/>
      <c r="Q412" s="1"/>
      <c r="R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V412" s="1"/>
      <c r="AW412" s="1"/>
      <c r="AY412" s="1"/>
      <c r="AZ412" s="1"/>
      <c r="BB412" s="1"/>
      <c r="BC412" s="1"/>
      <c r="BD412" s="1"/>
      <c r="BE412" s="1"/>
      <c r="BF412" s="1"/>
      <c r="BH412" s="1"/>
      <c r="BI412" s="1"/>
      <c r="BJ412" s="1"/>
      <c r="BK412" s="1"/>
      <c r="BL412" s="1"/>
      <c r="BM412" s="1"/>
    </row>
    <row r="413" spans="1:65" x14ac:dyDescent="0.25">
      <c r="A413" s="1"/>
      <c r="B413" s="2"/>
      <c r="C413" s="2"/>
      <c r="D413" s="1"/>
      <c r="E413" s="1"/>
      <c r="K413" s="1"/>
      <c r="L413" s="1"/>
      <c r="M413" s="1"/>
      <c r="N413" s="1"/>
      <c r="O413" s="1"/>
      <c r="P413" s="1"/>
      <c r="Q413" s="1"/>
      <c r="R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V413" s="1"/>
      <c r="AW413" s="1"/>
      <c r="AY413" s="1"/>
      <c r="AZ413" s="1"/>
      <c r="BB413" s="1"/>
      <c r="BC413" s="1"/>
      <c r="BD413" s="1"/>
      <c r="BE413" s="1"/>
      <c r="BF413" s="1"/>
      <c r="BH413" s="1"/>
      <c r="BI413" s="1"/>
      <c r="BJ413" s="1"/>
      <c r="BK413" s="1"/>
      <c r="BL413" s="1"/>
      <c r="BM413" s="1"/>
    </row>
    <row r="414" spans="1:65" x14ac:dyDescent="0.25">
      <c r="A414" s="1"/>
      <c r="B414" s="2"/>
      <c r="C414" s="2"/>
      <c r="D414" s="1"/>
      <c r="E414" s="1"/>
      <c r="K414" s="1"/>
      <c r="L414" s="1"/>
      <c r="M414" s="1"/>
      <c r="N414" s="1"/>
      <c r="O414" s="1"/>
      <c r="P414" s="1"/>
      <c r="Q414" s="1"/>
      <c r="R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V414" s="1"/>
      <c r="AW414" s="1"/>
      <c r="AY414" s="1"/>
      <c r="AZ414" s="1"/>
      <c r="BB414" s="1"/>
      <c r="BC414" s="1"/>
      <c r="BD414" s="1"/>
      <c r="BE414" s="1"/>
      <c r="BF414" s="1"/>
      <c r="BH414" s="1"/>
      <c r="BI414" s="1"/>
      <c r="BJ414" s="1"/>
      <c r="BK414" s="1"/>
      <c r="BL414" s="1"/>
      <c r="BM414" s="1"/>
    </row>
    <row r="415" spans="1:65" x14ac:dyDescent="0.25">
      <c r="A415" s="1"/>
      <c r="B415" s="2"/>
      <c r="C415" s="2"/>
      <c r="D415" s="1"/>
      <c r="E415" s="1"/>
      <c r="K415" s="1"/>
      <c r="L415" s="1"/>
      <c r="M415" s="1"/>
      <c r="N415" s="1"/>
      <c r="O415" s="1"/>
      <c r="P415" s="1"/>
      <c r="Q415" s="1"/>
      <c r="R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V415" s="1"/>
      <c r="AW415" s="1"/>
      <c r="AY415" s="1"/>
      <c r="AZ415" s="1"/>
      <c r="BB415" s="1"/>
      <c r="BC415" s="1"/>
      <c r="BD415" s="1"/>
      <c r="BE415" s="1"/>
      <c r="BF415" s="1"/>
      <c r="BH415" s="1"/>
      <c r="BI415" s="1"/>
      <c r="BJ415" s="1"/>
      <c r="BK415" s="1"/>
      <c r="BL415" s="1"/>
      <c r="BM415" s="1"/>
    </row>
    <row r="416" spans="1:65" x14ac:dyDescent="0.25">
      <c r="A416" s="1"/>
      <c r="B416" s="2"/>
      <c r="C416" s="2"/>
      <c r="D416" s="1"/>
      <c r="E416" s="1"/>
      <c r="K416" s="1"/>
      <c r="L416" s="1"/>
      <c r="M416" s="1"/>
      <c r="N416" s="1"/>
      <c r="O416" s="1"/>
      <c r="P416" s="1"/>
      <c r="Q416" s="1"/>
      <c r="R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V416" s="1"/>
      <c r="AW416" s="1"/>
      <c r="AY416" s="1"/>
      <c r="AZ416" s="1"/>
      <c r="BB416" s="1"/>
      <c r="BC416" s="1"/>
      <c r="BD416" s="1"/>
      <c r="BE416" s="1"/>
      <c r="BF416" s="1"/>
      <c r="BH416" s="1"/>
      <c r="BI416" s="1"/>
      <c r="BJ416" s="1"/>
      <c r="BK416" s="1"/>
      <c r="BL416" s="1"/>
      <c r="BM416" s="1"/>
    </row>
    <row r="417" spans="1:65" x14ac:dyDescent="0.25">
      <c r="A417" s="1"/>
      <c r="B417" s="2"/>
      <c r="C417" s="2"/>
      <c r="D417" s="1"/>
      <c r="E417" s="1"/>
      <c r="K417" s="1"/>
      <c r="L417" s="1"/>
      <c r="M417" s="1"/>
      <c r="N417" s="1"/>
      <c r="O417" s="1"/>
      <c r="P417" s="1"/>
      <c r="Q417" s="1"/>
      <c r="R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V417" s="1"/>
      <c r="AW417" s="1"/>
      <c r="AY417" s="1"/>
      <c r="AZ417" s="1"/>
      <c r="BB417" s="1"/>
      <c r="BC417" s="1"/>
      <c r="BD417" s="1"/>
      <c r="BE417" s="1"/>
      <c r="BF417" s="1"/>
      <c r="BH417" s="1"/>
      <c r="BI417" s="1"/>
      <c r="BJ417" s="1"/>
      <c r="BK417" s="1"/>
      <c r="BL417" s="1"/>
      <c r="BM417" s="1"/>
    </row>
    <row r="418" spans="1:65" x14ac:dyDescent="0.25">
      <c r="A418" s="1"/>
      <c r="B418" s="2"/>
      <c r="C418" s="2"/>
      <c r="D418" s="1"/>
      <c r="E418" s="1"/>
      <c r="K418" s="1"/>
      <c r="L418" s="1"/>
      <c r="M418" s="1"/>
      <c r="N418" s="1"/>
      <c r="O418" s="1"/>
      <c r="P418" s="1"/>
      <c r="Q418" s="1"/>
      <c r="R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V418" s="1"/>
      <c r="AW418" s="1"/>
      <c r="AY418" s="1"/>
      <c r="AZ418" s="1"/>
      <c r="BB418" s="1"/>
      <c r="BC418" s="1"/>
      <c r="BD418" s="1"/>
      <c r="BE418" s="1"/>
      <c r="BF418" s="1"/>
      <c r="BH418" s="1"/>
      <c r="BI418" s="1"/>
      <c r="BJ418" s="1"/>
      <c r="BK418" s="1"/>
      <c r="BL418" s="1"/>
      <c r="BM418" s="1"/>
    </row>
    <row r="419" spans="1:65" x14ac:dyDescent="0.25">
      <c r="A419" s="1"/>
      <c r="B419" s="2"/>
      <c r="C419" s="2"/>
      <c r="D419" s="1"/>
      <c r="E419" s="1"/>
      <c r="K419" s="1"/>
      <c r="L419" s="1"/>
      <c r="M419" s="1"/>
      <c r="N419" s="1"/>
      <c r="O419" s="1"/>
      <c r="P419" s="1"/>
      <c r="Q419" s="1"/>
      <c r="R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V419" s="1"/>
      <c r="AW419" s="1"/>
      <c r="AY419" s="1"/>
      <c r="AZ419" s="1"/>
      <c r="BB419" s="1"/>
      <c r="BC419" s="1"/>
      <c r="BD419" s="1"/>
      <c r="BE419" s="1"/>
      <c r="BF419" s="1"/>
      <c r="BH419" s="1"/>
      <c r="BI419" s="1"/>
      <c r="BJ419" s="1"/>
      <c r="BK419" s="1"/>
      <c r="BL419" s="1"/>
      <c r="BM419" s="1"/>
    </row>
    <row r="420" spans="1:65" x14ac:dyDescent="0.25">
      <c r="A420" s="1"/>
      <c r="B420" s="2"/>
      <c r="C420" s="2"/>
      <c r="D420" s="1"/>
      <c r="E420" s="1"/>
      <c r="K420" s="1"/>
      <c r="L420" s="1"/>
      <c r="M420" s="1"/>
      <c r="N420" s="1"/>
      <c r="O420" s="1"/>
      <c r="P420" s="1"/>
      <c r="Q420" s="1"/>
      <c r="R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V420" s="1"/>
      <c r="AW420" s="1"/>
      <c r="AY420" s="1"/>
      <c r="AZ420" s="1"/>
      <c r="BB420" s="1"/>
      <c r="BC420" s="1"/>
      <c r="BD420" s="1"/>
      <c r="BE420" s="1"/>
      <c r="BF420" s="1"/>
      <c r="BH420" s="1"/>
      <c r="BI420" s="1"/>
      <c r="BJ420" s="1"/>
      <c r="BK420" s="1"/>
      <c r="BL420" s="1"/>
      <c r="BM420" s="1"/>
    </row>
    <row r="421" spans="1:65" x14ac:dyDescent="0.25">
      <c r="A421" s="1"/>
      <c r="B421" s="2"/>
      <c r="C421" s="2"/>
      <c r="D421" s="1"/>
      <c r="E421" s="1"/>
      <c r="K421" s="1"/>
      <c r="L421" s="1"/>
      <c r="M421" s="1"/>
      <c r="N421" s="1"/>
      <c r="O421" s="1"/>
      <c r="P421" s="1"/>
      <c r="Q421" s="1"/>
      <c r="R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V421" s="1"/>
      <c r="AW421" s="1"/>
      <c r="AY421" s="1"/>
      <c r="AZ421" s="1"/>
      <c r="BB421" s="1"/>
      <c r="BC421" s="1"/>
      <c r="BD421" s="1"/>
      <c r="BE421" s="1"/>
      <c r="BF421" s="1"/>
      <c r="BH421" s="1"/>
      <c r="BI421" s="1"/>
      <c r="BJ421" s="1"/>
      <c r="BK421" s="1"/>
      <c r="BL421" s="1"/>
      <c r="BM421" s="1"/>
    </row>
    <row r="422" spans="1:65" x14ac:dyDescent="0.25">
      <c r="A422" s="1"/>
      <c r="B422" s="2"/>
      <c r="C422" s="2"/>
      <c r="D422" s="1"/>
      <c r="E422" s="1"/>
      <c r="K422" s="1"/>
      <c r="L422" s="1"/>
      <c r="M422" s="1"/>
      <c r="N422" s="1"/>
      <c r="O422" s="1"/>
      <c r="P422" s="1"/>
      <c r="Q422" s="1"/>
      <c r="R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V422" s="1"/>
      <c r="AW422" s="1"/>
      <c r="AY422" s="1"/>
      <c r="AZ422" s="1"/>
      <c r="BB422" s="1"/>
      <c r="BC422" s="1"/>
      <c r="BD422" s="1"/>
      <c r="BE422" s="1"/>
      <c r="BF422" s="1"/>
      <c r="BH422" s="1"/>
      <c r="BI422" s="1"/>
      <c r="BJ422" s="1"/>
      <c r="BK422" s="1"/>
      <c r="BL422" s="1"/>
      <c r="BM422" s="1"/>
    </row>
    <row r="423" spans="1:65" x14ac:dyDescent="0.25">
      <c r="A423" s="1"/>
      <c r="B423" s="2"/>
      <c r="C423" s="2"/>
      <c r="D423" s="1"/>
      <c r="E423" s="1"/>
      <c r="K423" s="1"/>
      <c r="L423" s="1"/>
      <c r="M423" s="1"/>
      <c r="N423" s="1"/>
      <c r="O423" s="1"/>
      <c r="P423" s="1"/>
      <c r="Q423" s="1"/>
      <c r="R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V423" s="1"/>
      <c r="AW423" s="1"/>
      <c r="AY423" s="1"/>
      <c r="AZ423" s="1"/>
      <c r="BB423" s="1"/>
      <c r="BC423" s="1"/>
      <c r="BD423" s="1"/>
      <c r="BE423" s="1"/>
      <c r="BF423" s="1"/>
      <c r="BH423" s="1"/>
      <c r="BI423" s="1"/>
      <c r="BJ423" s="1"/>
      <c r="BK423" s="1"/>
      <c r="BL423" s="1"/>
      <c r="BM423" s="1"/>
    </row>
    <row r="424" spans="1:65" x14ac:dyDescent="0.25">
      <c r="A424" s="1"/>
      <c r="B424" s="2"/>
      <c r="C424" s="2"/>
      <c r="D424" s="1"/>
      <c r="E424" s="1"/>
      <c r="K424" s="1"/>
      <c r="L424" s="1"/>
      <c r="M424" s="1"/>
      <c r="N424" s="1"/>
      <c r="O424" s="1"/>
      <c r="P424" s="1"/>
      <c r="Q424" s="1"/>
      <c r="R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V424" s="1"/>
      <c r="AW424" s="1"/>
      <c r="AY424" s="1"/>
      <c r="AZ424" s="1"/>
      <c r="BB424" s="1"/>
      <c r="BC424" s="1"/>
      <c r="BD424" s="1"/>
      <c r="BE424" s="1"/>
      <c r="BF424" s="1"/>
      <c r="BH424" s="1"/>
      <c r="BI424" s="1"/>
      <c r="BJ424" s="1"/>
      <c r="BK424" s="1"/>
      <c r="BL424" s="1"/>
      <c r="BM424" s="1"/>
    </row>
    <row r="425" spans="1:65" x14ac:dyDescent="0.25">
      <c r="A425" s="1"/>
      <c r="B425" s="2"/>
      <c r="C425" s="2"/>
      <c r="D425" s="1"/>
      <c r="E425" s="1"/>
      <c r="K425" s="1"/>
      <c r="L425" s="1"/>
      <c r="M425" s="1"/>
      <c r="N425" s="1"/>
      <c r="O425" s="1"/>
      <c r="P425" s="1"/>
      <c r="Q425" s="1"/>
      <c r="R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V425" s="1"/>
      <c r="AW425" s="1"/>
      <c r="AY425" s="1"/>
      <c r="AZ425" s="1"/>
      <c r="BB425" s="1"/>
      <c r="BC425" s="1"/>
      <c r="BD425" s="1"/>
      <c r="BE425" s="1"/>
      <c r="BF425" s="1"/>
      <c r="BH425" s="1"/>
      <c r="BI425" s="1"/>
      <c r="BJ425" s="1"/>
      <c r="BK425" s="1"/>
      <c r="BL425" s="1"/>
      <c r="BM425" s="1"/>
    </row>
    <row r="426" spans="1:65" x14ac:dyDescent="0.25">
      <c r="A426" s="1"/>
      <c r="B426" s="2"/>
      <c r="C426" s="2"/>
      <c r="D426" s="1"/>
      <c r="E426" s="1"/>
      <c r="K426" s="1"/>
      <c r="L426" s="1"/>
      <c r="M426" s="1"/>
      <c r="N426" s="1"/>
      <c r="O426" s="1"/>
      <c r="P426" s="1"/>
      <c r="Q426" s="1"/>
      <c r="R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V426" s="1"/>
      <c r="AW426" s="1"/>
      <c r="AY426" s="1"/>
      <c r="AZ426" s="1"/>
      <c r="BB426" s="1"/>
      <c r="BC426" s="1"/>
      <c r="BD426" s="1"/>
      <c r="BE426" s="1"/>
      <c r="BF426" s="1"/>
      <c r="BH426" s="1"/>
      <c r="BI426" s="1"/>
      <c r="BJ426" s="1"/>
      <c r="BK426" s="1"/>
      <c r="BL426" s="1"/>
      <c r="BM426" s="1"/>
    </row>
    <row r="427" spans="1:65" x14ac:dyDescent="0.25">
      <c r="A427" s="1"/>
      <c r="B427" s="2"/>
      <c r="C427" s="2"/>
      <c r="D427" s="1"/>
      <c r="E427" s="1"/>
      <c r="K427" s="1"/>
      <c r="L427" s="1"/>
      <c r="M427" s="1"/>
      <c r="N427" s="1"/>
      <c r="O427" s="1"/>
      <c r="P427" s="1"/>
      <c r="Q427" s="1"/>
      <c r="R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V427" s="1"/>
      <c r="AW427" s="1"/>
      <c r="AY427" s="1"/>
      <c r="AZ427" s="1"/>
      <c r="BB427" s="1"/>
      <c r="BC427" s="1"/>
      <c r="BD427" s="1"/>
      <c r="BE427" s="1"/>
      <c r="BF427" s="1"/>
      <c r="BH427" s="1"/>
      <c r="BI427" s="1"/>
      <c r="BJ427" s="1"/>
      <c r="BK427" s="1"/>
      <c r="BL427" s="1"/>
      <c r="BM427" s="1"/>
    </row>
    <row r="428" spans="1:65" x14ac:dyDescent="0.25">
      <c r="A428" s="1"/>
      <c r="B428" s="2"/>
      <c r="C428" s="2"/>
      <c r="D428" s="1"/>
      <c r="E428" s="1"/>
      <c r="K428" s="1"/>
      <c r="L428" s="1"/>
      <c r="M428" s="1"/>
      <c r="N428" s="1"/>
      <c r="O428" s="1"/>
      <c r="P428" s="1"/>
      <c r="Q428" s="1"/>
      <c r="R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V428" s="1"/>
      <c r="AW428" s="1"/>
      <c r="AY428" s="1"/>
      <c r="AZ428" s="1"/>
      <c r="BB428" s="1"/>
      <c r="BC428" s="1"/>
      <c r="BD428" s="1"/>
      <c r="BE428" s="1"/>
      <c r="BF428" s="1"/>
      <c r="BH428" s="1"/>
      <c r="BI428" s="1"/>
      <c r="BJ428" s="1"/>
      <c r="BK428" s="1"/>
      <c r="BL428" s="1"/>
      <c r="BM428" s="1"/>
    </row>
    <row r="429" spans="1:65" x14ac:dyDescent="0.25">
      <c r="A429" s="1"/>
      <c r="B429" s="2"/>
      <c r="C429" s="2"/>
      <c r="D429" s="1"/>
      <c r="E429" s="1"/>
      <c r="K429" s="1"/>
      <c r="L429" s="1"/>
      <c r="M429" s="1"/>
      <c r="N429" s="1"/>
      <c r="O429" s="1"/>
      <c r="P429" s="1"/>
      <c r="Q429" s="1"/>
      <c r="R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V429" s="1"/>
      <c r="AW429" s="1"/>
      <c r="AY429" s="1"/>
      <c r="AZ429" s="1"/>
      <c r="BB429" s="1"/>
      <c r="BC429" s="1"/>
      <c r="BD429" s="1"/>
      <c r="BE429" s="1"/>
      <c r="BF429" s="1"/>
      <c r="BH429" s="1"/>
      <c r="BI429" s="1"/>
      <c r="BJ429" s="1"/>
      <c r="BK429" s="1"/>
      <c r="BL429" s="1"/>
      <c r="BM429" s="1"/>
    </row>
    <row r="430" spans="1:65" x14ac:dyDescent="0.25">
      <c r="A430" s="1"/>
      <c r="B430" s="2"/>
      <c r="C430" s="2"/>
      <c r="D430" s="1"/>
      <c r="E430" s="1"/>
      <c r="K430" s="1"/>
      <c r="L430" s="1"/>
      <c r="M430" s="1"/>
      <c r="N430" s="1"/>
      <c r="O430" s="1"/>
      <c r="P430" s="1"/>
      <c r="Q430" s="1"/>
      <c r="R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V430" s="1"/>
      <c r="AW430" s="1"/>
      <c r="AY430" s="1"/>
      <c r="AZ430" s="1"/>
      <c r="BB430" s="1"/>
      <c r="BC430" s="1"/>
      <c r="BD430" s="1"/>
      <c r="BE430" s="1"/>
      <c r="BF430" s="1"/>
      <c r="BH430" s="1"/>
      <c r="BI430" s="1"/>
      <c r="BJ430" s="1"/>
      <c r="BK430" s="1"/>
      <c r="BL430" s="1"/>
      <c r="BM430" s="1"/>
    </row>
    <row r="431" spans="1:65" x14ac:dyDescent="0.25">
      <c r="A431" s="1"/>
      <c r="B431" s="2"/>
      <c r="C431" s="2"/>
      <c r="D431" s="1"/>
      <c r="E431" s="1"/>
      <c r="K431" s="1"/>
      <c r="L431" s="1"/>
      <c r="M431" s="1"/>
      <c r="N431" s="1"/>
      <c r="O431" s="1"/>
      <c r="P431" s="1"/>
      <c r="Q431" s="1"/>
      <c r="R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V431" s="1"/>
      <c r="AW431" s="1"/>
      <c r="AY431" s="1"/>
      <c r="AZ431" s="1"/>
      <c r="BB431" s="1"/>
      <c r="BC431" s="1"/>
      <c r="BD431" s="1"/>
      <c r="BE431" s="1"/>
      <c r="BF431" s="1"/>
      <c r="BH431" s="1"/>
      <c r="BI431" s="1"/>
      <c r="BJ431" s="1"/>
      <c r="BK431" s="1"/>
      <c r="BL431" s="1"/>
      <c r="BM431" s="1"/>
    </row>
    <row r="432" spans="1:65" x14ac:dyDescent="0.25">
      <c r="A432" s="1"/>
      <c r="B432" s="2"/>
      <c r="C432" s="2"/>
      <c r="D432" s="1"/>
      <c r="E432" s="1"/>
      <c r="K432" s="1"/>
      <c r="L432" s="1"/>
      <c r="M432" s="1"/>
      <c r="N432" s="1"/>
      <c r="O432" s="1"/>
      <c r="P432" s="1"/>
      <c r="Q432" s="1"/>
      <c r="R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V432" s="1"/>
      <c r="AW432" s="1"/>
      <c r="AY432" s="1"/>
      <c r="AZ432" s="1"/>
      <c r="BB432" s="1"/>
      <c r="BC432" s="1"/>
      <c r="BD432" s="1"/>
      <c r="BE432" s="1"/>
      <c r="BF432" s="1"/>
      <c r="BH432" s="1"/>
      <c r="BI432" s="1"/>
      <c r="BJ432" s="1"/>
      <c r="BK432" s="1"/>
      <c r="BL432" s="1"/>
      <c r="BM432" s="1"/>
    </row>
    <row r="433" spans="1:65" x14ac:dyDescent="0.25">
      <c r="A433" s="1"/>
      <c r="B433" s="2"/>
      <c r="C433" s="2"/>
      <c r="D433" s="1"/>
      <c r="E433" s="1"/>
      <c r="K433" s="1"/>
      <c r="L433" s="1"/>
      <c r="M433" s="1"/>
      <c r="N433" s="1"/>
      <c r="O433" s="1"/>
      <c r="P433" s="1"/>
      <c r="Q433" s="1"/>
      <c r="R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V433" s="1"/>
      <c r="AW433" s="1"/>
      <c r="AY433" s="1"/>
      <c r="AZ433" s="1"/>
      <c r="BB433" s="1"/>
      <c r="BC433" s="1"/>
      <c r="BD433" s="1"/>
      <c r="BE433" s="1"/>
      <c r="BF433" s="1"/>
      <c r="BH433" s="1"/>
      <c r="BI433" s="1"/>
      <c r="BJ433" s="1"/>
      <c r="BK433" s="1"/>
      <c r="BL433" s="1"/>
      <c r="BM433" s="1"/>
    </row>
    <row r="434" spans="1:65" x14ac:dyDescent="0.25">
      <c r="A434" s="1"/>
      <c r="B434" s="2"/>
      <c r="C434" s="2"/>
      <c r="D434" s="1"/>
      <c r="E434" s="1"/>
      <c r="K434" s="1"/>
      <c r="L434" s="1"/>
      <c r="M434" s="1"/>
      <c r="N434" s="1"/>
      <c r="O434" s="1"/>
      <c r="P434" s="1"/>
      <c r="Q434" s="1"/>
      <c r="R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V434" s="1"/>
      <c r="AW434" s="1"/>
      <c r="AY434" s="1"/>
      <c r="AZ434" s="1"/>
      <c r="BB434" s="1"/>
      <c r="BC434" s="1"/>
      <c r="BD434" s="1"/>
      <c r="BE434" s="1"/>
      <c r="BF434" s="1"/>
      <c r="BH434" s="1"/>
      <c r="BI434" s="1"/>
      <c r="BJ434" s="1"/>
      <c r="BK434" s="1"/>
      <c r="BL434" s="1"/>
      <c r="BM434" s="1"/>
    </row>
    <row r="435" spans="1:65" x14ac:dyDescent="0.25">
      <c r="A435" s="1"/>
      <c r="B435" s="2"/>
      <c r="C435" s="2"/>
      <c r="D435" s="1"/>
      <c r="E435" s="1"/>
      <c r="K435" s="1"/>
      <c r="L435" s="1"/>
      <c r="M435" s="1"/>
      <c r="N435" s="1"/>
      <c r="O435" s="1"/>
      <c r="P435" s="1"/>
      <c r="Q435" s="1"/>
      <c r="R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V435" s="1"/>
      <c r="AW435" s="1"/>
      <c r="AY435" s="1"/>
      <c r="AZ435" s="1"/>
      <c r="BB435" s="1"/>
      <c r="BC435" s="1"/>
      <c r="BD435" s="1"/>
      <c r="BE435" s="1"/>
      <c r="BF435" s="1"/>
      <c r="BH435" s="1"/>
      <c r="BI435" s="1"/>
      <c r="BJ435" s="1"/>
      <c r="BK435" s="1"/>
      <c r="BL435" s="1"/>
      <c r="BM435" s="1"/>
    </row>
    <row r="436" spans="1:65" x14ac:dyDescent="0.25">
      <c r="A436" s="1"/>
      <c r="B436" s="2"/>
      <c r="C436" s="2"/>
      <c r="D436" s="1"/>
      <c r="E436" s="1"/>
      <c r="K436" s="1"/>
      <c r="L436" s="1"/>
      <c r="M436" s="1"/>
      <c r="N436" s="1"/>
      <c r="O436" s="1"/>
      <c r="P436" s="1"/>
      <c r="Q436" s="1"/>
      <c r="R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V436" s="1"/>
      <c r="AW436" s="1"/>
      <c r="AY436" s="1"/>
      <c r="AZ436" s="1"/>
      <c r="BB436" s="1"/>
      <c r="BC436" s="1"/>
      <c r="BD436" s="1"/>
      <c r="BE436" s="1"/>
      <c r="BF436" s="1"/>
      <c r="BH436" s="1"/>
      <c r="BI436" s="1"/>
      <c r="BJ436" s="1"/>
      <c r="BK436" s="1"/>
      <c r="BL436" s="1"/>
      <c r="BM436" s="1"/>
    </row>
    <row r="437" spans="1:65" x14ac:dyDescent="0.25">
      <c r="A437" s="1"/>
      <c r="B437" s="2"/>
      <c r="C437" s="2"/>
      <c r="D437" s="1"/>
      <c r="E437" s="1"/>
      <c r="K437" s="1"/>
      <c r="L437" s="1"/>
      <c r="M437" s="1"/>
      <c r="N437" s="1"/>
      <c r="O437" s="1"/>
      <c r="P437" s="1"/>
      <c r="Q437" s="1"/>
      <c r="R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V437" s="1"/>
      <c r="AW437" s="1"/>
      <c r="AY437" s="1"/>
      <c r="AZ437" s="1"/>
      <c r="BB437" s="1"/>
      <c r="BC437" s="1"/>
      <c r="BD437" s="1"/>
      <c r="BE437" s="1"/>
      <c r="BF437" s="1"/>
      <c r="BH437" s="1"/>
      <c r="BI437" s="1"/>
      <c r="BJ437" s="1"/>
      <c r="BK437" s="1"/>
      <c r="BL437" s="1"/>
      <c r="BM437" s="1"/>
    </row>
    <row r="438" spans="1:65" x14ac:dyDescent="0.25">
      <c r="A438" s="1"/>
      <c r="B438" s="2"/>
      <c r="C438" s="2"/>
      <c r="D438" s="1"/>
      <c r="E438" s="1"/>
      <c r="K438" s="1"/>
      <c r="L438" s="1"/>
      <c r="M438" s="1"/>
      <c r="N438" s="1"/>
      <c r="O438" s="1"/>
      <c r="P438" s="1"/>
      <c r="Q438" s="1"/>
      <c r="R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V438" s="1"/>
      <c r="AW438" s="1"/>
      <c r="AY438" s="1"/>
      <c r="AZ438" s="1"/>
      <c r="BB438" s="1"/>
      <c r="BC438" s="1"/>
      <c r="BD438" s="1"/>
      <c r="BE438" s="1"/>
      <c r="BF438" s="1"/>
      <c r="BH438" s="1"/>
      <c r="BI438" s="1"/>
      <c r="BJ438" s="1"/>
      <c r="BK438" s="1"/>
      <c r="BL438" s="1"/>
      <c r="BM438" s="1"/>
    </row>
    <row r="439" spans="1:65" x14ac:dyDescent="0.25">
      <c r="A439" s="1"/>
      <c r="B439" s="2"/>
      <c r="C439" s="2"/>
      <c r="D439" s="1"/>
      <c r="E439" s="1"/>
      <c r="K439" s="1"/>
      <c r="L439" s="1"/>
      <c r="M439" s="1"/>
      <c r="N439" s="1"/>
      <c r="O439" s="1"/>
      <c r="P439" s="1"/>
      <c r="Q439" s="1"/>
      <c r="R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V439" s="1"/>
      <c r="AW439" s="1"/>
      <c r="AY439" s="1"/>
      <c r="AZ439" s="1"/>
      <c r="BB439" s="1"/>
      <c r="BC439" s="1"/>
      <c r="BD439" s="1"/>
      <c r="BE439" s="1"/>
      <c r="BF439" s="1"/>
      <c r="BH439" s="1"/>
      <c r="BI439" s="1"/>
      <c r="BJ439" s="1"/>
      <c r="BK439" s="1"/>
      <c r="BL439" s="1"/>
      <c r="BM439" s="1"/>
    </row>
    <row r="440" spans="1:65" x14ac:dyDescent="0.25">
      <c r="A440" s="1"/>
      <c r="B440" s="2"/>
      <c r="C440" s="2"/>
      <c r="D440" s="1"/>
      <c r="E440" s="1"/>
      <c r="K440" s="1"/>
      <c r="L440" s="1"/>
      <c r="M440" s="1"/>
      <c r="N440" s="1"/>
      <c r="O440" s="1"/>
      <c r="P440" s="1"/>
      <c r="Q440" s="1"/>
      <c r="R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V440" s="1"/>
      <c r="AW440" s="1"/>
      <c r="AY440" s="1"/>
      <c r="AZ440" s="1"/>
      <c r="BB440" s="1"/>
      <c r="BC440" s="1"/>
      <c r="BD440" s="1"/>
      <c r="BE440" s="1"/>
      <c r="BF440" s="1"/>
      <c r="BH440" s="1"/>
      <c r="BI440" s="1"/>
      <c r="BJ440" s="1"/>
      <c r="BK440" s="1"/>
      <c r="BL440" s="1"/>
      <c r="BM440" s="1"/>
    </row>
    <row r="441" spans="1:65" x14ac:dyDescent="0.25">
      <c r="A441" s="1"/>
      <c r="B441" s="2"/>
      <c r="C441" s="2"/>
      <c r="D441" s="1"/>
      <c r="E441" s="1"/>
      <c r="K441" s="1"/>
      <c r="L441" s="1"/>
      <c r="M441" s="1"/>
      <c r="N441" s="1"/>
      <c r="O441" s="1"/>
      <c r="P441" s="1"/>
      <c r="Q441" s="1"/>
      <c r="R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V441" s="1"/>
      <c r="AW441" s="1"/>
      <c r="AY441" s="1"/>
      <c r="AZ441" s="1"/>
      <c r="BB441" s="1"/>
      <c r="BC441" s="1"/>
      <c r="BD441" s="1"/>
      <c r="BE441" s="1"/>
      <c r="BF441" s="1"/>
      <c r="BH441" s="1"/>
      <c r="BI441" s="1"/>
      <c r="BJ441" s="1"/>
      <c r="BK441" s="1"/>
      <c r="BL441" s="1"/>
      <c r="BM441" s="1"/>
    </row>
    <row r="442" spans="1:65" x14ac:dyDescent="0.25">
      <c r="A442" s="1"/>
      <c r="B442" s="2"/>
      <c r="C442" s="2"/>
      <c r="D442" s="1"/>
      <c r="E442" s="1"/>
      <c r="K442" s="1"/>
      <c r="L442" s="1"/>
      <c r="M442" s="1"/>
      <c r="N442" s="1"/>
      <c r="O442" s="1"/>
      <c r="P442" s="1"/>
      <c r="Q442" s="1"/>
      <c r="R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V442" s="1"/>
      <c r="AW442" s="1"/>
      <c r="AY442" s="1"/>
      <c r="AZ442" s="1"/>
      <c r="BB442" s="1"/>
      <c r="BC442" s="1"/>
      <c r="BD442" s="1"/>
      <c r="BE442" s="1"/>
      <c r="BF442" s="1"/>
      <c r="BH442" s="1"/>
      <c r="BI442" s="1"/>
      <c r="BJ442" s="1"/>
      <c r="BK442" s="1"/>
      <c r="BL442" s="1"/>
      <c r="BM442" s="1"/>
    </row>
    <row r="443" spans="1:65" x14ac:dyDescent="0.25">
      <c r="A443" s="1"/>
      <c r="B443" s="2"/>
      <c r="C443" s="2"/>
      <c r="D443" s="1"/>
      <c r="E443" s="1"/>
      <c r="K443" s="1"/>
      <c r="L443" s="1"/>
      <c r="M443" s="1"/>
      <c r="N443" s="1"/>
      <c r="O443" s="1"/>
      <c r="P443" s="1"/>
      <c r="Q443" s="1"/>
      <c r="R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V443" s="1"/>
      <c r="AW443" s="1"/>
      <c r="AY443" s="1"/>
      <c r="AZ443" s="1"/>
      <c r="BB443" s="1"/>
      <c r="BC443" s="1"/>
      <c r="BD443" s="1"/>
      <c r="BE443" s="1"/>
      <c r="BF443" s="1"/>
      <c r="BH443" s="1"/>
      <c r="BI443" s="1"/>
      <c r="BJ443" s="1"/>
      <c r="BK443" s="1"/>
      <c r="BL443" s="1"/>
      <c r="BM443" s="1"/>
    </row>
    <row r="444" spans="1:65" x14ac:dyDescent="0.25">
      <c r="A444" s="1"/>
      <c r="B444" s="2"/>
      <c r="C444" s="2"/>
      <c r="D444" s="1"/>
      <c r="E444" s="1"/>
      <c r="K444" s="1"/>
      <c r="L444" s="1"/>
      <c r="M444" s="1"/>
      <c r="N444" s="1"/>
      <c r="O444" s="1"/>
      <c r="P444" s="1"/>
      <c r="Q444" s="1"/>
      <c r="R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V444" s="1"/>
      <c r="AW444" s="1"/>
      <c r="AY444" s="1"/>
      <c r="AZ444" s="1"/>
      <c r="BB444" s="1"/>
      <c r="BC444" s="1"/>
      <c r="BD444" s="1"/>
      <c r="BE444" s="1"/>
      <c r="BF444" s="1"/>
      <c r="BH444" s="1"/>
      <c r="BI444" s="1"/>
      <c r="BJ444" s="1"/>
      <c r="BK444" s="1"/>
      <c r="BL444" s="1"/>
      <c r="BM444" s="1"/>
    </row>
    <row r="445" spans="1:65" x14ac:dyDescent="0.25">
      <c r="A445" s="1"/>
      <c r="B445" s="2"/>
      <c r="C445" s="2"/>
      <c r="D445" s="1"/>
      <c r="E445" s="1"/>
      <c r="K445" s="1"/>
      <c r="L445" s="1"/>
      <c r="M445" s="1"/>
      <c r="N445" s="1"/>
      <c r="O445" s="1"/>
      <c r="P445" s="1"/>
      <c r="Q445" s="1"/>
      <c r="R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V445" s="1"/>
      <c r="AW445" s="1"/>
      <c r="AY445" s="1"/>
      <c r="AZ445" s="1"/>
      <c r="BB445" s="1"/>
      <c r="BC445" s="1"/>
      <c r="BD445" s="1"/>
      <c r="BE445" s="1"/>
      <c r="BF445" s="1"/>
      <c r="BH445" s="1"/>
      <c r="BI445" s="1"/>
      <c r="BJ445" s="1"/>
      <c r="BK445" s="1"/>
      <c r="BL445" s="1"/>
      <c r="BM445" s="1"/>
    </row>
    <row r="446" spans="1:65" x14ac:dyDescent="0.25">
      <c r="A446" s="1"/>
      <c r="B446" s="2"/>
      <c r="C446" s="2"/>
      <c r="D446" s="1"/>
      <c r="E446" s="1"/>
      <c r="K446" s="1"/>
      <c r="L446" s="1"/>
      <c r="M446" s="1"/>
      <c r="N446" s="1"/>
      <c r="O446" s="1"/>
      <c r="P446" s="1"/>
      <c r="Q446" s="1"/>
      <c r="R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V446" s="1"/>
      <c r="AW446" s="1"/>
      <c r="AY446" s="1"/>
      <c r="AZ446" s="1"/>
      <c r="BB446" s="1"/>
      <c r="BC446" s="1"/>
      <c r="BD446" s="1"/>
      <c r="BE446" s="1"/>
      <c r="BF446" s="1"/>
      <c r="BH446" s="1"/>
      <c r="BI446" s="1"/>
      <c r="BJ446" s="1"/>
      <c r="BK446" s="1"/>
      <c r="BL446" s="1"/>
      <c r="BM446" s="1"/>
    </row>
    <row r="447" spans="1:65" x14ac:dyDescent="0.25">
      <c r="A447" s="1"/>
      <c r="B447" s="2"/>
      <c r="C447" s="2"/>
      <c r="D447" s="1"/>
      <c r="E447" s="1"/>
      <c r="K447" s="1"/>
      <c r="L447" s="1"/>
      <c r="M447" s="1"/>
      <c r="N447" s="1"/>
      <c r="O447" s="1"/>
      <c r="P447" s="1"/>
      <c r="Q447" s="1"/>
      <c r="R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V447" s="1"/>
      <c r="AW447" s="1"/>
      <c r="AY447" s="1"/>
      <c r="AZ447" s="1"/>
      <c r="BB447" s="1"/>
      <c r="BC447" s="1"/>
      <c r="BD447" s="1"/>
      <c r="BE447" s="1"/>
      <c r="BF447" s="1"/>
      <c r="BH447" s="1"/>
      <c r="BI447" s="1"/>
      <c r="BJ447" s="1"/>
      <c r="BK447" s="1"/>
      <c r="BL447" s="1"/>
      <c r="BM447" s="1"/>
    </row>
    <row r="448" spans="1:65" x14ac:dyDescent="0.25">
      <c r="A448" s="1"/>
      <c r="B448" s="2"/>
      <c r="C448" s="2"/>
      <c r="D448" s="1"/>
      <c r="E448" s="1"/>
      <c r="K448" s="1"/>
      <c r="L448" s="1"/>
      <c r="M448" s="1"/>
      <c r="N448" s="1"/>
      <c r="O448" s="1"/>
      <c r="P448" s="1"/>
      <c r="Q448" s="1"/>
      <c r="R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V448" s="1"/>
      <c r="AW448" s="1"/>
      <c r="AY448" s="1"/>
      <c r="AZ448" s="1"/>
      <c r="BB448" s="1"/>
      <c r="BC448" s="1"/>
      <c r="BD448" s="1"/>
      <c r="BE448" s="1"/>
      <c r="BF448" s="1"/>
      <c r="BH448" s="1"/>
      <c r="BI448" s="1"/>
      <c r="BJ448" s="1"/>
      <c r="BK448" s="1"/>
      <c r="BL448" s="1"/>
      <c r="BM448" s="1"/>
    </row>
    <row r="449" spans="1:65" x14ac:dyDescent="0.25">
      <c r="A449" s="1"/>
      <c r="B449" s="2"/>
      <c r="C449" s="2"/>
      <c r="D449" s="1"/>
      <c r="E449" s="1"/>
      <c r="K449" s="1"/>
      <c r="L449" s="1"/>
      <c r="M449" s="1"/>
      <c r="N449" s="1"/>
      <c r="O449" s="1"/>
      <c r="P449" s="1"/>
      <c r="Q449" s="1"/>
      <c r="R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V449" s="1"/>
      <c r="AW449" s="1"/>
      <c r="AY449" s="1"/>
      <c r="AZ449" s="1"/>
      <c r="BB449" s="1"/>
      <c r="BC449" s="1"/>
      <c r="BD449" s="1"/>
      <c r="BE449" s="1"/>
      <c r="BF449" s="1"/>
      <c r="BH449" s="1"/>
      <c r="BI449" s="1"/>
      <c r="BJ449" s="1"/>
      <c r="BK449" s="1"/>
      <c r="BL449" s="1"/>
      <c r="BM449" s="1"/>
    </row>
    <row r="450" spans="1:65" x14ac:dyDescent="0.25">
      <c r="A450" s="1"/>
      <c r="B450" s="2"/>
      <c r="C450" s="2"/>
      <c r="D450" s="1"/>
      <c r="E450" s="1"/>
      <c r="K450" s="1"/>
      <c r="L450" s="1"/>
      <c r="M450" s="1"/>
      <c r="N450" s="1"/>
      <c r="O450" s="1"/>
      <c r="P450" s="1"/>
      <c r="Q450" s="1"/>
      <c r="R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V450" s="1"/>
      <c r="AW450" s="1"/>
      <c r="AY450" s="1"/>
      <c r="AZ450" s="1"/>
      <c r="BB450" s="1"/>
      <c r="BC450" s="1"/>
      <c r="BD450" s="1"/>
      <c r="BE450" s="1"/>
      <c r="BF450" s="1"/>
      <c r="BH450" s="1"/>
      <c r="BI450" s="1"/>
      <c r="BJ450" s="1"/>
      <c r="BK450" s="1"/>
      <c r="BL450" s="1"/>
      <c r="BM450" s="1"/>
    </row>
    <row r="451" spans="1:65" x14ac:dyDescent="0.25">
      <c r="A451" s="1"/>
      <c r="B451" s="2"/>
      <c r="C451" s="2"/>
      <c r="D451" s="1"/>
      <c r="E451" s="1"/>
      <c r="K451" s="1"/>
      <c r="L451" s="1"/>
      <c r="M451" s="1"/>
      <c r="N451" s="1"/>
      <c r="O451" s="1"/>
      <c r="P451" s="1"/>
      <c r="Q451" s="1"/>
      <c r="R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V451" s="1"/>
      <c r="AW451" s="1"/>
      <c r="AY451" s="1"/>
      <c r="AZ451" s="1"/>
      <c r="BB451" s="1"/>
      <c r="BC451" s="1"/>
      <c r="BD451" s="1"/>
      <c r="BE451" s="1"/>
      <c r="BF451" s="1"/>
      <c r="BH451" s="1"/>
      <c r="BI451" s="1"/>
      <c r="BJ451" s="1"/>
      <c r="BK451" s="1"/>
      <c r="BL451" s="1"/>
      <c r="BM451" s="1"/>
    </row>
    <row r="452" spans="1:65" x14ac:dyDescent="0.25">
      <c r="A452" s="1"/>
      <c r="B452" s="2"/>
      <c r="C452" s="2"/>
      <c r="D452" s="1"/>
      <c r="E452" s="1"/>
      <c r="K452" s="1"/>
      <c r="L452" s="1"/>
      <c r="M452" s="1"/>
      <c r="N452" s="1"/>
      <c r="O452" s="1"/>
      <c r="P452" s="1"/>
      <c r="Q452" s="1"/>
      <c r="R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V452" s="1"/>
      <c r="AW452" s="1"/>
      <c r="AY452" s="1"/>
      <c r="AZ452" s="1"/>
      <c r="BB452" s="1"/>
      <c r="BC452" s="1"/>
      <c r="BD452" s="1"/>
      <c r="BE452" s="1"/>
      <c r="BF452" s="1"/>
      <c r="BH452" s="1"/>
      <c r="BI452" s="1"/>
      <c r="BJ452" s="1"/>
      <c r="BK452" s="1"/>
      <c r="BL452" s="1"/>
      <c r="BM452" s="1"/>
    </row>
    <row r="453" spans="1:65" x14ac:dyDescent="0.25">
      <c r="A453" s="1"/>
      <c r="B453" s="2"/>
      <c r="C453" s="2"/>
      <c r="D453" s="1"/>
      <c r="E453" s="1"/>
      <c r="K453" s="1"/>
      <c r="L453" s="1"/>
      <c r="M453" s="1"/>
      <c r="N453" s="1"/>
      <c r="O453" s="1"/>
      <c r="P453" s="1"/>
      <c r="Q453" s="1"/>
      <c r="R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V453" s="1"/>
      <c r="AW453" s="1"/>
      <c r="AY453" s="1"/>
      <c r="AZ453" s="1"/>
      <c r="BB453" s="1"/>
      <c r="BC453" s="1"/>
      <c r="BD453" s="1"/>
      <c r="BE453" s="1"/>
      <c r="BF453" s="1"/>
      <c r="BH453" s="1"/>
      <c r="BI453" s="1"/>
      <c r="BJ453" s="1"/>
      <c r="BK453" s="1"/>
      <c r="BL453" s="1"/>
      <c r="BM453" s="1"/>
    </row>
    <row r="454" spans="1:65" x14ac:dyDescent="0.25">
      <c r="A454" s="1"/>
      <c r="B454" s="2"/>
      <c r="C454" s="2"/>
      <c r="D454" s="1"/>
      <c r="E454" s="1"/>
      <c r="K454" s="1"/>
      <c r="L454" s="1"/>
      <c r="M454" s="1"/>
      <c r="N454" s="1"/>
      <c r="O454" s="1"/>
      <c r="P454" s="1"/>
      <c r="Q454" s="1"/>
      <c r="R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V454" s="1"/>
      <c r="AW454" s="1"/>
      <c r="AY454" s="1"/>
      <c r="AZ454" s="1"/>
      <c r="BB454" s="1"/>
      <c r="BC454" s="1"/>
      <c r="BD454" s="1"/>
      <c r="BE454" s="1"/>
      <c r="BF454" s="1"/>
      <c r="BH454" s="1"/>
      <c r="BI454" s="1"/>
      <c r="BJ454" s="1"/>
      <c r="BK454" s="1"/>
      <c r="BL454" s="1"/>
      <c r="BM454" s="1"/>
    </row>
    <row r="455" spans="1:65" x14ac:dyDescent="0.25">
      <c r="A455" s="1"/>
      <c r="B455" s="2"/>
      <c r="C455" s="2"/>
      <c r="D455" s="1"/>
      <c r="E455" s="1"/>
      <c r="K455" s="1"/>
      <c r="L455" s="1"/>
      <c r="M455" s="1"/>
      <c r="N455" s="1"/>
      <c r="O455" s="1"/>
      <c r="P455" s="1"/>
      <c r="Q455" s="1"/>
      <c r="R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V455" s="1"/>
      <c r="AW455" s="1"/>
      <c r="AY455" s="1"/>
      <c r="AZ455" s="1"/>
      <c r="BB455" s="1"/>
      <c r="BC455" s="1"/>
      <c r="BD455" s="1"/>
      <c r="BE455" s="1"/>
      <c r="BF455" s="1"/>
      <c r="BH455" s="1"/>
      <c r="BI455" s="1"/>
      <c r="BJ455" s="1"/>
      <c r="BK455" s="1"/>
      <c r="BL455" s="1"/>
      <c r="BM455" s="1"/>
    </row>
    <row r="456" spans="1:65" x14ac:dyDescent="0.25">
      <c r="A456" s="1"/>
      <c r="B456" s="2"/>
      <c r="C456" s="2"/>
      <c r="D456" s="1"/>
      <c r="E456" s="1"/>
      <c r="K456" s="1"/>
      <c r="L456" s="1"/>
      <c r="M456" s="1"/>
      <c r="N456" s="1"/>
      <c r="O456" s="1"/>
      <c r="P456" s="1"/>
      <c r="Q456" s="1"/>
      <c r="R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V456" s="1"/>
      <c r="AW456" s="1"/>
      <c r="AY456" s="1"/>
      <c r="AZ456" s="1"/>
      <c r="BB456" s="1"/>
      <c r="BC456" s="1"/>
      <c r="BD456" s="1"/>
      <c r="BE456" s="1"/>
      <c r="BF456" s="1"/>
      <c r="BH456" s="1"/>
      <c r="BI456" s="1"/>
      <c r="BJ456" s="1"/>
      <c r="BK456" s="1"/>
      <c r="BL456" s="1"/>
      <c r="BM456" s="1"/>
    </row>
    <row r="457" spans="1:65" x14ac:dyDescent="0.25">
      <c r="A457" s="1"/>
      <c r="B457" s="2"/>
      <c r="C457" s="2"/>
      <c r="D457" s="1"/>
      <c r="E457" s="1"/>
      <c r="K457" s="1"/>
      <c r="L457" s="1"/>
      <c r="M457" s="1"/>
      <c r="N457" s="1"/>
      <c r="O457" s="1"/>
      <c r="P457" s="1"/>
      <c r="Q457" s="1"/>
      <c r="R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V457" s="1"/>
      <c r="AW457" s="1"/>
      <c r="AY457" s="1"/>
      <c r="AZ457" s="1"/>
      <c r="BB457" s="1"/>
      <c r="BC457" s="1"/>
      <c r="BD457" s="1"/>
      <c r="BE457" s="1"/>
      <c r="BF457" s="1"/>
      <c r="BH457" s="1"/>
      <c r="BI457" s="1"/>
      <c r="BJ457" s="1"/>
      <c r="BK457" s="1"/>
      <c r="BL457" s="1"/>
      <c r="BM457" s="1"/>
    </row>
    <row r="458" spans="1:65" x14ac:dyDescent="0.25">
      <c r="A458" s="1"/>
      <c r="B458" s="2"/>
      <c r="C458" s="2"/>
      <c r="D458" s="1"/>
      <c r="E458" s="1"/>
      <c r="K458" s="1"/>
      <c r="L458" s="1"/>
      <c r="M458" s="1"/>
      <c r="N458" s="1"/>
      <c r="O458" s="1"/>
      <c r="P458" s="1"/>
      <c r="Q458" s="1"/>
      <c r="R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V458" s="1"/>
      <c r="AW458" s="1"/>
      <c r="AY458" s="1"/>
      <c r="AZ458" s="1"/>
      <c r="BB458" s="1"/>
      <c r="BC458" s="1"/>
      <c r="BD458" s="1"/>
      <c r="BE458" s="1"/>
      <c r="BF458" s="1"/>
      <c r="BH458" s="1"/>
      <c r="BI458" s="1"/>
      <c r="BJ458" s="1"/>
      <c r="BK458" s="1"/>
      <c r="BL458" s="1"/>
      <c r="BM458" s="1"/>
    </row>
    <row r="459" spans="1:65" x14ac:dyDescent="0.25">
      <c r="A459" s="1"/>
      <c r="B459" s="2"/>
      <c r="C459" s="2"/>
      <c r="D459" s="1"/>
      <c r="E459" s="1"/>
      <c r="K459" s="1"/>
      <c r="L459" s="1"/>
      <c r="M459" s="1"/>
      <c r="N459" s="1"/>
      <c r="O459" s="1"/>
      <c r="P459" s="1"/>
      <c r="Q459" s="1"/>
      <c r="R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V459" s="1"/>
      <c r="AW459" s="1"/>
      <c r="AY459" s="1"/>
      <c r="AZ459" s="1"/>
      <c r="BB459" s="1"/>
      <c r="BC459" s="1"/>
      <c r="BD459" s="1"/>
      <c r="BE459" s="1"/>
      <c r="BF459" s="1"/>
      <c r="BH459" s="1"/>
      <c r="BI459" s="1"/>
      <c r="BJ459" s="1"/>
      <c r="BK459" s="1"/>
      <c r="BL459" s="1"/>
      <c r="BM459" s="1"/>
    </row>
    <row r="460" spans="1:65" x14ac:dyDescent="0.25">
      <c r="A460" s="1"/>
      <c r="B460" s="2"/>
      <c r="C460" s="2"/>
      <c r="D460" s="1"/>
      <c r="E460" s="1"/>
      <c r="K460" s="1"/>
      <c r="L460" s="1"/>
      <c r="M460" s="1"/>
      <c r="N460" s="1"/>
      <c r="O460" s="1"/>
      <c r="P460" s="1"/>
      <c r="Q460" s="1"/>
      <c r="R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V460" s="1"/>
      <c r="AW460" s="1"/>
      <c r="AY460" s="1"/>
      <c r="AZ460" s="1"/>
      <c r="BB460" s="1"/>
      <c r="BC460" s="1"/>
      <c r="BD460" s="1"/>
      <c r="BE460" s="1"/>
      <c r="BF460" s="1"/>
      <c r="BH460" s="1"/>
      <c r="BI460" s="1"/>
      <c r="BJ460" s="1"/>
      <c r="BK460" s="1"/>
      <c r="BL460" s="1"/>
      <c r="BM460" s="1"/>
    </row>
    <row r="461" spans="1:65" x14ac:dyDescent="0.25">
      <c r="A461" s="1"/>
      <c r="B461" s="2"/>
      <c r="C461" s="2"/>
      <c r="D461" s="1"/>
      <c r="E461" s="1"/>
      <c r="K461" s="1"/>
      <c r="L461" s="1"/>
      <c r="M461" s="1"/>
      <c r="N461" s="1"/>
      <c r="O461" s="1"/>
      <c r="P461" s="1"/>
      <c r="Q461" s="1"/>
      <c r="R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V461" s="1"/>
      <c r="AW461" s="1"/>
      <c r="AY461" s="1"/>
      <c r="AZ461" s="1"/>
      <c r="BB461" s="1"/>
      <c r="BC461" s="1"/>
      <c r="BD461" s="1"/>
      <c r="BE461" s="1"/>
      <c r="BF461" s="1"/>
      <c r="BH461" s="1"/>
      <c r="BI461" s="1"/>
      <c r="BJ461" s="1"/>
      <c r="BK461" s="1"/>
      <c r="BL461" s="1"/>
      <c r="BM461" s="1"/>
    </row>
    <row r="462" spans="1:65" x14ac:dyDescent="0.25">
      <c r="A462" s="1"/>
      <c r="B462" s="2"/>
      <c r="C462" s="2"/>
      <c r="D462" s="1"/>
      <c r="E462" s="1"/>
      <c r="K462" s="1"/>
      <c r="L462" s="1"/>
      <c r="M462" s="1"/>
      <c r="N462" s="1"/>
      <c r="O462" s="1"/>
      <c r="P462" s="1"/>
      <c r="Q462" s="1"/>
      <c r="R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V462" s="1"/>
      <c r="AW462" s="1"/>
      <c r="AY462" s="1"/>
      <c r="AZ462" s="1"/>
      <c r="BB462" s="1"/>
      <c r="BC462" s="1"/>
      <c r="BD462" s="1"/>
      <c r="BE462" s="1"/>
      <c r="BF462" s="1"/>
      <c r="BH462" s="1"/>
      <c r="BI462" s="1"/>
      <c r="BJ462" s="1"/>
      <c r="BK462" s="1"/>
      <c r="BL462" s="1"/>
      <c r="BM462" s="1"/>
    </row>
    <row r="463" spans="1:65" x14ac:dyDescent="0.25">
      <c r="A463" s="1"/>
      <c r="B463" s="2"/>
      <c r="C463" s="2"/>
      <c r="D463" s="1"/>
      <c r="E463" s="1"/>
      <c r="K463" s="1"/>
      <c r="L463" s="1"/>
      <c r="M463" s="1"/>
      <c r="N463" s="1"/>
      <c r="O463" s="1"/>
      <c r="P463" s="1"/>
      <c r="Q463" s="1"/>
      <c r="R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V463" s="1"/>
      <c r="AW463" s="1"/>
      <c r="AY463" s="1"/>
      <c r="AZ463" s="1"/>
      <c r="BB463" s="1"/>
      <c r="BC463" s="1"/>
      <c r="BD463" s="1"/>
      <c r="BE463" s="1"/>
      <c r="BF463" s="1"/>
      <c r="BH463" s="1"/>
      <c r="BI463" s="1"/>
      <c r="BJ463" s="1"/>
      <c r="BK463" s="1"/>
      <c r="BL463" s="1"/>
      <c r="BM463" s="1"/>
    </row>
    <row r="464" spans="1:65" x14ac:dyDescent="0.25">
      <c r="A464" s="1"/>
      <c r="B464" s="2"/>
      <c r="C464" s="2"/>
      <c r="D464" s="1"/>
      <c r="E464" s="1"/>
      <c r="K464" s="1"/>
      <c r="L464" s="1"/>
      <c r="M464" s="1"/>
      <c r="N464" s="1"/>
      <c r="O464" s="1"/>
      <c r="P464" s="1"/>
      <c r="Q464" s="1"/>
      <c r="R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V464" s="1"/>
      <c r="AW464" s="1"/>
      <c r="AY464" s="1"/>
      <c r="AZ464" s="1"/>
      <c r="BB464" s="1"/>
      <c r="BC464" s="1"/>
      <c r="BD464" s="1"/>
      <c r="BE464" s="1"/>
      <c r="BF464" s="1"/>
      <c r="BH464" s="1"/>
      <c r="BI464" s="1"/>
      <c r="BJ464" s="1"/>
      <c r="BK464" s="1"/>
      <c r="BL464" s="1"/>
      <c r="BM464" s="1"/>
    </row>
    <row r="465" spans="1:65" x14ac:dyDescent="0.25">
      <c r="A465" s="1"/>
      <c r="B465" s="2"/>
      <c r="C465" s="2"/>
      <c r="D465" s="1"/>
      <c r="E465" s="1"/>
      <c r="K465" s="1"/>
      <c r="L465" s="1"/>
      <c r="M465" s="1"/>
      <c r="N465" s="1"/>
      <c r="O465" s="1"/>
      <c r="P465" s="1"/>
      <c r="Q465" s="1"/>
      <c r="R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V465" s="1"/>
      <c r="AW465" s="1"/>
      <c r="AY465" s="1"/>
      <c r="AZ465" s="1"/>
      <c r="BB465" s="1"/>
      <c r="BC465" s="1"/>
      <c r="BD465" s="1"/>
      <c r="BE465" s="1"/>
      <c r="BF465" s="1"/>
      <c r="BH465" s="1"/>
      <c r="BI465" s="1"/>
      <c r="BJ465" s="1"/>
      <c r="BK465" s="1"/>
      <c r="BL465" s="1"/>
      <c r="BM465" s="1"/>
    </row>
    <row r="466" spans="1:65" x14ac:dyDescent="0.25">
      <c r="A466" s="1"/>
      <c r="B466" s="2"/>
      <c r="C466" s="2"/>
      <c r="D466" s="1"/>
      <c r="E466" s="1"/>
      <c r="K466" s="1"/>
      <c r="L466" s="1"/>
      <c r="M466" s="1"/>
      <c r="N466" s="1"/>
      <c r="O466" s="1"/>
      <c r="P466" s="1"/>
      <c r="Q466" s="1"/>
      <c r="R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V466" s="1"/>
      <c r="AW466" s="1"/>
      <c r="AY466" s="1"/>
      <c r="AZ466" s="1"/>
      <c r="BB466" s="1"/>
      <c r="BC466" s="1"/>
      <c r="BD466" s="1"/>
      <c r="BE466" s="1"/>
      <c r="BF466" s="1"/>
      <c r="BH466" s="1"/>
      <c r="BI466" s="1"/>
      <c r="BJ466" s="1"/>
      <c r="BK466" s="1"/>
      <c r="BL466" s="1"/>
      <c r="BM466" s="1"/>
    </row>
    <row r="467" spans="1:65" x14ac:dyDescent="0.25">
      <c r="A467" s="1"/>
      <c r="B467" s="2"/>
      <c r="C467" s="2"/>
      <c r="D467" s="1"/>
      <c r="E467" s="1"/>
      <c r="K467" s="1"/>
      <c r="L467" s="1"/>
      <c r="M467" s="1"/>
      <c r="N467" s="1"/>
      <c r="O467" s="1"/>
      <c r="P467" s="1"/>
      <c r="Q467" s="1"/>
      <c r="R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V467" s="1"/>
      <c r="AW467" s="1"/>
      <c r="AY467" s="1"/>
      <c r="AZ467" s="1"/>
      <c r="BB467" s="1"/>
      <c r="BC467" s="1"/>
      <c r="BD467" s="1"/>
      <c r="BE467" s="1"/>
      <c r="BF467" s="1"/>
      <c r="BH467" s="1"/>
      <c r="BI467" s="1"/>
      <c r="BJ467" s="1"/>
      <c r="BK467" s="1"/>
      <c r="BL467" s="1"/>
      <c r="BM467" s="1"/>
    </row>
    <row r="468" spans="1:65" x14ac:dyDescent="0.25">
      <c r="A468" s="1"/>
      <c r="B468" s="2"/>
      <c r="C468" s="2"/>
      <c r="D468" s="1"/>
      <c r="E468" s="1"/>
      <c r="K468" s="1"/>
      <c r="L468" s="1"/>
      <c r="M468" s="1"/>
      <c r="N468" s="1"/>
      <c r="O468" s="1"/>
      <c r="P468" s="1"/>
      <c r="Q468" s="1"/>
      <c r="R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V468" s="1"/>
      <c r="AW468" s="1"/>
      <c r="AY468" s="1"/>
      <c r="AZ468" s="1"/>
      <c r="BB468" s="1"/>
      <c r="BC468" s="1"/>
      <c r="BD468" s="1"/>
      <c r="BE468" s="1"/>
      <c r="BF468" s="1"/>
      <c r="BH468" s="1"/>
      <c r="BI468" s="1"/>
      <c r="BJ468" s="1"/>
      <c r="BK468" s="1"/>
      <c r="BL468" s="1"/>
      <c r="BM468" s="1"/>
    </row>
    <row r="469" spans="1:65" x14ac:dyDescent="0.25">
      <c r="A469" s="1"/>
      <c r="B469" s="2"/>
      <c r="C469" s="2"/>
      <c r="D469" s="1"/>
      <c r="E469" s="1"/>
      <c r="K469" s="1"/>
      <c r="L469" s="1"/>
      <c r="M469" s="1"/>
      <c r="N469" s="1"/>
      <c r="O469" s="1"/>
      <c r="P469" s="1"/>
      <c r="Q469" s="1"/>
      <c r="R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V469" s="1"/>
      <c r="AW469" s="1"/>
      <c r="AY469" s="1"/>
      <c r="AZ469" s="1"/>
      <c r="BB469" s="1"/>
      <c r="BC469" s="1"/>
      <c r="BD469" s="1"/>
      <c r="BE469" s="1"/>
      <c r="BF469" s="1"/>
      <c r="BH469" s="1"/>
      <c r="BI469" s="1"/>
      <c r="BJ469" s="1"/>
      <c r="BK469" s="1"/>
      <c r="BL469" s="1"/>
      <c r="BM469" s="1"/>
    </row>
    <row r="470" spans="1:65" x14ac:dyDescent="0.25">
      <c r="A470" s="1"/>
      <c r="B470" s="2"/>
      <c r="C470" s="2"/>
      <c r="D470" s="1"/>
      <c r="E470" s="1"/>
      <c r="K470" s="1"/>
      <c r="L470" s="1"/>
      <c r="M470" s="1"/>
      <c r="N470" s="1"/>
      <c r="O470" s="1"/>
      <c r="P470" s="1"/>
      <c r="Q470" s="1"/>
      <c r="R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V470" s="1"/>
      <c r="AW470" s="1"/>
      <c r="AY470" s="1"/>
      <c r="AZ470" s="1"/>
      <c r="BB470" s="1"/>
      <c r="BC470" s="1"/>
      <c r="BD470" s="1"/>
      <c r="BE470" s="1"/>
      <c r="BF470" s="1"/>
      <c r="BH470" s="1"/>
      <c r="BI470" s="1"/>
      <c r="BJ470" s="1"/>
      <c r="BK470" s="1"/>
      <c r="BL470" s="1"/>
      <c r="BM470" s="1"/>
    </row>
    <row r="471" spans="1:65" x14ac:dyDescent="0.25">
      <c r="A471" s="1"/>
      <c r="B471" s="2"/>
      <c r="C471" s="2"/>
      <c r="D471" s="1"/>
      <c r="E471" s="1"/>
      <c r="K471" s="1"/>
      <c r="L471" s="1"/>
      <c r="M471" s="1"/>
      <c r="N471" s="1"/>
      <c r="O471" s="1"/>
      <c r="P471" s="1"/>
      <c r="Q471" s="1"/>
      <c r="R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V471" s="1"/>
      <c r="AW471" s="1"/>
      <c r="AY471" s="1"/>
      <c r="AZ471" s="1"/>
      <c r="BB471" s="1"/>
      <c r="BC471" s="1"/>
      <c r="BD471" s="1"/>
      <c r="BE471" s="1"/>
      <c r="BF471" s="1"/>
      <c r="BH471" s="1"/>
      <c r="BI471" s="1"/>
      <c r="BJ471" s="1"/>
      <c r="BK471" s="1"/>
      <c r="BL471" s="1"/>
      <c r="BM471" s="1"/>
    </row>
    <row r="472" spans="1:65" x14ac:dyDescent="0.25">
      <c r="A472" s="1"/>
      <c r="B472" s="2"/>
      <c r="C472" s="2"/>
      <c r="D472" s="1"/>
      <c r="E472" s="1"/>
      <c r="K472" s="1"/>
      <c r="L472" s="1"/>
      <c r="M472" s="1"/>
      <c r="N472" s="1"/>
      <c r="O472" s="1"/>
      <c r="P472" s="1"/>
      <c r="Q472" s="1"/>
      <c r="R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V472" s="1"/>
      <c r="AW472" s="1"/>
      <c r="AY472" s="1"/>
      <c r="AZ472" s="1"/>
      <c r="BB472" s="1"/>
      <c r="BC472" s="1"/>
      <c r="BD472" s="1"/>
      <c r="BE472" s="1"/>
      <c r="BF472" s="1"/>
      <c r="BH472" s="1"/>
      <c r="BI472" s="1"/>
      <c r="BJ472" s="1"/>
      <c r="BK472" s="1"/>
      <c r="BL472" s="1"/>
      <c r="BM472" s="1"/>
    </row>
    <row r="473" spans="1:65" x14ac:dyDescent="0.25">
      <c r="A473" s="1"/>
      <c r="B473" s="2"/>
      <c r="C473" s="2"/>
      <c r="D473" s="1"/>
      <c r="E473" s="1"/>
      <c r="K473" s="1"/>
      <c r="L473" s="1"/>
      <c r="M473" s="1"/>
      <c r="N473" s="1"/>
      <c r="O473" s="1"/>
      <c r="P473" s="1"/>
      <c r="Q473" s="1"/>
      <c r="R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V473" s="1"/>
      <c r="AW473" s="1"/>
      <c r="AY473" s="1"/>
      <c r="AZ473" s="1"/>
      <c r="BB473" s="1"/>
      <c r="BC473" s="1"/>
      <c r="BD473" s="1"/>
      <c r="BE473" s="1"/>
      <c r="BF473" s="1"/>
      <c r="BH473" s="1"/>
      <c r="BI473" s="1"/>
      <c r="BJ473" s="1"/>
      <c r="BK473" s="1"/>
      <c r="BL473" s="1"/>
      <c r="BM473" s="1"/>
    </row>
    <row r="474" spans="1:65" x14ac:dyDescent="0.25">
      <c r="A474" s="1"/>
      <c r="B474" s="2"/>
      <c r="C474" s="2"/>
      <c r="D474" s="1"/>
      <c r="E474" s="1"/>
      <c r="K474" s="1"/>
      <c r="L474" s="1"/>
      <c r="M474" s="1"/>
      <c r="N474" s="1"/>
      <c r="O474" s="1"/>
      <c r="P474" s="1"/>
      <c r="Q474" s="1"/>
      <c r="R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V474" s="1"/>
      <c r="AW474" s="1"/>
      <c r="AY474" s="1"/>
      <c r="AZ474" s="1"/>
      <c r="BB474" s="1"/>
      <c r="BC474" s="1"/>
      <c r="BD474" s="1"/>
      <c r="BE474" s="1"/>
      <c r="BF474" s="1"/>
      <c r="BH474" s="1"/>
      <c r="BI474" s="1"/>
      <c r="BJ474" s="1"/>
      <c r="BK474" s="1"/>
      <c r="BL474" s="1"/>
      <c r="BM474" s="1"/>
    </row>
    <row r="475" spans="1:65" x14ac:dyDescent="0.25">
      <c r="A475" s="1"/>
      <c r="B475" s="2"/>
      <c r="C475" s="2"/>
      <c r="D475" s="1"/>
      <c r="E475" s="1"/>
      <c r="K475" s="1"/>
      <c r="L475" s="1"/>
      <c r="M475" s="1"/>
      <c r="N475" s="1"/>
      <c r="O475" s="1"/>
      <c r="P475" s="1"/>
      <c r="Q475" s="1"/>
      <c r="R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V475" s="1"/>
      <c r="AW475" s="1"/>
      <c r="AY475" s="1"/>
      <c r="AZ475" s="1"/>
      <c r="BB475" s="1"/>
      <c r="BC475" s="1"/>
      <c r="BD475" s="1"/>
      <c r="BE475" s="1"/>
      <c r="BF475" s="1"/>
      <c r="BH475" s="1"/>
      <c r="BI475" s="1"/>
      <c r="BJ475" s="1"/>
      <c r="BK475" s="1"/>
      <c r="BL475" s="1"/>
      <c r="BM475" s="1"/>
    </row>
    <row r="476" spans="1:65" x14ac:dyDescent="0.25">
      <c r="A476" s="1"/>
      <c r="B476" s="2"/>
      <c r="C476" s="2"/>
      <c r="D476" s="1"/>
      <c r="E476" s="1"/>
      <c r="K476" s="1"/>
      <c r="L476" s="1"/>
      <c r="M476" s="1"/>
      <c r="N476" s="1"/>
      <c r="O476" s="1"/>
      <c r="P476" s="1"/>
      <c r="Q476" s="1"/>
      <c r="R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V476" s="1"/>
      <c r="AW476" s="1"/>
      <c r="AY476" s="1"/>
      <c r="AZ476" s="1"/>
      <c r="BB476" s="1"/>
      <c r="BC476" s="1"/>
      <c r="BD476" s="1"/>
      <c r="BE476" s="1"/>
      <c r="BF476" s="1"/>
      <c r="BH476" s="1"/>
      <c r="BI476" s="1"/>
      <c r="BJ476" s="1"/>
      <c r="BK476" s="1"/>
      <c r="BL476" s="1"/>
      <c r="BM476" s="1"/>
    </row>
    <row r="477" spans="1:65" x14ac:dyDescent="0.25">
      <c r="A477" s="1"/>
      <c r="B477" s="2"/>
      <c r="C477" s="2"/>
      <c r="D477" s="1"/>
      <c r="E477" s="1"/>
      <c r="K477" s="1"/>
      <c r="L477" s="1"/>
      <c r="M477" s="1"/>
      <c r="N477" s="1"/>
      <c r="O477" s="1"/>
      <c r="P477" s="1"/>
      <c r="Q477" s="1"/>
      <c r="R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V477" s="1"/>
      <c r="AW477" s="1"/>
      <c r="AY477" s="1"/>
      <c r="AZ477" s="1"/>
      <c r="BB477" s="1"/>
      <c r="BC477" s="1"/>
      <c r="BD477" s="1"/>
      <c r="BE477" s="1"/>
      <c r="BF477" s="1"/>
      <c r="BH477" s="1"/>
      <c r="BI477" s="1"/>
      <c r="BJ477" s="1"/>
      <c r="BK477" s="1"/>
      <c r="BL477" s="1"/>
      <c r="BM477" s="1"/>
    </row>
    <row r="478" spans="1:65" x14ac:dyDescent="0.25">
      <c r="A478" s="1"/>
      <c r="B478" s="2"/>
      <c r="C478" s="2"/>
      <c r="D478" s="1"/>
      <c r="E478" s="1"/>
      <c r="K478" s="1"/>
      <c r="L478" s="1"/>
      <c r="M478" s="1"/>
      <c r="N478" s="1"/>
      <c r="O478" s="1"/>
      <c r="P478" s="1"/>
      <c r="Q478" s="1"/>
      <c r="R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V478" s="1"/>
      <c r="AW478" s="1"/>
      <c r="AY478" s="1"/>
      <c r="AZ478" s="1"/>
      <c r="BB478" s="1"/>
      <c r="BC478" s="1"/>
      <c r="BD478" s="1"/>
      <c r="BE478" s="1"/>
      <c r="BF478" s="1"/>
      <c r="BH478" s="1"/>
      <c r="BI478" s="1"/>
      <c r="BJ478" s="1"/>
      <c r="BK478" s="1"/>
      <c r="BL478" s="1"/>
      <c r="BM478" s="1"/>
    </row>
    <row r="479" spans="1:65" x14ac:dyDescent="0.25">
      <c r="A479" s="1"/>
      <c r="B479" s="2"/>
      <c r="C479" s="2"/>
      <c r="D479" s="1"/>
      <c r="E479" s="1"/>
      <c r="K479" s="1"/>
      <c r="L479" s="1"/>
      <c r="M479" s="1"/>
      <c r="N479" s="1"/>
      <c r="O479" s="1"/>
      <c r="P479" s="1"/>
      <c r="Q479" s="1"/>
      <c r="R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V479" s="1"/>
      <c r="AW479" s="1"/>
      <c r="AY479" s="1"/>
      <c r="AZ479" s="1"/>
      <c r="BB479" s="1"/>
      <c r="BC479" s="1"/>
      <c r="BD479" s="1"/>
      <c r="BE479" s="1"/>
      <c r="BF479" s="1"/>
      <c r="BH479" s="1"/>
      <c r="BI479" s="1"/>
      <c r="BJ479" s="1"/>
      <c r="BK479" s="1"/>
      <c r="BL479" s="1"/>
      <c r="BM479" s="1"/>
    </row>
    <row r="480" spans="1:65" x14ac:dyDescent="0.25">
      <c r="A480" s="1"/>
      <c r="B480" s="2"/>
      <c r="C480" s="2"/>
      <c r="D480" s="1"/>
      <c r="E480" s="1"/>
      <c r="K480" s="1"/>
      <c r="L480" s="1"/>
      <c r="M480" s="1"/>
      <c r="N480" s="1"/>
      <c r="O480" s="1"/>
      <c r="P480" s="1"/>
      <c r="Q480" s="1"/>
      <c r="R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V480" s="1"/>
      <c r="AW480" s="1"/>
      <c r="AY480" s="1"/>
      <c r="AZ480" s="1"/>
      <c r="BB480" s="1"/>
      <c r="BC480" s="1"/>
      <c r="BD480" s="1"/>
      <c r="BE480" s="1"/>
      <c r="BF480" s="1"/>
      <c r="BH480" s="1"/>
      <c r="BI480" s="1"/>
      <c r="BJ480" s="1"/>
      <c r="BK480" s="1"/>
      <c r="BL480" s="1"/>
      <c r="BM480" s="1"/>
    </row>
    <row r="481" spans="1:65" x14ac:dyDescent="0.25">
      <c r="A481" s="1"/>
      <c r="B481" s="2"/>
      <c r="C481" s="2"/>
      <c r="D481" s="1"/>
      <c r="E481" s="1"/>
      <c r="K481" s="1"/>
      <c r="L481" s="1"/>
      <c r="M481" s="1"/>
      <c r="N481" s="1"/>
      <c r="O481" s="1"/>
      <c r="P481" s="1"/>
      <c r="Q481" s="1"/>
      <c r="R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V481" s="1"/>
      <c r="AW481" s="1"/>
      <c r="AY481" s="1"/>
      <c r="AZ481" s="1"/>
      <c r="BB481" s="1"/>
      <c r="BC481" s="1"/>
      <c r="BD481" s="1"/>
      <c r="BE481" s="1"/>
      <c r="BF481" s="1"/>
      <c r="BH481" s="1"/>
      <c r="BI481" s="1"/>
      <c r="BJ481" s="1"/>
      <c r="BK481" s="1"/>
      <c r="BL481" s="1"/>
      <c r="BM481" s="1"/>
    </row>
    <row r="482" spans="1:65" x14ac:dyDescent="0.25">
      <c r="A482" s="1"/>
      <c r="B482" s="2"/>
      <c r="C482" s="2"/>
      <c r="D482" s="1"/>
      <c r="E482" s="1"/>
      <c r="K482" s="1"/>
      <c r="L482" s="1"/>
      <c r="M482" s="1"/>
      <c r="N482" s="1"/>
      <c r="O482" s="1"/>
      <c r="P482" s="1"/>
      <c r="Q482" s="1"/>
      <c r="R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V482" s="1"/>
      <c r="AW482" s="1"/>
      <c r="AY482" s="1"/>
      <c r="AZ482" s="1"/>
      <c r="BB482" s="1"/>
      <c r="BC482" s="1"/>
      <c r="BD482" s="1"/>
      <c r="BE482" s="1"/>
      <c r="BF482" s="1"/>
      <c r="BH482" s="1"/>
      <c r="BI482" s="1"/>
      <c r="BJ482" s="1"/>
      <c r="BK482" s="1"/>
      <c r="BL482" s="1"/>
      <c r="BM482" s="1"/>
    </row>
    <row r="483" spans="1:65" x14ac:dyDescent="0.25">
      <c r="A483" s="1"/>
      <c r="B483" s="2"/>
      <c r="C483" s="2"/>
      <c r="D483" s="1"/>
      <c r="E483" s="1"/>
      <c r="K483" s="1"/>
      <c r="L483" s="1"/>
      <c r="M483" s="1"/>
      <c r="N483" s="1"/>
      <c r="O483" s="1"/>
      <c r="P483" s="1"/>
      <c r="Q483" s="1"/>
      <c r="R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V483" s="1"/>
      <c r="AW483" s="1"/>
      <c r="AY483" s="1"/>
      <c r="AZ483" s="1"/>
      <c r="BB483" s="1"/>
      <c r="BC483" s="1"/>
      <c r="BD483" s="1"/>
      <c r="BE483" s="1"/>
      <c r="BF483" s="1"/>
      <c r="BH483" s="1"/>
      <c r="BI483" s="1"/>
      <c r="BJ483" s="1"/>
      <c r="BK483" s="1"/>
      <c r="BL483" s="1"/>
      <c r="BM483" s="1"/>
    </row>
    <row r="484" spans="1:65" x14ac:dyDescent="0.25">
      <c r="A484" s="1"/>
      <c r="B484" s="2"/>
      <c r="C484" s="2"/>
      <c r="D484" s="1"/>
      <c r="E484" s="1"/>
      <c r="K484" s="1"/>
      <c r="L484" s="1"/>
      <c r="M484" s="1"/>
      <c r="N484" s="1"/>
      <c r="O484" s="1"/>
      <c r="P484" s="1"/>
      <c r="Q484" s="1"/>
      <c r="R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V484" s="1"/>
      <c r="AW484" s="1"/>
      <c r="AY484" s="1"/>
      <c r="AZ484" s="1"/>
      <c r="BB484" s="1"/>
      <c r="BC484" s="1"/>
      <c r="BD484" s="1"/>
      <c r="BE484" s="1"/>
      <c r="BF484" s="1"/>
      <c r="BH484" s="1"/>
      <c r="BI484" s="1"/>
      <c r="BJ484" s="1"/>
      <c r="BK484" s="1"/>
      <c r="BL484" s="1"/>
      <c r="BM484" s="1"/>
    </row>
    <row r="485" spans="1:65" x14ac:dyDescent="0.25">
      <c r="A485" s="1"/>
      <c r="B485" s="2"/>
      <c r="C485" s="2"/>
      <c r="D485" s="1"/>
      <c r="E485" s="1"/>
      <c r="K485" s="1"/>
      <c r="L485" s="1"/>
      <c r="M485" s="1"/>
      <c r="N485" s="1"/>
      <c r="O485" s="1"/>
      <c r="P485" s="1"/>
      <c r="Q485" s="1"/>
      <c r="R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V485" s="1"/>
      <c r="AW485" s="1"/>
      <c r="AY485" s="1"/>
      <c r="AZ485" s="1"/>
      <c r="BB485" s="1"/>
      <c r="BC485" s="1"/>
      <c r="BD485" s="1"/>
      <c r="BE485" s="1"/>
      <c r="BF485" s="1"/>
      <c r="BH485" s="1"/>
      <c r="BI485" s="1"/>
      <c r="BJ485" s="1"/>
      <c r="BK485" s="1"/>
      <c r="BL485" s="1"/>
      <c r="BM485" s="1"/>
    </row>
    <row r="486" spans="1:65" x14ac:dyDescent="0.25">
      <c r="A486" s="1"/>
      <c r="B486" s="2"/>
      <c r="C486" s="2"/>
      <c r="D486" s="1"/>
      <c r="E486" s="1"/>
      <c r="K486" s="1"/>
      <c r="L486" s="1"/>
      <c r="M486" s="1"/>
      <c r="N486" s="1"/>
      <c r="O486" s="1"/>
      <c r="P486" s="1"/>
      <c r="Q486" s="1"/>
      <c r="R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V486" s="1"/>
      <c r="AW486" s="1"/>
      <c r="AY486" s="1"/>
      <c r="AZ486" s="1"/>
      <c r="BB486" s="1"/>
      <c r="BC486" s="1"/>
      <c r="BD486" s="1"/>
      <c r="BE486" s="1"/>
      <c r="BF486" s="1"/>
      <c r="BH486" s="1"/>
      <c r="BI486" s="1"/>
      <c r="BJ486" s="1"/>
      <c r="BK486" s="1"/>
      <c r="BL486" s="1"/>
      <c r="BM486" s="1"/>
    </row>
    <row r="487" spans="1:65" x14ac:dyDescent="0.25">
      <c r="A487" s="1"/>
      <c r="B487" s="2"/>
      <c r="C487" s="2"/>
      <c r="D487" s="1"/>
      <c r="E487" s="1"/>
      <c r="K487" s="1"/>
      <c r="L487" s="1"/>
      <c r="M487" s="1"/>
      <c r="N487" s="1"/>
      <c r="O487" s="1"/>
      <c r="P487" s="1"/>
      <c r="Q487" s="1"/>
      <c r="R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V487" s="1"/>
      <c r="AW487" s="1"/>
      <c r="AY487" s="1"/>
      <c r="AZ487" s="1"/>
      <c r="BB487" s="1"/>
      <c r="BC487" s="1"/>
      <c r="BD487" s="1"/>
      <c r="BE487" s="1"/>
      <c r="BF487" s="1"/>
      <c r="BH487" s="1"/>
      <c r="BI487" s="1"/>
      <c r="BJ487" s="1"/>
      <c r="BK487" s="1"/>
      <c r="BL487" s="1"/>
      <c r="BM487" s="1"/>
    </row>
    <row r="488" spans="1:65" x14ac:dyDescent="0.25">
      <c r="A488" s="1"/>
      <c r="B488" s="2"/>
      <c r="C488" s="2"/>
      <c r="D488" s="1"/>
      <c r="E488" s="1"/>
      <c r="K488" s="1"/>
      <c r="L488" s="1"/>
      <c r="M488" s="1"/>
      <c r="N488" s="1"/>
      <c r="O488" s="1"/>
      <c r="P488" s="1"/>
      <c r="Q488" s="1"/>
      <c r="R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V488" s="1"/>
      <c r="AW488" s="1"/>
      <c r="AY488" s="1"/>
      <c r="AZ488" s="1"/>
      <c r="BB488" s="1"/>
      <c r="BC488" s="1"/>
      <c r="BD488" s="1"/>
      <c r="BE488" s="1"/>
      <c r="BF488" s="1"/>
      <c r="BH488" s="1"/>
      <c r="BI488" s="1"/>
      <c r="BJ488" s="1"/>
      <c r="BK488" s="1"/>
      <c r="BL488" s="1"/>
      <c r="BM488" s="1"/>
    </row>
    <row r="489" spans="1:65" x14ac:dyDescent="0.25">
      <c r="A489" s="1"/>
      <c r="B489" s="2"/>
      <c r="C489" s="2"/>
      <c r="D489" s="1"/>
      <c r="E489" s="1"/>
      <c r="K489" s="1"/>
      <c r="L489" s="1"/>
      <c r="M489" s="1"/>
      <c r="N489" s="1"/>
      <c r="O489" s="1"/>
      <c r="P489" s="1"/>
      <c r="Q489" s="1"/>
      <c r="R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V489" s="1"/>
      <c r="AW489" s="1"/>
      <c r="AY489" s="1"/>
      <c r="AZ489" s="1"/>
      <c r="BB489" s="1"/>
      <c r="BC489" s="1"/>
      <c r="BD489" s="1"/>
      <c r="BE489" s="1"/>
      <c r="BF489" s="1"/>
      <c r="BH489" s="1"/>
      <c r="BI489" s="1"/>
      <c r="BJ489" s="1"/>
      <c r="BK489" s="1"/>
      <c r="BL489" s="1"/>
      <c r="BM489" s="1"/>
    </row>
    <row r="490" spans="1:65" x14ac:dyDescent="0.25">
      <c r="A490" s="1"/>
      <c r="B490" s="2"/>
      <c r="C490" s="2"/>
      <c r="D490" s="1"/>
      <c r="E490" s="1"/>
      <c r="K490" s="1"/>
      <c r="L490" s="1"/>
      <c r="M490" s="1"/>
      <c r="N490" s="1"/>
      <c r="O490" s="1"/>
      <c r="P490" s="1"/>
      <c r="Q490" s="1"/>
      <c r="R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V490" s="1"/>
      <c r="AW490" s="1"/>
      <c r="AY490" s="1"/>
      <c r="AZ490" s="1"/>
      <c r="BB490" s="1"/>
      <c r="BC490" s="1"/>
      <c r="BD490" s="1"/>
      <c r="BE490" s="1"/>
      <c r="BF490" s="1"/>
      <c r="BH490" s="1"/>
      <c r="BI490" s="1"/>
      <c r="BJ490" s="1"/>
      <c r="BK490" s="1"/>
      <c r="BL490" s="1"/>
      <c r="BM490" s="1"/>
    </row>
    <row r="491" spans="1:65" x14ac:dyDescent="0.25">
      <c r="A491" s="1"/>
      <c r="B491" s="2"/>
      <c r="C491" s="2"/>
      <c r="D491" s="1"/>
      <c r="E491" s="1"/>
      <c r="K491" s="1"/>
      <c r="L491" s="1"/>
      <c r="M491" s="1"/>
      <c r="N491" s="1"/>
      <c r="O491" s="1"/>
      <c r="P491" s="1"/>
      <c r="Q491" s="1"/>
      <c r="R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V491" s="1"/>
      <c r="AW491" s="1"/>
      <c r="AY491" s="1"/>
      <c r="AZ491" s="1"/>
      <c r="BB491" s="1"/>
      <c r="BC491" s="1"/>
      <c r="BD491" s="1"/>
      <c r="BE491" s="1"/>
      <c r="BF491" s="1"/>
      <c r="BH491" s="1"/>
      <c r="BI491" s="1"/>
      <c r="BJ491" s="1"/>
      <c r="BK491" s="1"/>
      <c r="BL491" s="1"/>
      <c r="BM491" s="1"/>
    </row>
    <row r="492" spans="1:65" x14ac:dyDescent="0.25">
      <c r="A492" s="1"/>
      <c r="B492" s="2"/>
      <c r="C492" s="2"/>
      <c r="D492" s="1"/>
      <c r="E492" s="1"/>
      <c r="K492" s="1"/>
      <c r="L492" s="1"/>
      <c r="M492" s="1"/>
      <c r="N492" s="1"/>
      <c r="O492" s="1"/>
      <c r="P492" s="1"/>
      <c r="Q492" s="1"/>
      <c r="R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V492" s="1"/>
      <c r="AW492" s="1"/>
      <c r="AY492" s="1"/>
      <c r="AZ492" s="1"/>
      <c r="BB492" s="1"/>
      <c r="BC492" s="1"/>
      <c r="BD492" s="1"/>
      <c r="BE492" s="1"/>
      <c r="BF492" s="1"/>
      <c r="BH492" s="1"/>
      <c r="BI492" s="1"/>
      <c r="BJ492" s="1"/>
      <c r="BK492" s="1"/>
      <c r="BL492" s="1"/>
      <c r="BM492" s="1"/>
    </row>
    <row r="493" spans="1:65" x14ac:dyDescent="0.25">
      <c r="A493" s="1"/>
      <c r="B493" s="2"/>
      <c r="C493" s="2"/>
      <c r="D493" s="1"/>
      <c r="E493" s="1"/>
      <c r="K493" s="1"/>
      <c r="L493" s="1"/>
      <c r="M493" s="1"/>
      <c r="N493" s="1"/>
      <c r="O493" s="1"/>
      <c r="P493" s="1"/>
      <c r="Q493" s="1"/>
      <c r="R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V493" s="1"/>
      <c r="AW493" s="1"/>
      <c r="AY493" s="1"/>
      <c r="AZ493" s="1"/>
      <c r="BB493" s="1"/>
      <c r="BC493" s="1"/>
      <c r="BD493" s="1"/>
      <c r="BE493" s="1"/>
      <c r="BF493" s="1"/>
      <c r="BH493" s="1"/>
      <c r="BI493" s="1"/>
      <c r="BJ493" s="1"/>
      <c r="BK493" s="1"/>
      <c r="BL493" s="1"/>
      <c r="BM493" s="1"/>
    </row>
    <row r="494" spans="1:65" x14ac:dyDescent="0.25">
      <c r="A494" s="1"/>
      <c r="B494" s="2"/>
      <c r="C494" s="2"/>
      <c r="D494" s="1"/>
      <c r="E494" s="1"/>
      <c r="K494" s="1"/>
      <c r="L494" s="1"/>
      <c r="M494" s="1"/>
      <c r="N494" s="1"/>
      <c r="O494" s="1"/>
      <c r="P494" s="1"/>
      <c r="Q494" s="1"/>
      <c r="R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V494" s="1"/>
      <c r="AW494" s="1"/>
      <c r="AY494" s="1"/>
      <c r="AZ494" s="1"/>
      <c r="BB494" s="1"/>
      <c r="BC494" s="1"/>
      <c r="BD494" s="1"/>
      <c r="BE494" s="1"/>
      <c r="BF494" s="1"/>
      <c r="BH494" s="1"/>
      <c r="BI494" s="1"/>
      <c r="BJ494" s="1"/>
      <c r="BK494" s="1"/>
      <c r="BL494" s="1"/>
      <c r="BM494" s="1"/>
    </row>
    <row r="495" spans="1:65" x14ac:dyDescent="0.25">
      <c r="A495" s="1"/>
      <c r="B495" s="2"/>
      <c r="C495" s="2"/>
      <c r="D495" s="1"/>
      <c r="E495" s="1"/>
      <c r="K495" s="1"/>
      <c r="L495" s="1"/>
      <c r="M495" s="1"/>
      <c r="N495" s="1"/>
      <c r="O495" s="1"/>
      <c r="P495" s="1"/>
      <c r="Q495" s="1"/>
      <c r="R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V495" s="1"/>
      <c r="AW495" s="1"/>
      <c r="AY495" s="1"/>
      <c r="AZ495" s="1"/>
      <c r="BB495" s="1"/>
      <c r="BC495" s="1"/>
      <c r="BD495" s="1"/>
      <c r="BE495" s="1"/>
      <c r="BF495" s="1"/>
      <c r="BH495" s="1"/>
      <c r="BI495" s="1"/>
      <c r="BJ495" s="1"/>
      <c r="BK495" s="1"/>
      <c r="BL495" s="1"/>
      <c r="BM495" s="1"/>
    </row>
    <row r="496" spans="1:65" x14ac:dyDescent="0.25">
      <c r="A496" s="1"/>
      <c r="B496" s="2"/>
      <c r="C496" s="2"/>
      <c r="D496" s="1"/>
      <c r="E496" s="1"/>
      <c r="K496" s="1"/>
      <c r="L496" s="1"/>
      <c r="M496" s="1"/>
      <c r="N496" s="1"/>
      <c r="O496" s="1"/>
      <c r="P496" s="1"/>
      <c r="Q496" s="1"/>
      <c r="R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V496" s="1"/>
      <c r="AW496" s="1"/>
      <c r="AY496" s="1"/>
      <c r="AZ496" s="1"/>
      <c r="BB496" s="1"/>
      <c r="BC496" s="1"/>
      <c r="BD496" s="1"/>
      <c r="BE496" s="1"/>
      <c r="BF496" s="1"/>
      <c r="BH496" s="1"/>
      <c r="BI496" s="1"/>
      <c r="BJ496" s="1"/>
      <c r="BK496" s="1"/>
      <c r="BL496" s="1"/>
      <c r="BM496" s="1"/>
    </row>
    <row r="497" spans="1:65" x14ac:dyDescent="0.25">
      <c r="A497" s="1"/>
      <c r="B497" s="2"/>
      <c r="C497" s="2"/>
      <c r="D497" s="1"/>
      <c r="E497" s="1"/>
      <c r="K497" s="1"/>
      <c r="L497" s="1"/>
      <c r="M497" s="1"/>
      <c r="N497" s="1"/>
      <c r="O497" s="1"/>
      <c r="P497" s="1"/>
      <c r="Q497" s="1"/>
      <c r="R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V497" s="1"/>
      <c r="AW497" s="1"/>
      <c r="AY497" s="1"/>
      <c r="AZ497" s="1"/>
      <c r="BB497" s="1"/>
      <c r="BC497" s="1"/>
      <c r="BD497" s="1"/>
      <c r="BE497" s="1"/>
      <c r="BF497" s="1"/>
      <c r="BH497" s="1"/>
      <c r="BI497" s="1"/>
      <c r="BJ497" s="1"/>
      <c r="BK497" s="1"/>
      <c r="BL497" s="1"/>
      <c r="BM497" s="1"/>
    </row>
    <row r="498" spans="1:65" x14ac:dyDescent="0.25">
      <c r="A498" s="1"/>
      <c r="B498" s="2"/>
      <c r="C498" s="2"/>
      <c r="D498" s="1"/>
      <c r="E498" s="1"/>
      <c r="K498" s="1"/>
      <c r="L498" s="1"/>
      <c r="M498" s="1"/>
      <c r="N498" s="1"/>
      <c r="O498" s="1"/>
      <c r="P498" s="1"/>
      <c r="Q498" s="1"/>
      <c r="R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V498" s="1"/>
      <c r="AW498" s="1"/>
      <c r="AY498" s="1"/>
      <c r="AZ498" s="1"/>
      <c r="BB498" s="1"/>
      <c r="BC498" s="1"/>
      <c r="BD498" s="1"/>
      <c r="BE498" s="1"/>
      <c r="BF498" s="1"/>
      <c r="BH498" s="1"/>
      <c r="BI498" s="1"/>
      <c r="BJ498" s="1"/>
      <c r="BK498" s="1"/>
      <c r="BL498" s="1"/>
      <c r="BM498" s="1"/>
    </row>
    <row r="499" spans="1:65" x14ac:dyDescent="0.25">
      <c r="A499" s="1"/>
      <c r="B499" s="2"/>
      <c r="C499" s="2"/>
      <c r="D499" s="1"/>
      <c r="E499" s="1"/>
      <c r="K499" s="1"/>
      <c r="L499" s="1"/>
      <c r="M499" s="1"/>
      <c r="N499" s="1"/>
      <c r="O499" s="1"/>
      <c r="P499" s="1"/>
      <c r="Q499" s="1"/>
      <c r="R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V499" s="1"/>
      <c r="AW499" s="1"/>
      <c r="AY499" s="1"/>
      <c r="AZ499" s="1"/>
      <c r="BB499" s="1"/>
      <c r="BC499" s="1"/>
      <c r="BD499" s="1"/>
      <c r="BE499" s="1"/>
      <c r="BF499" s="1"/>
      <c r="BH499" s="1"/>
      <c r="BI499" s="1"/>
      <c r="BJ499" s="1"/>
      <c r="BK499" s="1"/>
      <c r="BL499" s="1"/>
      <c r="BM499" s="1"/>
    </row>
    <row r="500" spans="1:65" x14ac:dyDescent="0.25">
      <c r="A500" s="1"/>
      <c r="B500" s="2"/>
      <c r="C500" s="2"/>
      <c r="D500" s="1"/>
      <c r="E500" s="1"/>
      <c r="K500" s="1"/>
      <c r="L500" s="1"/>
      <c r="M500" s="1"/>
      <c r="N500" s="1"/>
      <c r="O500" s="1"/>
      <c r="P500" s="1"/>
      <c r="Q500" s="1"/>
      <c r="R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V500" s="1"/>
      <c r="AW500" s="1"/>
      <c r="AY500" s="1"/>
      <c r="AZ500" s="1"/>
      <c r="BB500" s="1"/>
      <c r="BC500" s="1"/>
      <c r="BD500" s="1"/>
      <c r="BE500" s="1"/>
      <c r="BF500" s="1"/>
      <c r="BH500" s="1"/>
      <c r="BI500" s="1"/>
      <c r="BJ500" s="1"/>
      <c r="BK500" s="1"/>
      <c r="BL500" s="1"/>
      <c r="BM500" s="1"/>
    </row>
    <row r="501" spans="1:65" x14ac:dyDescent="0.25">
      <c r="A501" s="1"/>
      <c r="B501" s="2"/>
      <c r="C501" s="2"/>
      <c r="D501" s="1"/>
      <c r="E501" s="1"/>
      <c r="K501" s="1"/>
      <c r="L501" s="1"/>
      <c r="M501" s="1"/>
      <c r="N501" s="1"/>
      <c r="O501" s="1"/>
      <c r="P501" s="1"/>
      <c r="Q501" s="1"/>
      <c r="R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V501" s="1"/>
      <c r="AW501" s="1"/>
      <c r="AY501" s="1"/>
      <c r="AZ501" s="1"/>
      <c r="BB501" s="1"/>
      <c r="BC501" s="1"/>
      <c r="BD501" s="1"/>
      <c r="BE501" s="1"/>
      <c r="BF501" s="1"/>
      <c r="BH501" s="1"/>
      <c r="BI501" s="1"/>
      <c r="BJ501" s="1"/>
      <c r="BK501" s="1"/>
      <c r="BL501" s="1"/>
      <c r="BM501" s="1"/>
    </row>
    <row r="502" spans="1:65" x14ac:dyDescent="0.25">
      <c r="A502" s="1"/>
      <c r="B502" s="2"/>
      <c r="C502" s="2"/>
      <c r="D502" s="1"/>
      <c r="E502" s="1"/>
      <c r="K502" s="1"/>
      <c r="L502" s="1"/>
      <c r="M502" s="1"/>
      <c r="N502" s="1"/>
      <c r="O502" s="1"/>
      <c r="P502" s="1"/>
      <c r="Q502" s="1"/>
      <c r="R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V502" s="1"/>
      <c r="AW502" s="1"/>
      <c r="AY502" s="1"/>
      <c r="AZ502" s="1"/>
      <c r="BB502" s="1"/>
      <c r="BC502" s="1"/>
      <c r="BD502" s="1"/>
      <c r="BE502" s="1"/>
      <c r="BF502" s="1"/>
      <c r="BH502" s="1"/>
      <c r="BI502" s="1"/>
      <c r="BJ502" s="1"/>
      <c r="BK502" s="1"/>
      <c r="BL502" s="1"/>
      <c r="BM502" s="1"/>
    </row>
    <row r="503" spans="1:65" x14ac:dyDescent="0.25">
      <c r="A503" s="1"/>
      <c r="B503" s="2"/>
      <c r="C503" s="2"/>
      <c r="D503" s="1"/>
      <c r="E503" s="1"/>
      <c r="K503" s="1"/>
      <c r="L503" s="1"/>
      <c r="M503" s="1"/>
      <c r="N503" s="1"/>
      <c r="O503" s="1"/>
      <c r="P503" s="1"/>
      <c r="Q503" s="1"/>
      <c r="R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V503" s="1"/>
      <c r="AW503" s="1"/>
      <c r="AY503" s="1"/>
      <c r="AZ503" s="1"/>
      <c r="BB503" s="1"/>
      <c r="BC503" s="1"/>
      <c r="BD503" s="1"/>
      <c r="BE503" s="1"/>
      <c r="BF503" s="1"/>
      <c r="BH503" s="1"/>
      <c r="BI503" s="1"/>
      <c r="BJ503" s="1"/>
      <c r="BK503" s="1"/>
      <c r="BL503" s="1"/>
      <c r="BM503" s="1"/>
    </row>
    <row r="504" spans="1:65" x14ac:dyDescent="0.25">
      <c r="A504" s="1"/>
      <c r="B504" s="2"/>
      <c r="C504" s="2"/>
      <c r="D504" s="1"/>
      <c r="E504" s="1"/>
      <c r="K504" s="1"/>
      <c r="L504" s="1"/>
      <c r="M504" s="1"/>
      <c r="N504" s="1"/>
      <c r="O504" s="1"/>
      <c r="P504" s="1"/>
      <c r="Q504" s="1"/>
      <c r="R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V504" s="1"/>
      <c r="AW504" s="1"/>
      <c r="AY504" s="1"/>
      <c r="AZ504" s="1"/>
      <c r="BB504" s="1"/>
      <c r="BC504" s="1"/>
      <c r="BD504" s="1"/>
      <c r="BE504" s="1"/>
      <c r="BF504" s="1"/>
      <c r="BH504" s="1"/>
      <c r="BI504" s="1"/>
      <c r="BJ504" s="1"/>
      <c r="BK504" s="1"/>
      <c r="BL504" s="1"/>
      <c r="BM504" s="1"/>
    </row>
    <row r="505" spans="1:65" x14ac:dyDescent="0.25">
      <c r="A505" s="1"/>
      <c r="B505" s="2"/>
      <c r="C505" s="2"/>
      <c r="D505" s="1"/>
      <c r="E505" s="1"/>
      <c r="L505" s="1"/>
      <c r="M505" s="1"/>
      <c r="N505" s="1"/>
      <c r="O505" s="1"/>
      <c r="P505" s="1"/>
      <c r="Q505" s="1"/>
      <c r="R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V505" s="1"/>
      <c r="AW505" s="1"/>
      <c r="AY505" s="1"/>
      <c r="AZ505" s="1"/>
      <c r="BB505" s="1"/>
      <c r="BC505" s="1"/>
      <c r="BD505" s="1"/>
      <c r="BE505" s="1"/>
      <c r="BF505" s="1"/>
      <c r="BJ505" s="1"/>
      <c r="BK505" s="1"/>
      <c r="BL505" s="1"/>
      <c r="BM505" s="1"/>
    </row>
    <row r="506" spans="1:65" x14ac:dyDescent="0.25">
      <c r="A506" s="1"/>
      <c r="B506" s="2"/>
      <c r="C506" s="2"/>
      <c r="D506" s="1"/>
      <c r="E506" s="1"/>
      <c r="L506" s="1"/>
      <c r="M506" s="1"/>
      <c r="N506" s="1"/>
      <c r="O506" s="1"/>
      <c r="P506" s="1"/>
      <c r="Q506" s="1"/>
      <c r="R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V506" s="1"/>
      <c r="AW506" s="1"/>
      <c r="AY506" s="1"/>
      <c r="AZ506" s="1"/>
      <c r="BB506" s="1"/>
      <c r="BC506" s="1"/>
      <c r="BD506" s="1"/>
      <c r="BE506" s="1"/>
      <c r="BF506" s="1"/>
      <c r="BJ506" s="1"/>
      <c r="BK506" s="1"/>
      <c r="BL506" s="1"/>
      <c r="BM506" s="1"/>
    </row>
    <row r="507" spans="1:65" x14ac:dyDescent="0.25">
      <c r="A507" s="1"/>
      <c r="B507" s="2"/>
      <c r="C507" s="2"/>
      <c r="D507" s="1"/>
      <c r="E507" s="1"/>
      <c r="L507" s="1"/>
      <c r="M507" s="1"/>
      <c r="N507" s="1"/>
      <c r="O507" s="1"/>
      <c r="P507" s="1"/>
      <c r="Q507" s="1"/>
      <c r="R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V507" s="1"/>
      <c r="AW507" s="1"/>
      <c r="AY507" s="1"/>
      <c r="AZ507" s="1"/>
      <c r="BB507" s="1"/>
      <c r="BC507" s="1"/>
      <c r="BD507" s="1"/>
      <c r="BE507" s="1"/>
      <c r="BF507" s="1"/>
      <c r="BJ507" s="1"/>
      <c r="BK507" s="1"/>
      <c r="BL507" s="1"/>
      <c r="BM507" s="1"/>
    </row>
    <row r="508" spans="1:65" x14ac:dyDescent="0.25">
      <c r="A508" s="1"/>
      <c r="B508" s="2"/>
      <c r="C508" s="2"/>
      <c r="D508" s="1"/>
      <c r="E508" s="1"/>
      <c r="L508" s="1"/>
      <c r="M508" s="1"/>
      <c r="N508" s="1"/>
      <c r="O508" s="1"/>
      <c r="P508" s="1"/>
      <c r="Q508" s="1"/>
      <c r="R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V508" s="1"/>
      <c r="AW508" s="1"/>
      <c r="AY508" s="1"/>
      <c r="AZ508" s="1"/>
      <c r="BB508" s="1"/>
      <c r="BC508" s="1"/>
      <c r="BD508" s="1"/>
      <c r="BE508" s="1"/>
      <c r="BF508" s="1"/>
      <c r="BJ508" s="1"/>
      <c r="BK508" s="1"/>
      <c r="BL508" s="1"/>
      <c r="BM508" s="1"/>
    </row>
    <row r="509" spans="1:65" x14ac:dyDescent="0.25">
      <c r="A509" s="1"/>
      <c r="B509" s="2"/>
      <c r="C509" s="2"/>
      <c r="D509" s="1"/>
      <c r="E509" s="1"/>
      <c r="L509" s="1"/>
      <c r="M509" s="1"/>
      <c r="N509" s="1"/>
      <c r="O509" s="1"/>
      <c r="P509" s="1"/>
      <c r="Q509" s="1"/>
      <c r="R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V509" s="1"/>
      <c r="AW509" s="1"/>
      <c r="AY509" s="1"/>
      <c r="AZ509" s="1"/>
      <c r="BB509" s="1"/>
      <c r="BC509" s="1"/>
      <c r="BD509" s="1"/>
      <c r="BE509" s="1"/>
      <c r="BF509" s="1"/>
      <c r="BJ509" s="1"/>
      <c r="BK509" s="1"/>
      <c r="BL509" s="1"/>
      <c r="BM509" s="1"/>
    </row>
    <row r="510" spans="1:65" x14ac:dyDescent="0.25">
      <c r="A510" s="1"/>
      <c r="B510" s="2"/>
      <c r="C510" s="2"/>
      <c r="D510" s="1"/>
      <c r="E510" s="1"/>
      <c r="L510" s="1"/>
      <c r="M510" s="1"/>
      <c r="N510" s="1"/>
      <c r="O510" s="1"/>
      <c r="P510" s="1"/>
      <c r="Q510" s="1"/>
      <c r="R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V510" s="1"/>
      <c r="AW510" s="1"/>
      <c r="AY510" s="1"/>
      <c r="AZ510" s="1"/>
      <c r="BB510" s="1"/>
      <c r="BC510" s="1"/>
      <c r="BD510" s="1"/>
      <c r="BE510" s="1"/>
      <c r="BF510" s="1"/>
      <c r="BJ510" s="1"/>
      <c r="BK510" s="1"/>
      <c r="BL510" s="1"/>
      <c r="BM510" s="1"/>
    </row>
    <row r="511" spans="1:65" x14ac:dyDescent="0.25">
      <c r="A511" s="1"/>
      <c r="B511" s="2"/>
      <c r="C511" s="2"/>
      <c r="D511" s="1"/>
      <c r="E511" s="1"/>
      <c r="L511" s="1"/>
      <c r="M511" s="1"/>
      <c r="N511" s="1"/>
      <c r="O511" s="1"/>
      <c r="P511" s="1"/>
      <c r="Q511" s="1"/>
      <c r="R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V511" s="1"/>
      <c r="AW511" s="1"/>
      <c r="AY511" s="1"/>
      <c r="AZ511" s="1"/>
      <c r="BB511" s="1"/>
      <c r="BC511" s="1"/>
      <c r="BD511" s="1"/>
      <c r="BE511" s="1"/>
      <c r="BF511" s="1"/>
      <c r="BJ511" s="1"/>
      <c r="BK511" s="1"/>
      <c r="BL511" s="1"/>
      <c r="BM511" s="1"/>
    </row>
    <row r="512" spans="1:65" x14ac:dyDescent="0.25">
      <c r="A512" s="1"/>
      <c r="B512" s="2"/>
      <c r="C512" s="2"/>
      <c r="D512" s="1"/>
      <c r="E512" s="1"/>
      <c r="L512" s="1"/>
      <c r="M512" s="1"/>
      <c r="N512" s="1"/>
      <c r="O512" s="1"/>
      <c r="P512" s="1"/>
      <c r="Q512" s="1"/>
      <c r="R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V512" s="1"/>
      <c r="AW512" s="1"/>
      <c r="AY512" s="1"/>
      <c r="AZ512" s="1"/>
      <c r="BB512" s="1"/>
      <c r="BC512" s="1"/>
      <c r="BD512" s="1"/>
      <c r="BE512" s="1"/>
      <c r="BF512" s="1"/>
      <c r="BJ512" s="1"/>
      <c r="BK512" s="1"/>
      <c r="BL512" s="1"/>
      <c r="BM512" s="1"/>
    </row>
    <row r="513" spans="1:65" x14ac:dyDescent="0.25">
      <c r="A513" s="1"/>
      <c r="B513" s="2"/>
      <c r="C513" s="2"/>
      <c r="D513" s="1"/>
      <c r="E513" s="1"/>
      <c r="L513" s="1"/>
      <c r="M513" s="1"/>
      <c r="N513" s="1"/>
      <c r="O513" s="1"/>
      <c r="P513" s="1"/>
      <c r="Q513" s="1"/>
      <c r="R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V513" s="1"/>
      <c r="AW513" s="1"/>
      <c r="AY513" s="1"/>
      <c r="AZ513" s="1"/>
      <c r="BB513" s="1"/>
      <c r="BC513" s="1"/>
      <c r="BD513" s="1"/>
      <c r="BE513" s="1"/>
      <c r="BF513" s="1"/>
      <c r="BJ513" s="1"/>
      <c r="BK513" s="1"/>
      <c r="BL513" s="1"/>
      <c r="BM513" s="1"/>
    </row>
    <row r="514" spans="1:65" x14ac:dyDescent="0.25">
      <c r="A514" s="1"/>
      <c r="B514" s="2"/>
      <c r="C514" s="2"/>
      <c r="D514" s="1"/>
      <c r="E514" s="1"/>
      <c r="L514" s="1"/>
      <c r="M514" s="1"/>
      <c r="N514" s="1"/>
      <c r="O514" s="1"/>
      <c r="P514" s="1"/>
      <c r="Q514" s="1"/>
      <c r="R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V514" s="1"/>
      <c r="AW514" s="1"/>
      <c r="AY514" s="1"/>
      <c r="AZ514" s="1"/>
      <c r="BB514" s="1"/>
      <c r="BC514" s="1"/>
      <c r="BD514" s="1"/>
      <c r="BE514" s="1"/>
      <c r="BF514" s="1"/>
      <c r="BJ514" s="1"/>
      <c r="BK514" s="1"/>
      <c r="BL514" s="1"/>
      <c r="BM514" s="1"/>
    </row>
    <row r="515" spans="1:65" x14ac:dyDescent="0.25">
      <c r="A515" s="1"/>
      <c r="B515" s="2"/>
      <c r="C515" s="2"/>
      <c r="D515" s="1"/>
      <c r="E515" s="1"/>
      <c r="L515" s="1"/>
      <c r="M515" s="1"/>
      <c r="N515" s="1"/>
      <c r="O515" s="1"/>
      <c r="P515" s="1"/>
      <c r="Q515" s="1"/>
      <c r="R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V515" s="1"/>
      <c r="AW515" s="1"/>
      <c r="AY515" s="1"/>
      <c r="AZ515" s="1"/>
      <c r="BB515" s="1"/>
      <c r="BC515" s="1"/>
      <c r="BD515" s="1"/>
      <c r="BE515" s="1"/>
      <c r="BF515" s="1"/>
      <c r="BJ515" s="1"/>
      <c r="BK515" s="1"/>
      <c r="BL515" s="1"/>
      <c r="BM515" s="1"/>
    </row>
    <row r="516" spans="1:65" x14ac:dyDescent="0.25">
      <c r="A516" s="1"/>
      <c r="B516" s="2"/>
      <c r="C516" s="2"/>
      <c r="D516" s="1"/>
      <c r="E516" s="1"/>
      <c r="L516" s="1"/>
      <c r="M516" s="1"/>
      <c r="N516" s="1"/>
      <c r="O516" s="1"/>
      <c r="P516" s="1"/>
      <c r="Q516" s="1"/>
      <c r="R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V516" s="1"/>
      <c r="AW516" s="1"/>
      <c r="AY516" s="1"/>
      <c r="AZ516" s="1"/>
      <c r="BB516" s="1"/>
      <c r="BC516" s="1"/>
      <c r="BD516" s="1"/>
      <c r="BE516" s="1"/>
      <c r="BF516" s="1"/>
      <c r="BJ516" s="1"/>
      <c r="BK516" s="1"/>
      <c r="BL516" s="1"/>
      <c r="BM516" s="1"/>
    </row>
    <row r="517" spans="1:65" x14ac:dyDescent="0.25">
      <c r="A517" s="1"/>
      <c r="B517" s="2"/>
      <c r="C517" s="2"/>
      <c r="D517" s="1"/>
      <c r="E517" s="1"/>
      <c r="L517" s="1"/>
      <c r="M517" s="1"/>
      <c r="N517" s="1"/>
      <c r="O517" s="1"/>
      <c r="P517" s="1"/>
      <c r="Q517" s="1"/>
      <c r="R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V517" s="1"/>
      <c r="AW517" s="1"/>
      <c r="AY517" s="1"/>
      <c r="AZ517" s="1"/>
      <c r="BB517" s="1"/>
      <c r="BC517" s="1"/>
      <c r="BD517" s="1"/>
      <c r="BE517" s="1"/>
      <c r="BF517" s="1"/>
      <c r="BJ517" s="1"/>
      <c r="BK517" s="1"/>
      <c r="BL517" s="1"/>
      <c r="BM517" s="1"/>
    </row>
    <row r="518" spans="1:65" x14ac:dyDescent="0.25">
      <c r="A518" s="1"/>
      <c r="B518" s="2"/>
      <c r="C518" s="2"/>
      <c r="D518" s="1"/>
      <c r="E518" s="1"/>
      <c r="L518" s="1"/>
      <c r="M518" s="1"/>
      <c r="N518" s="1"/>
      <c r="O518" s="1"/>
      <c r="P518" s="1"/>
      <c r="Q518" s="1"/>
      <c r="R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V518" s="1"/>
      <c r="AW518" s="1"/>
      <c r="AY518" s="1"/>
      <c r="AZ518" s="1"/>
      <c r="BB518" s="1"/>
      <c r="BC518" s="1"/>
      <c r="BD518" s="1"/>
      <c r="BE518" s="1"/>
      <c r="BF518" s="1"/>
      <c r="BJ518" s="1"/>
      <c r="BK518" s="1"/>
      <c r="BL518" s="1"/>
      <c r="BM518" s="1"/>
    </row>
    <row r="519" spans="1:65" x14ac:dyDescent="0.25">
      <c r="A519" s="1"/>
      <c r="B519" s="2"/>
      <c r="C519" s="2"/>
      <c r="D519" s="1"/>
      <c r="E519" s="1"/>
      <c r="L519" s="1"/>
      <c r="M519" s="1"/>
      <c r="N519" s="1"/>
      <c r="O519" s="1"/>
      <c r="P519" s="1"/>
      <c r="Q519" s="1"/>
      <c r="R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V519" s="1"/>
      <c r="AW519" s="1"/>
      <c r="AY519" s="1"/>
      <c r="AZ519" s="1"/>
      <c r="BB519" s="1"/>
      <c r="BC519" s="1"/>
      <c r="BD519" s="1"/>
      <c r="BE519" s="1"/>
      <c r="BF519" s="1"/>
      <c r="BJ519" s="1"/>
      <c r="BK519" s="1"/>
      <c r="BL519" s="1"/>
      <c r="BM519" s="1"/>
    </row>
    <row r="520" spans="1:65" x14ac:dyDescent="0.25">
      <c r="A520" s="1"/>
      <c r="B520" s="2"/>
      <c r="C520" s="2"/>
      <c r="D520" s="1"/>
      <c r="E520" s="1"/>
      <c r="L520" s="1"/>
      <c r="M520" s="1"/>
      <c r="N520" s="1"/>
      <c r="O520" s="1"/>
      <c r="P520" s="1"/>
      <c r="Q520" s="1"/>
      <c r="R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V520" s="1"/>
      <c r="AW520" s="1"/>
      <c r="AY520" s="1"/>
      <c r="AZ520" s="1"/>
      <c r="BB520" s="1"/>
      <c r="BC520" s="1"/>
      <c r="BD520" s="1"/>
      <c r="BE520" s="1"/>
      <c r="BF520" s="1"/>
      <c r="BJ520" s="1"/>
      <c r="BK520" s="1"/>
      <c r="BL520" s="1"/>
      <c r="BM520" s="1"/>
    </row>
    <row r="521" spans="1:65" x14ac:dyDescent="0.25">
      <c r="A521" s="1"/>
      <c r="B521" s="2"/>
      <c r="C521" s="2"/>
      <c r="D521" s="1"/>
      <c r="E521" s="1"/>
      <c r="L521" s="1"/>
      <c r="M521" s="1"/>
      <c r="N521" s="1"/>
      <c r="O521" s="1"/>
      <c r="P521" s="1"/>
      <c r="Q521" s="1"/>
      <c r="R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V521" s="1"/>
      <c r="AW521" s="1"/>
      <c r="AY521" s="1"/>
      <c r="AZ521" s="1"/>
      <c r="BB521" s="1"/>
      <c r="BC521" s="1"/>
      <c r="BD521" s="1"/>
      <c r="BE521" s="1"/>
      <c r="BF521" s="1"/>
      <c r="BJ521" s="1"/>
      <c r="BK521" s="1"/>
      <c r="BL521" s="1"/>
      <c r="BM521" s="1"/>
    </row>
    <row r="522" spans="1:65" x14ac:dyDescent="0.25">
      <c r="A522" s="1"/>
      <c r="B522" s="2"/>
      <c r="C522" s="2"/>
      <c r="D522" s="1"/>
      <c r="E522" s="1"/>
      <c r="L522" s="1"/>
      <c r="M522" s="1"/>
      <c r="N522" s="1"/>
      <c r="O522" s="1"/>
      <c r="P522" s="1"/>
      <c r="Q522" s="1"/>
      <c r="R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V522" s="1"/>
      <c r="AW522" s="1"/>
      <c r="AY522" s="1"/>
      <c r="AZ522" s="1"/>
      <c r="BB522" s="1"/>
      <c r="BC522" s="1"/>
      <c r="BD522" s="1"/>
      <c r="BE522" s="1"/>
      <c r="BF522" s="1"/>
      <c r="BJ522" s="1"/>
      <c r="BK522" s="1"/>
      <c r="BL522" s="1"/>
      <c r="BM522" s="1"/>
    </row>
    <row r="523" spans="1:65" x14ac:dyDescent="0.25">
      <c r="A523" s="1"/>
      <c r="B523" s="2"/>
      <c r="C523" s="2"/>
      <c r="D523" s="1"/>
      <c r="E523" s="1"/>
      <c r="L523" s="1"/>
      <c r="M523" s="1"/>
      <c r="N523" s="1"/>
      <c r="O523" s="1"/>
      <c r="P523" s="1"/>
      <c r="Q523" s="1"/>
      <c r="R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V523" s="1"/>
      <c r="AW523" s="1"/>
      <c r="AY523" s="1"/>
      <c r="AZ523" s="1"/>
      <c r="BB523" s="1"/>
      <c r="BC523" s="1"/>
      <c r="BD523" s="1"/>
      <c r="BE523" s="1"/>
      <c r="BF523" s="1"/>
      <c r="BJ523" s="1"/>
      <c r="BK523" s="1"/>
      <c r="BL523" s="1"/>
      <c r="BM523" s="1"/>
    </row>
    <row r="524" spans="1:65" x14ac:dyDescent="0.25">
      <c r="A524" s="1"/>
      <c r="B524" s="2"/>
      <c r="C524" s="2"/>
      <c r="D524" s="1"/>
      <c r="E524" s="1"/>
      <c r="L524" s="1"/>
      <c r="M524" s="1"/>
      <c r="N524" s="1"/>
      <c r="O524" s="1"/>
      <c r="P524" s="1"/>
      <c r="Q524" s="1"/>
      <c r="R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V524" s="1"/>
      <c r="AW524" s="1"/>
      <c r="AY524" s="1"/>
      <c r="AZ524" s="1"/>
      <c r="BB524" s="1"/>
      <c r="BC524" s="1"/>
      <c r="BD524" s="1"/>
      <c r="BE524" s="1"/>
      <c r="BF524" s="1"/>
      <c r="BJ524" s="1"/>
      <c r="BK524" s="1"/>
      <c r="BL524" s="1"/>
      <c r="BM524" s="1"/>
    </row>
    <row r="525" spans="1:65" x14ac:dyDescent="0.25">
      <c r="A525" s="1"/>
      <c r="B525" s="2"/>
      <c r="C525" s="2"/>
      <c r="D525" s="1"/>
      <c r="E525" s="1"/>
      <c r="L525" s="1"/>
      <c r="M525" s="1"/>
      <c r="N525" s="1"/>
      <c r="O525" s="1"/>
      <c r="P525" s="1"/>
      <c r="Q525" s="1"/>
      <c r="R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V525" s="1"/>
      <c r="AW525" s="1"/>
      <c r="AY525" s="1"/>
      <c r="AZ525" s="1"/>
      <c r="BB525" s="1"/>
      <c r="BC525" s="1"/>
      <c r="BD525" s="1"/>
      <c r="BE525" s="1"/>
      <c r="BF525" s="1"/>
      <c r="BJ525" s="1"/>
      <c r="BK525" s="1"/>
      <c r="BL525" s="1"/>
      <c r="BM525" s="1"/>
    </row>
    <row r="526" spans="1:65" x14ac:dyDescent="0.25">
      <c r="A526" s="1"/>
      <c r="B526" s="2"/>
      <c r="C526" s="2"/>
      <c r="D526" s="1"/>
      <c r="E526" s="1"/>
      <c r="L526" s="1"/>
      <c r="M526" s="1"/>
      <c r="N526" s="1"/>
      <c r="O526" s="1"/>
      <c r="P526" s="1"/>
      <c r="Q526" s="1"/>
      <c r="R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V526" s="1"/>
      <c r="AW526" s="1"/>
      <c r="AY526" s="1"/>
      <c r="AZ526" s="1"/>
      <c r="BB526" s="1"/>
      <c r="BC526" s="1"/>
      <c r="BD526" s="1"/>
      <c r="BE526" s="1"/>
      <c r="BF526" s="1"/>
      <c r="BJ526" s="1"/>
      <c r="BK526" s="1"/>
      <c r="BL526" s="1"/>
      <c r="BM526" s="1"/>
    </row>
    <row r="527" spans="1:65" x14ac:dyDescent="0.25">
      <c r="A527" s="1"/>
      <c r="B527" s="2"/>
      <c r="C527" s="2"/>
      <c r="D527" s="1"/>
      <c r="E527" s="1"/>
      <c r="L527" s="1"/>
      <c r="M527" s="1"/>
      <c r="N527" s="1"/>
      <c r="O527" s="1"/>
      <c r="P527" s="1"/>
      <c r="Q527" s="1"/>
      <c r="R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V527" s="1"/>
      <c r="AW527" s="1"/>
      <c r="AY527" s="1"/>
      <c r="AZ527" s="1"/>
      <c r="BB527" s="1"/>
      <c r="BC527" s="1"/>
      <c r="BD527" s="1"/>
      <c r="BE527" s="1"/>
      <c r="BF527" s="1"/>
      <c r="BJ527" s="1"/>
      <c r="BK527" s="1"/>
      <c r="BL527" s="1"/>
      <c r="BM527" s="1"/>
    </row>
    <row r="528" spans="1:65" x14ac:dyDescent="0.25">
      <c r="A528" s="1"/>
      <c r="B528" s="2"/>
      <c r="C528" s="2"/>
      <c r="D528" s="1"/>
      <c r="E528" s="1"/>
      <c r="L528" s="1"/>
      <c r="M528" s="1"/>
      <c r="N528" s="1"/>
      <c r="O528" s="1"/>
      <c r="P528" s="1"/>
      <c r="Q528" s="1"/>
      <c r="R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V528" s="1"/>
      <c r="AW528" s="1"/>
      <c r="AY528" s="1"/>
      <c r="AZ528" s="1"/>
      <c r="BB528" s="1"/>
      <c r="BC528" s="1"/>
      <c r="BD528" s="1"/>
      <c r="BE528" s="1"/>
      <c r="BF528" s="1"/>
      <c r="BJ528" s="1"/>
      <c r="BK528" s="1"/>
      <c r="BL528" s="1"/>
      <c r="BM528" s="1"/>
    </row>
    <row r="529" spans="1:65" x14ac:dyDescent="0.25">
      <c r="A529" s="1"/>
      <c r="B529" s="2"/>
      <c r="C529" s="2"/>
      <c r="D529" s="1"/>
      <c r="E529" s="1"/>
      <c r="L529" s="1"/>
      <c r="M529" s="1"/>
      <c r="N529" s="1"/>
      <c r="O529" s="1"/>
      <c r="P529" s="1"/>
      <c r="Q529" s="1"/>
      <c r="R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V529" s="1"/>
      <c r="AW529" s="1"/>
      <c r="AY529" s="1"/>
      <c r="AZ529" s="1"/>
      <c r="BB529" s="1"/>
      <c r="BC529" s="1"/>
      <c r="BD529" s="1"/>
      <c r="BE529" s="1"/>
      <c r="BF529" s="1"/>
      <c r="BJ529" s="1"/>
      <c r="BK529" s="1"/>
      <c r="BL529" s="1"/>
      <c r="BM529" s="1"/>
    </row>
    <row r="530" spans="1:65" x14ac:dyDescent="0.25">
      <c r="A530" s="1"/>
      <c r="B530" s="2"/>
      <c r="C530" s="2"/>
      <c r="D530" s="1"/>
      <c r="E530" s="1"/>
      <c r="L530" s="1"/>
      <c r="M530" s="1"/>
      <c r="N530" s="1"/>
      <c r="O530" s="1"/>
      <c r="P530" s="1"/>
      <c r="Q530" s="1"/>
      <c r="R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V530" s="1"/>
      <c r="AW530" s="1"/>
      <c r="AY530" s="1"/>
      <c r="AZ530" s="1"/>
      <c r="BB530" s="1"/>
      <c r="BC530" s="1"/>
      <c r="BD530" s="1"/>
      <c r="BE530" s="1"/>
      <c r="BF530" s="1"/>
      <c r="BJ530" s="1"/>
      <c r="BK530" s="1"/>
      <c r="BL530" s="1"/>
      <c r="BM530" s="1"/>
    </row>
    <row r="531" spans="1:65" x14ac:dyDescent="0.25">
      <c r="A531" s="1"/>
      <c r="B531" s="2"/>
      <c r="C531" s="2"/>
      <c r="D531" s="1"/>
      <c r="E531" s="1"/>
      <c r="L531" s="1"/>
      <c r="M531" s="1"/>
      <c r="N531" s="1"/>
      <c r="O531" s="1"/>
      <c r="P531" s="1"/>
      <c r="Q531" s="1"/>
      <c r="R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V531" s="1"/>
      <c r="AW531" s="1"/>
      <c r="AY531" s="1"/>
      <c r="AZ531" s="1"/>
      <c r="BB531" s="1"/>
      <c r="BC531" s="1"/>
      <c r="BD531" s="1"/>
      <c r="BE531" s="1"/>
      <c r="BF531" s="1"/>
      <c r="BJ531" s="1"/>
      <c r="BK531" s="1"/>
      <c r="BL531" s="1"/>
      <c r="BM531" s="1"/>
    </row>
    <row r="532" spans="1:65" x14ac:dyDescent="0.25">
      <c r="A532" s="1"/>
      <c r="B532" s="2"/>
      <c r="C532" s="2"/>
      <c r="D532" s="1"/>
      <c r="E532" s="1"/>
      <c r="L532" s="1"/>
      <c r="M532" s="1"/>
      <c r="N532" s="1"/>
      <c r="O532" s="1"/>
      <c r="P532" s="1"/>
      <c r="Q532" s="1"/>
      <c r="R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V532" s="1"/>
      <c r="AW532" s="1"/>
      <c r="AY532" s="1"/>
      <c r="AZ532" s="1"/>
      <c r="BB532" s="1"/>
      <c r="BC532" s="1"/>
      <c r="BD532" s="1"/>
      <c r="BE532" s="1"/>
      <c r="BF532" s="1"/>
      <c r="BJ532" s="1"/>
      <c r="BK532" s="1"/>
      <c r="BL532" s="1"/>
      <c r="BM532" s="1"/>
    </row>
    <row r="533" spans="1:65" x14ac:dyDescent="0.25">
      <c r="A533" s="1"/>
      <c r="B533" s="2"/>
      <c r="C533" s="2"/>
      <c r="D533" s="1"/>
      <c r="E533" s="1"/>
      <c r="L533" s="1"/>
      <c r="M533" s="1"/>
      <c r="N533" s="1"/>
      <c r="O533" s="1"/>
      <c r="P533" s="1"/>
      <c r="Q533" s="1"/>
      <c r="R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V533" s="1"/>
      <c r="AW533" s="1"/>
      <c r="AY533" s="1"/>
      <c r="AZ533" s="1"/>
      <c r="BB533" s="1"/>
      <c r="BC533" s="1"/>
      <c r="BD533" s="1"/>
      <c r="BE533" s="1"/>
      <c r="BF533" s="1"/>
      <c r="BJ533" s="1"/>
      <c r="BK533" s="1"/>
      <c r="BL533" s="1"/>
      <c r="BM533" s="1"/>
    </row>
    <row r="534" spans="1:65" x14ac:dyDescent="0.25">
      <c r="A534" s="1"/>
      <c r="B534" s="2"/>
      <c r="C534" s="2"/>
      <c r="D534" s="1"/>
      <c r="E534" s="1"/>
      <c r="L534" s="1"/>
      <c r="M534" s="1"/>
      <c r="N534" s="1"/>
      <c r="O534" s="1"/>
      <c r="P534" s="1"/>
      <c r="Q534" s="1"/>
      <c r="R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V534" s="1"/>
      <c r="AW534" s="1"/>
      <c r="AY534" s="1"/>
      <c r="AZ534" s="1"/>
      <c r="BB534" s="1"/>
      <c r="BC534" s="1"/>
      <c r="BD534" s="1"/>
      <c r="BE534" s="1"/>
      <c r="BF534" s="1"/>
      <c r="BJ534" s="1"/>
      <c r="BK534" s="1"/>
      <c r="BL534" s="1"/>
      <c r="BM534" s="1"/>
    </row>
    <row r="535" spans="1:65" x14ac:dyDescent="0.25">
      <c r="A535" s="1"/>
      <c r="B535" s="2"/>
      <c r="C535" s="2"/>
      <c r="D535" s="1"/>
      <c r="E535" s="1"/>
      <c r="L535" s="1"/>
      <c r="M535" s="1"/>
      <c r="N535" s="1"/>
      <c r="O535" s="1"/>
      <c r="P535" s="1"/>
      <c r="Q535" s="1"/>
      <c r="R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V535" s="1"/>
      <c r="AW535" s="1"/>
      <c r="AY535" s="1"/>
      <c r="AZ535" s="1"/>
      <c r="BB535" s="1"/>
      <c r="BC535" s="1"/>
      <c r="BD535" s="1"/>
      <c r="BE535" s="1"/>
      <c r="BF535" s="1"/>
      <c r="BJ535" s="1"/>
      <c r="BK535" s="1"/>
      <c r="BL535" s="1"/>
      <c r="BM535" s="1"/>
    </row>
    <row r="536" spans="1:65" x14ac:dyDescent="0.25">
      <c r="A536" s="1"/>
      <c r="B536" s="2"/>
      <c r="C536" s="2"/>
      <c r="D536" s="1"/>
      <c r="E536" s="1"/>
      <c r="L536" s="1"/>
      <c r="M536" s="1"/>
      <c r="N536" s="1"/>
      <c r="O536" s="1"/>
      <c r="P536" s="1"/>
      <c r="Q536" s="1"/>
      <c r="R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V536" s="1"/>
      <c r="AW536" s="1"/>
      <c r="AY536" s="1"/>
      <c r="AZ536" s="1"/>
      <c r="BB536" s="1"/>
      <c r="BC536" s="1"/>
      <c r="BD536" s="1"/>
      <c r="BE536" s="1"/>
      <c r="BF536" s="1"/>
      <c r="BJ536" s="1"/>
      <c r="BK536" s="1"/>
      <c r="BL536" s="1"/>
      <c r="BM536" s="1"/>
    </row>
    <row r="537" spans="1:65" x14ac:dyDescent="0.25">
      <c r="A537" s="1"/>
      <c r="B537" s="2"/>
      <c r="C537" s="2"/>
      <c r="D537" s="1"/>
      <c r="E537" s="1"/>
      <c r="L537" s="1"/>
      <c r="M537" s="1"/>
      <c r="N537" s="1"/>
      <c r="O537" s="1"/>
      <c r="P537" s="1"/>
      <c r="Q537" s="1"/>
      <c r="R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V537" s="1"/>
      <c r="AW537" s="1"/>
      <c r="AY537" s="1"/>
      <c r="AZ537" s="1"/>
      <c r="BB537" s="1"/>
      <c r="BC537" s="1"/>
      <c r="BD537" s="1"/>
      <c r="BE537" s="1"/>
      <c r="BF537" s="1"/>
      <c r="BJ537" s="1"/>
      <c r="BK537" s="1"/>
      <c r="BL537" s="1"/>
      <c r="BM537" s="1"/>
    </row>
    <row r="538" spans="1:65" x14ac:dyDescent="0.25">
      <c r="A538" s="1"/>
      <c r="B538" s="2"/>
      <c r="C538" s="2"/>
      <c r="D538" s="1"/>
      <c r="E538" s="1"/>
      <c r="L538" s="1"/>
      <c r="M538" s="1"/>
      <c r="N538" s="1"/>
      <c r="O538" s="1"/>
      <c r="P538" s="1"/>
      <c r="Q538" s="1"/>
      <c r="R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V538" s="1"/>
      <c r="AW538" s="1"/>
      <c r="AY538" s="1"/>
      <c r="AZ538" s="1"/>
      <c r="BB538" s="1"/>
      <c r="BC538" s="1"/>
      <c r="BD538" s="1"/>
      <c r="BE538" s="1"/>
      <c r="BF538" s="1"/>
      <c r="BJ538" s="1"/>
      <c r="BK538" s="1"/>
      <c r="BL538" s="1"/>
      <c r="BM538" s="1"/>
    </row>
    <row r="539" spans="1:65" x14ac:dyDescent="0.25">
      <c r="A539" s="1"/>
      <c r="B539" s="2"/>
      <c r="C539" s="2"/>
      <c r="D539" s="1"/>
      <c r="E539" s="1"/>
      <c r="L539" s="1"/>
      <c r="M539" s="1"/>
      <c r="N539" s="1"/>
      <c r="O539" s="1"/>
      <c r="P539" s="1"/>
      <c r="Q539" s="1"/>
      <c r="R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V539" s="1"/>
      <c r="AW539" s="1"/>
      <c r="AY539" s="1"/>
      <c r="AZ539" s="1"/>
      <c r="BB539" s="1"/>
      <c r="BC539" s="1"/>
      <c r="BD539" s="1"/>
      <c r="BE539" s="1"/>
      <c r="BF539" s="1"/>
      <c r="BJ539" s="1"/>
      <c r="BK539" s="1"/>
      <c r="BL539" s="1"/>
      <c r="BM539" s="1"/>
    </row>
    <row r="540" spans="1:65" x14ac:dyDescent="0.25">
      <c r="A540" s="1"/>
      <c r="B540" s="2"/>
      <c r="C540" s="2"/>
      <c r="D540" s="1"/>
      <c r="E540" s="1"/>
      <c r="L540" s="1"/>
      <c r="M540" s="1"/>
      <c r="N540" s="1"/>
      <c r="O540" s="1"/>
      <c r="P540" s="1"/>
      <c r="Q540" s="1"/>
      <c r="R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V540" s="1"/>
      <c r="AW540" s="1"/>
      <c r="AY540" s="1"/>
      <c r="AZ540" s="1"/>
      <c r="BB540" s="1"/>
      <c r="BC540" s="1"/>
      <c r="BD540" s="1"/>
      <c r="BE540" s="1"/>
      <c r="BF540" s="1"/>
      <c r="BJ540" s="1"/>
      <c r="BK540" s="1"/>
      <c r="BL540" s="1"/>
      <c r="BM540" s="1"/>
    </row>
    <row r="541" spans="1:65" x14ac:dyDescent="0.25">
      <c r="A541" s="1"/>
      <c r="B541" s="2"/>
      <c r="C541" s="2"/>
      <c r="D541" s="1"/>
      <c r="E541" s="1"/>
      <c r="L541" s="1"/>
      <c r="M541" s="1"/>
      <c r="N541" s="1"/>
      <c r="O541" s="1"/>
      <c r="P541" s="1"/>
      <c r="Q541" s="1"/>
      <c r="R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V541" s="1"/>
      <c r="AW541" s="1"/>
      <c r="AY541" s="1"/>
      <c r="AZ541" s="1"/>
      <c r="BB541" s="1"/>
      <c r="BC541" s="1"/>
      <c r="BD541" s="1"/>
      <c r="BE541" s="1"/>
      <c r="BF541" s="1"/>
      <c r="BJ541" s="1"/>
      <c r="BK541" s="1"/>
      <c r="BL541" s="1"/>
      <c r="BM541" s="1"/>
    </row>
    <row r="542" spans="1:65" x14ac:dyDescent="0.25">
      <c r="A542" s="1"/>
      <c r="B542" s="2"/>
      <c r="C542" s="2"/>
      <c r="D542" s="1"/>
      <c r="E542" s="1"/>
      <c r="L542" s="1"/>
      <c r="M542" s="1"/>
      <c r="N542" s="1"/>
      <c r="O542" s="1"/>
      <c r="P542" s="1"/>
      <c r="Q542" s="1"/>
      <c r="R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V542" s="1"/>
      <c r="AW542" s="1"/>
      <c r="AY542" s="1"/>
      <c r="AZ542" s="1"/>
      <c r="BB542" s="1"/>
      <c r="BC542" s="1"/>
      <c r="BD542" s="1"/>
      <c r="BE542" s="1"/>
      <c r="BF542" s="1"/>
      <c r="BJ542" s="1"/>
      <c r="BK542" s="1"/>
      <c r="BL542" s="1"/>
      <c r="BM542" s="1"/>
    </row>
    <row r="543" spans="1:65" x14ac:dyDescent="0.25">
      <c r="A543" s="1"/>
      <c r="B543" s="2"/>
      <c r="C543" s="2"/>
      <c r="D543" s="1"/>
      <c r="E543" s="1"/>
      <c r="L543" s="1"/>
      <c r="M543" s="1"/>
      <c r="N543" s="1"/>
      <c r="O543" s="1"/>
      <c r="P543" s="1"/>
      <c r="Q543" s="1"/>
      <c r="R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V543" s="1"/>
      <c r="AW543" s="1"/>
      <c r="AY543" s="1"/>
      <c r="AZ543" s="1"/>
      <c r="BB543" s="1"/>
      <c r="BC543" s="1"/>
      <c r="BD543" s="1"/>
      <c r="BE543" s="1"/>
      <c r="BF543" s="1"/>
      <c r="BJ543" s="1"/>
      <c r="BK543" s="1"/>
      <c r="BL543" s="1"/>
      <c r="BM543" s="1"/>
    </row>
    <row r="544" spans="1:65" x14ac:dyDescent="0.25">
      <c r="A544" s="1"/>
      <c r="B544" s="2"/>
      <c r="C544" s="2"/>
      <c r="D544" s="1"/>
      <c r="E544" s="1"/>
      <c r="L544" s="1"/>
      <c r="M544" s="1"/>
      <c r="N544" s="1"/>
      <c r="O544" s="1"/>
      <c r="P544" s="1"/>
      <c r="Q544" s="1"/>
      <c r="R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V544" s="1"/>
      <c r="AW544" s="1"/>
      <c r="AY544" s="1"/>
      <c r="AZ544" s="1"/>
      <c r="BB544" s="1"/>
      <c r="BC544" s="1"/>
      <c r="BD544" s="1"/>
      <c r="BE544" s="1"/>
      <c r="BF544" s="1"/>
      <c r="BJ544" s="1"/>
      <c r="BK544" s="1"/>
      <c r="BL544" s="1"/>
      <c r="BM544" s="1"/>
    </row>
    <row r="545" spans="1:65" x14ac:dyDescent="0.25">
      <c r="A545" s="1"/>
      <c r="B545" s="2"/>
      <c r="C545" s="2"/>
      <c r="D545" s="1"/>
      <c r="E545" s="1"/>
      <c r="L545" s="1"/>
      <c r="M545" s="1"/>
      <c r="N545" s="1"/>
      <c r="O545" s="1"/>
      <c r="P545" s="1"/>
      <c r="Q545" s="1"/>
      <c r="R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V545" s="1"/>
      <c r="AW545" s="1"/>
      <c r="AY545" s="1"/>
      <c r="AZ545" s="1"/>
      <c r="BB545" s="1"/>
      <c r="BC545" s="1"/>
      <c r="BD545" s="1"/>
      <c r="BE545" s="1"/>
      <c r="BF545" s="1"/>
      <c r="BJ545" s="1"/>
      <c r="BK545" s="1"/>
      <c r="BL545" s="1"/>
      <c r="BM545" s="1"/>
    </row>
    <row r="546" spans="1:65" x14ac:dyDescent="0.25">
      <c r="A546" s="1"/>
      <c r="B546" s="2"/>
      <c r="C546" s="2"/>
      <c r="D546" s="1"/>
      <c r="E546" s="1"/>
      <c r="L546" s="1"/>
      <c r="M546" s="1"/>
      <c r="N546" s="1"/>
      <c r="O546" s="1"/>
      <c r="P546" s="1"/>
      <c r="Q546" s="1"/>
      <c r="R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V546" s="1"/>
      <c r="AW546" s="1"/>
      <c r="AY546" s="1"/>
      <c r="AZ546" s="1"/>
      <c r="BB546" s="1"/>
      <c r="BC546" s="1"/>
      <c r="BD546" s="1"/>
      <c r="BE546" s="1"/>
      <c r="BF546" s="1"/>
      <c r="BJ546" s="1"/>
      <c r="BK546" s="1"/>
      <c r="BL546" s="1"/>
      <c r="BM546" s="1"/>
    </row>
    <row r="547" spans="1:65" x14ac:dyDescent="0.25">
      <c r="A547" s="1"/>
      <c r="B547" s="2"/>
      <c r="C547" s="2"/>
      <c r="D547" s="1"/>
      <c r="E547" s="1"/>
      <c r="L547" s="1"/>
      <c r="M547" s="1"/>
      <c r="N547" s="1"/>
      <c r="O547" s="1"/>
      <c r="P547" s="1"/>
      <c r="Q547" s="1"/>
      <c r="R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V547" s="1"/>
      <c r="AW547" s="1"/>
      <c r="AY547" s="1"/>
      <c r="AZ547" s="1"/>
      <c r="BB547" s="1"/>
      <c r="BC547" s="1"/>
      <c r="BD547" s="1"/>
      <c r="BE547" s="1"/>
      <c r="BF547" s="1"/>
      <c r="BJ547" s="1"/>
      <c r="BK547" s="1"/>
      <c r="BL547" s="1"/>
      <c r="BM547" s="1"/>
    </row>
    <row r="548" spans="1:65" x14ac:dyDescent="0.25">
      <c r="A548" s="1"/>
      <c r="B548" s="2"/>
      <c r="C548" s="2"/>
      <c r="D548" s="1"/>
      <c r="E548" s="1"/>
      <c r="L548" s="1"/>
      <c r="M548" s="1"/>
      <c r="N548" s="1"/>
      <c r="O548" s="1"/>
      <c r="P548" s="1"/>
      <c r="Q548" s="1"/>
      <c r="R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V548" s="1"/>
      <c r="AW548" s="1"/>
      <c r="AY548" s="1"/>
      <c r="AZ548" s="1"/>
      <c r="BB548" s="1"/>
      <c r="BC548" s="1"/>
      <c r="BD548" s="1"/>
      <c r="BE548" s="1"/>
      <c r="BF548" s="1"/>
      <c r="BJ548" s="1"/>
      <c r="BK548" s="1"/>
      <c r="BL548" s="1"/>
      <c r="BM548" s="1"/>
    </row>
    <row r="549" spans="1:65" x14ac:dyDescent="0.25">
      <c r="A549" s="1"/>
      <c r="B549" s="2"/>
      <c r="C549" s="2"/>
      <c r="D549" s="1"/>
      <c r="E549" s="1"/>
      <c r="L549" s="1"/>
      <c r="M549" s="1"/>
      <c r="N549" s="1"/>
      <c r="O549" s="1"/>
      <c r="P549" s="1"/>
      <c r="Q549" s="1"/>
      <c r="R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V549" s="1"/>
      <c r="AW549" s="1"/>
      <c r="AY549" s="1"/>
      <c r="AZ549" s="1"/>
      <c r="BB549" s="1"/>
      <c r="BC549" s="1"/>
      <c r="BD549" s="1"/>
      <c r="BE549" s="1"/>
      <c r="BF549" s="1"/>
      <c r="BJ549" s="1"/>
      <c r="BK549" s="1"/>
      <c r="BL549" s="1"/>
      <c r="BM549" s="1"/>
    </row>
    <row r="550" spans="1:65" x14ac:dyDescent="0.25">
      <c r="A550" s="1"/>
      <c r="B550" s="2"/>
      <c r="C550" s="2"/>
      <c r="D550" s="1"/>
      <c r="E550" s="1"/>
      <c r="L550" s="1"/>
      <c r="M550" s="1"/>
      <c r="N550" s="1"/>
      <c r="O550" s="1"/>
      <c r="P550" s="1"/>
      <c r="Q550" s="1"/>
      <c r="R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V550" s="1"/>
      <c r="AW550" s="1"/>
      <c r="AY550" s="1"/>
      <c r="AZ550" s="1"/>
      <c r="BB550" s="1"/>
      <c r="BC550" s="1"/>
      <c r="BD550" s="1"/>
      <c r="BE550" s="1"/>
      <c r="BF550" s="1"/>
      <c r="BJ550" s="1"/>
      <c r="BK550" s="1"/>
      <c r="BL550" s="1"/>
      <c r="BM550" s="1"/>
    </row>
    <row r="551" spans="1:65" x14ac:dyDescent="0.25">
      <c r="A551" s="1"/>
      <c r="B551" s="2"/>
      <c r="C551" s="2"/>
      <c r="D551" s="1"/>
      <c r="E551" s="1"/>
      <c r="L551" s="1"/>
      <c r="M551" s="1"/>
      <c r="N551" s="1"/>
      <c r="O551" s="1"/>
      <c r="P551" s="1"/>
      <c r="Q551" s="1"/>
      <c r="R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V551" s="1"/>
      <c r="AW551" s="1"/>
      <c r="AY551" s="1"/>
      <c r="AZ551" s="1"/>
      <c r="BB551" s="1"/>
      <c r="BC551" s="1"/>
      <c r="BD551" s="1"/>
      <c r="BE551" s="1"/>
      <c r="BF551" s="1"/>
      <c r="BJ551" s="1"/>
      <c r="BK551" s="1"/>
      <c r="BL551" s="1"/>
      <c r="BM551" s="1"/>
    </row>
    <row r="552" spans="1:65" x14ac:dyDescent="0.25">
      <c r="A552" s="1"/>
      <c r="B552" s="2"/>
      <c r="C552" s="2"/>
      <c r="D552" s="1"/>
      <c r="E552" s="1"/>
      <c r="L552" s="1"/>
      <c r="M552" s="1"/>
      <c r="N552" s="1"/>
      <c r="O552" s="1"/>
      <c r="P552" s="1"/>
      <c r="Q552" s="1"/>
      <c r="R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V552" s="1"/>
      <c r="AW552" s="1"/>
      <c r="AY552" s="1"/>
      <c r="AZ552" s="1"/>
      <c r="BB552" s="1"/>
      <c r="BC552" s="1"/>
      <c r="BD552" s="1"/>
      <c r="BE552" s="1"/>
      <c r="BF552" s="1"/>
      <c r="BJ552" s="1"/>
      <c r="BK552" s="1"/>
      <c r="BL552" s="1"/>
      <c r="BM552" s="1"/>
    </row>
    <row r="553" spans="1:65" x14ac:dyDescent="0.25">
      <c r="A553" s="1"/>
      <c r="B553" s="2"/>
      <c r="C553" s="2"/>
      <c r="D553" s="1"/>
      <c r="E553" s="1"/>
      <c r="L553" s="1"/>
      <c r="M553" s="1"/>
      <c r="N553" s="1"/>
      <c r="O553" s="1"/>
      <c r="P553" s="1"/>
      <c r="Q553" s="1"/>
      <c r="R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V553" s="1"/>
      <c r="AW553" s="1"/>
      <c r="AY553" s="1"/>
      <c r="AZ553" s="1"/>
      <c r="BB553" s="1"/>
      <c r="BC553" s="1"/>
      <c r="BD553" s="1"/>
      <c r="BE553" s="1"/>
      <c r="BF553" s="1"/>
      <c r="BJ553" s="1"/>
      <c r="BK553" s="1"/>
      <c r="BL553" s="1"/>
      <c r="BM553" s="1"/>
    </row>
    <row r="554" spans="1:65" x14ac:dyDescent="0.25">
      <c r="A554" s="1"/>
      <c r="B554" s="2"/>
      <c r="C554" s="2"/>
      <c r="D554" s="1"/>
      <c r="E554" s="1"/>
      <c r="L554" s="1"/>
      <c r="M554" s="1"/>
      <c r="N554" s="1"/>
      <c r="O554" s="1"/>
      <c r="P554" s="1"/>
      <c r="Q554" s="1"/>
      <c r="R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V554" s="1"/>
      <c r="AW554" s="1"/>
      <c r="AY554" s="1"/>
      <c r="AZ554" s="1"/>
      <c r="BB554" s="1"/>
      <c r="BC554" s="1"/>
      <c r="BD554" s="1"/>
      <c r="BE554" s="1"/>
      <c r="BF554" s="1"/>
      <c r="BJ554" s="1"/>
      <c r="BK554" s="1"/>
      <c r="BL554" s="1"/>
      <c r="BM554" s="1"/>
    </row>
    <row r="555" spans="1:65" x14ac:dyDescent="0.25">
      <c r="A555" s="1"/>
      <c r="B555" s="2"/>
      <c r="C555" s="2"/>
      <c r="D555" s="1"/>
      <c r="E555" s="1"/>
      <c r="L555" s="1"/>
      <c r="M555" s="1"/>
      <c r="N555" s="1"/>
      <c r="O555" s="1"/>
      <c r="P555" s="1"/>
      <c r="Q555" s="1"/>
      <c r="R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V555" s="1"/>
      <c r="AW555" s="1"/>
      <c r="AY555" s="1"/>
      <c r="AZ555" s="1"/>
      <c r="BB555" s="1"/>
      <c r="BC555" s="1"/>
      <c r="BD555" s="1"/>
      <c r="BE555" s="1"/>
      <c r="BF555" s="1"/>
      <c r="BJ555" s="1"/>
      <c r="BK555" s="1"/>
      <c r="BL555" s="1"/>
      <c r="BM555" s="1"/>
    </row>
    <row r="556" spans="1:65" x14ac:dyDescent="0.25">
      <c r="A556" s="1"/>
      <c r="B556" s="2"/>
      <c r="C556" s="2"/>
      <c r="D556" s="1"/>
      <c r="E556" s="1"/>
      <c r="L556" s="1"/>
      <c r="M556" s="1"/>
      <c r="N556" s="1"/>
      <c r="O556" s="1"/>
      <c r="P556" s="1"/>
      <c r="Q556" s="1"/>
      <c r="R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V556" s="1"/>
      <c r="AW556" s="1"/>
      <c r="AY556" s="1"/>
      <c r="AZ556" s="1"/>
      <c r="BB556" s="1"/>
      <c r="BC556" s="1"/>
      <c r="BD556" s="1"/>
      <c r="BE556" s="1"/>
      <c r="BF556" s="1"/>
      <c r="BJ556" s="1"/>
      <c r="BK556" s="1"/>
      <c r="BL556" s="1"/>
      <c r="BM556" s="1"/>
    </row>
    <row r="557" spans="1:65" x14ac:dyDescent="0.25">
      <c r="A557" s="1"/>
      <c r="B557" s="2"/>
      <c r="C557" s="2"/>
      <c r="D557" s="1"/>
      <c r="E557" s="1"/>
      <c r="L557" s="1"/>
      <c r="M557" s="1"/>
      <c r="N557" s="1"/>
      <c r="O557" s="1"/>
      <c r="P557" s="1"/>
      <c r="Q557" s="1"/>
      <c r="R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V557" s="1"/>
      <c r="AW557" s="1"/>
      <c r="AY557" s="1"/>
      <c r="AZ557" s="1"/>
      <c r="BB557" s="1"/>
      <c r="BC557" s="1"/>
      <c r="BD557" s="1"/>
      <c r="BE557" s="1"/>
      <c r="BF557" s="1"/>
      <c r="BJ557" s="1"/>
      <c r="BK557" s="1"/>
      <c r="BL557" s="1"/>
      <c r="BM557" s="1"/>
    </row>
    <row r="558" spans="1:65" x14ac:dyDescent="0.25">
      <c r="A558" s="1"/>
      <c r="B558" s="2"/>
      <c r="C558" s="2"/>
      <c r="D558" s="1"/>
      <c r="E558" s="1"/>
      <c r="L558" s="1"/>
      <c r="M558" s="1"/>
      <c r="N558" s="1"/>
      <c r="O558" s="1"/>
      <c r="P558" s="1"/>
      <c r="Q558" s="1"/>
      <c r="R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V558" s="1"/>
      <c r="AW558" s="1"/>
      <c r="AY558" s="1"/>
      <c r="AZ558" s="1"/>
      <c r="BB558" s="1"/>
      <c r="BC558" s="1"/>
      <c r="BD558" s="1"/>
      <c r="BE558" s="1"/>
      <c r="BF558" s="1"/>
      <c r="BJ558" s="1"/>
      <c r="BK558" s="1"/>
      <c r="BL558" s="1"/>
      <c r="BM558" s="1"/>
    </row>
    <row r="559" spans="1:65" x14ac:dyDescent="0.25">
      <c r="A559" s="1"/>
      <c r="B559" s="2"/>
      <c r="C559" s="2"/>
      <c r="D559" s="1"/>
      <c r="E559" s="1"/>
      <c r="L559" s="1"/>
      <c r="M559" s="1"/>
      <c r="N559" s="1"/>
      <c r="O559" s="1"/>
      <c r="P559" s="1"/>
      <c r="Q559" s="1"/>
      <c r="R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V559" s="1"/>
      <c r="AW559" s="1"/>
      <c r="AY559" s="1"/>
      <c r="AZ559" s="1"/>
      <c r="BB559" s="1"/>
      <c r="BC559" s="1"/>
      <c r="BD559" s="1"/>
      <c r="BE559" s="1"/>
      <c r="BF559" s="1"/>
      <c r="BJ559" s="1"/>
      <c r="BK559" s="1"/>
      <c r="BL559" s="1"/>
      <c r="BM559" s="1"/>
    </row>
    <row r="560" spans="1:65" x14ac:dyDescent="0.25">
      <c r="A560" s="1"/>
      <c r="B560" s="2"/>
      <c r="C560" s="2"/>
      <c r="D560" s="1"/>
      <c r="E560" s="1"/>
      <c r="L560" s="1"/>
      <c r="M560" s="1"/>
      <c r="N560" s="1"/>
      <c r="O560" s="1"/>
      <c r="P560" s="1"/>
      <c r="Q560" s="1"/>
      <c r="R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V560" s="1"/>
      <c r="AW560" s="1"/>
      <c r="AY560" s="1"/>
      <c r="AZ560" s="1"/>
      <c r="BB560" s="1"/>
      <c r="BC560" s="1"/>
      <c r="BD560" s="1"/>
      <c r="BE560" s="1"/>
      <c r="BF560" s="1"/>
      <c r="BJ560" s="1"/>
      <c r="BK560" s="1"/>
      <c r="BL560" s="1"/>
      <c r="BM560" s="1"/>
    </row>
    <row r="561" spans="1:65" x14ac:dyDescent="0.25">
      <c r="A561" s="1"/>
      <c r="B561" s="2"/>
      <c r="C561" s="2"/>
      <c r="D561" s="1"/>
      <c r="E561" s="1"/>
      <c r="L561" s="1"/>
      <c r="M561" s="1"/>
      <c r="N561" s="1"/>
      <c r="O561" s="1"/>
      <c r="P561" s="1"/>
      <c r="Q561" s="1"/>
      <c r="R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V561" s="1"/>
      <c r="AW561" s="1"/>
      <c r="AY561" s="1"/>
      <c r="AZ561" s="1"/>
      <c r="BB561" s="1"/>
      <c r="BC561" s="1"/>
      <c r="BD561" s="1"/>
      <c r="BE561" s="1"/>
      <c r="BF561" s="1"/>
      <c r="BJ561" s="1"/>
      <c r="BK561" s="1"/>
      <c r="BL561" s="1"/>
      <c r="BM561" s="1"/>
    </row>
    <row r="562" spans="1:65" x14ac:dyDescent="0.25">
      <c r="A562" s="1"/>
      <c r="B562" s="2"/>
      <c r="C562" s="2"/>
      <c r="D562" s="1"/>
      <c r="E562" s="1"/>
      <c r="L562" s="1"/>
      <c r="M562" s="1"/>
      <c r="N562" s="1"/>
      <c r="O562" s="1"/>
      <c r="P562" s="1"/>
      <c r="Q562" s="1"/>
      <c r="R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V562" s="1"/>
      <c r="AW562" s="1"/>
      <c r="AY562" s="1"/>
      <c r="AZ562" s="1"/>
      <c r="BB562" s="1"/>
      <c r="BC562" s="1"/>
      <c r="BD562" s="1"/>
      <c r="BE562" s="1"/>
      <c r="BF562" s="1"/>
      <c r="BJ562" s="1"/>
      <c r="BK562" s="1"/>
      <c r="BL562" s="1"/>
      <c r="BM562" s="1"/>
    </row>
    <row r="563" spans="1:65" x14ac:dyDescent="0.25">
      <c r="A563" s="1"/>
      <c r="B563" s="2"/>
      <c r="C563" s="2"/>
      <c r="D563" s="1"/>
      <c r="E563" s="1"/>
      <c r="L563" s="1"/>
      <c r="M563" s="1"/>
      <c r="N563" s="1"/>
      <c r="O563" s="1"/>
      <c r="P563" s="1"/>
      <c r="Q563" s="1"/>
      <c r="R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V563" s="1"/>
      <c r="AW563" s="1"/>
      <c r="AY563" s="1"/>
      <c r="AZ563" s="1"/>
      <c r="BB563" s="1"/>
      <c r="BC563" s="1"/>
      <c r="BD563" s="1"/>
      <c r="BE563" s="1"/>
      <c r="BF563" s="1"/>
      <c r="BJ563" s="1"/>
      <c r="BK563" s="1"/>
      <c r="BL563" s="1"/>
      <c r="BM563" s="1"/>
    </row>
    <row r="564" spans="1:65" x14ac:dyDescent="0.25">
      <c r="A564" s="1"/>
      <c r="B564" s="2"/>
      <c r="C564" s="2"/>
      <c r="D564" s="1"/>
      <c r="E564" s="1"/>
      <c r="L564" s="1"/>
      <c r="M564" s="1"/>
      <c r="N564" s="1"/>
      <c r="O564" s="1"/>
      <c r="P564" s="1"/>
      <c r="Q564" s="1"/>
      <c r="R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V564" s="1"/>
      <c r="AW564" s="1"/>
      <c r="AY564" s="1"/>
      <c r="AZ564" s="1"/>
      <c r="BB564" s="1"/>
      <c r="BC564" s="1"/>
      <c r="BD564" s="1"/>
      <c r="BE564" s="1"/>
      <c r="BF564" s="1"/>
      <c r="BJ564" s="1"/>
      <c r="BK564" s="1"/>
      <c r="BL564" s="1"/>
      <c r="BM564" s="1"/>
    </row>
    <row r="565" spans="1:65" x14ac:dyDescent="0.25">
      <c r="A565" s="1"/>
      <c r="B565" s="2"/>
      <c r="C565" s="2"/>
      <c r="D565" s="1"/>
      <c r="E565" s="1"/>
      <c r="L565" s="1"/>
      <c r="M565" s="1"/>
      <c r="N565" s="1"/>
      <c r="O565" s="1"/>
      <c r="P565" s="1"/>
      <c r="Q565" s="1"/>
      <c r="R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V565" s="1"/>
      <c r="AW565" s="1"/>
      <c r="AY565" s="1"/>
      <c r="AZ565" s="1"/>
      <c r="BB565" s="1"/>
      <c r="BC565" s="1"/>
      <c r="BD565" s="1"/>
      <c r="BE565" s="1"/>
      <c r="BF565" s="1"/>
      <c r="BJ565" s="1"/>
      <c r="BK565" s="1"/>
      <c r="BL565" s="1"/>
      <c r="BM565" s="1"/>
    </row>
    <row r="566" spans="1:65" x14ac:dyDescent="0.25">
      <c r="A566" s="1"/>
      <c r="B566" s="2"/>
      <c r="C566" s="2"/>
      <c r="D566" s="1"/>
      <c r="E566" s="1"/>
      <c r="L566" s="1"/>
      <c r="M566" s="1"/>
      <c r="N566" s="1"/>
      <c r="O566" s="1"/>
      <c r="P566" s="1"/>
      <c r="Q566" s="1"/>
      <c r="R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V566" s="1"/>
      <c r="AW566" s="1"/>
      <c r="AY566" s="1"/>
      <c r="AZ566" s="1"/>
      <c r="BB566" s="1"/>
      <c r="BC566" s="1"/>
      <c r="BD566" s="1"/>
      <c r="BE566" s="1"/>
      <c r="BF566" s="1"/>
      <c r="BJ566" s="1"/>
      <c r="BK566" s="1"/>
      <c r="BL566" s="1"/>
      <c r="BM566" s="1"/>
    </row>
    <row r="567" spans="1:65" x14ac:dyDescent="0.25">
      <c r="A567" s="1"/>
      <c r="B567" s="2"/>
      <c r="C567" s="2"/>
      <c r="D567" s="1"/>
      <c r="E567" s="1"/>
      <c r="L567" s="1"/>
      <c r="M567" s="1"/>
      <c r="N567" s="1"/>
      <c r="O567" s="1"/>
      <c r="P567" s="1"/>
      <c r="Q567" s="1"/>
      <c r="R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V567" s="1"/>
      <c r="AW567" s="1"/>
      <c r="AY567" s="1"/>
      <c r="AZ567" s="1"/>
      <c r="BB567" s="1"/>
      <c r="BC567" s="1"/>
      <c r="BD567" s="1"/>
      <c r="BE567" s="1"/>
      <c r="BF567" s="1"/>
      <c r="BJ567" s="1"/>
      <c r="BK567" s="1"/>
      <c r="BL567" s="1"/>
      <c r="BM567" s="1"/>
    </row>
    <row r="568" spans="1:65" x14ac:dyDescent="0.25">
      <c r="A568" s="1"/>
      <c r="B568" s="2"/>
      <c r="C568" s="2"/>
      <c r="D568" s="1"/>
      <c r="E568" s="1"/>
      <c r="L568" s="1"/>
      <c r="M568" s="1"/>
      <c r="N568" s="1"/>
      <c r="O568" s="1"/>
      <c r="P568" s="1"/>
      <c r="Q568" s="1"/>
      <c r="R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V568" s="1"/>
      <c r="AW568" s="1"/>
      <c r="AY568" s="1"/>
      <c r="AZ568" s="1"/>
      <c r="BB568" s="1"/>
      <c r="BC568" s="1"/>
      <c r="BD568" s="1"/>
      <c r="BE568" s="1"/>
      <c r="BF568" s="1"/>
      <c r="BJ568" s="1"/>
      <c r="BK568" s="1"/>
      <c r="BL568" s="1"/>
      <c r="BM568" s="1"/>
    </row>
    <row r="569" spans="1:65" x14ac:dyDescent="0.25">
      <c r="A569" s="1"/>
      <c r="B569" s="2"/>
      <c r="C569" s="2"/>
      <c r="D569" s="1"/>
      <c r="E569" s="1"/>
      <c r="L569" s="1"/>
      <c r="M569" s="1"/>
      <c r="N569" s="1"/>
      <c r="O569" s="1"/>
      <c r="P569" s="1"/>
      <c r="Q569" s="1"/>
      <c r="R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V569" s="1"/>
      <c r="AW569" s="1"/>
      <c r="AY569" s="1"/>
      <c r="AZ569" s="1"/>
      <c r="BB569" s="1"/>
      <c r="BC569" s="1"/>
      <c r="BD569" s="1"/>
      <c r="BE569" s="1"/>
      <c r="BF569" s="1"/>
      <c r="BJ569" s="1"/>
      <c r="BK569" s="1"/>
      <c r="BL569" s="1"/>
      <c r="BM569" s="1"/>
    </row>
    <row r="570" spans="1:65" x14ac:dyDescent="0.25">
      <c r="A570" s="1"/>
      <c r="B570" s="2"/>
      <c r="C570" s="2"/>
      <c r="D570" s="1"/>
      <c r="E570" s="1"/>
      <c r="L570" s="1"/>
      <c r="M570" s="1"/>
      <c r="N570" s="1"/>
      <c r="O570" s="1"/>
      <c r="P570" s="1"/>
      <c r="Q570" s="1"/>
      <c r="R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V570" s="1"/>
      <c r="AW570" s="1"/>
      <c r="AY570" s="1"/>
      <c r="AZ570" s="1"/>
      <c r="BB570" s="1"/>
      <c r="BC570" s="1"/>
      <c r="BD570" s="1"/>
      <c r="BE570" s="1"/>
      <c r="BF570" s="1"/>
      <c r="BJ570" s="1"/>
      <c r="BK570" s="1"/>
      <c r="BL570" s="1"/>
      <c r="BM570" s="1"/>
    </row>
    <row r="571" spans="1:65" x14ac:dyDescent="0.25">
      <c r="A571" s="1"/>
      <c r="B571" s="2"/>
      <c r="C571" s="2"/>
      <c r="D571" s="1"/>
      <c r="E571" s="1"/>
      <c r="L571" s="1"/>
      <c r="M571" s="1"/>
      <c r="N571" s="1"/>
      <c r="O571" s="1"/>
      <c r="P571" s="1"/>
      <c r="Q571" s="1"/>
      <c r="R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V571" s="1"/>
      <c r="AW571" s="1"/>
      <c r="AY571" s="1"/>
      <c r="AZ571" s="1"/>
      <c r="BB571" s="1"/>
      <c r="BC571" s="1"/>
      <c r="BD571" s="1"/>
      <c r="BE571" s="1"/>
      <c r="BF571" s="1"/>
      <c r="BJ571" s="1"/>
      <c r="BK571" s="1"/>
      <c r="BL571" s="1"/>
      <c r="BM571" s="1"/>
    </row>
    <row r="572" spans="1:65" x14ac:dyDescent="0.25">
      <c r="A572" s="1"/>
      <c r="B572" s="2"/>
      <c r="C572" s="2"/>
      <c r="D572" s="1"/>
      <c r="E572" s="1"/>
      <c r="L572" s="1"/>
      <c r="M572" s="1"/>
      <c r="N572" s="1"/>
      <c r="O572" s="1"/>
      <c r="P572" s="1"/>
      <c r="Q572" s="1"/>
      <c r="R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V572" s="1"/>
      <c r="AW572" s="1"/>
      <c r="AY572" s="1"/>
      <c r="AZ572" s="1"/>
      <c r="BB572" s="1"/>
      <c r="BC572" s="1"/>
      <c r="BD572" s="1"/>
      <c r="BE572" s="1"/>
      <c r="BF572" s="1"/>
      <c r="BJ572" s="1"/>
      <c r="BK572" s="1"/>
      <c r="BL572" s="1"/>
      <c r="BM572" s="1"/>
    </row>
    <row r="573" spans="1:65" x14ac:dyDescent="0.25">
      <c r="A573" s="1"/>
      <c r="B573" s="2"/>
      <c r="C573" s="2"/>
      <c r="D573" s="1"/>
      <c r="E573" s="1"/>
      <c r="L573" s="1"/>
      <c r="M573" s="1"/>
      <c r="N573" s="1"/>
      <c r="O573" s="1"/>
      <c r="P573" s="1"/>
      <c r="Q573" s="1"/>
      <c r="R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V573" s="1"/>
      <c r="AW573" s="1"/>
      <c r="AY573" s="1"/>
      <c r="AZ573" s="1"/>
      <c r="BB573" s="1"/>
      <c r="BC573" s="1"/>
      <c r="BD573" s="1"/>
      <c r="BE573" s="1"/>
      <c r="BF573" s="1"/>
      <c r="BJ573" s="1"/>
      <c r="BK573" s="1"/>
      <c r="BL573" s="1"/>
      <c r="BM573" s="1"/>
    </row>
    <row r="574" spans="1:65" x14ac:dyDescent="0.25">
      <c r="A574" s="1"/>
      <c r="B574" s="2"/>
      <c r="C574" s="2"/>
      <c r="D574" s="1"/>
      <c r="E574" s="1"/>
      <c r="L574" s="1"/>
      <c r="M574" s="1"/>
      <c r="N574" s="1"/>
      <c r="O574" s="1"/>
      <c r="P574" s="1"/>
      <c r="Q574" s="1"/>
      <c r="R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V574" s="1"/>
      <c r="AW574" s="1"/>
      <c r="AY574" s="1"/>
      <c r="AZ574" s="1"/>
      <c r="BB574" s="1"/>
      <c r="BC574" s="1"/>
      <c r="BD574" s="1"/>
      <c r="BE574" s="1"/>
      <c r="BF574" s="1"/>
      <c r="BJ574" s="1"/>
      <c r="BK574" s="1"/>
      <c r="BL574" s="1"/>
      <c r="BM574" s="1"/>
    </row>
    <row r="575" spans="1:65" x14ac:dyDescent="0.25">
      <c r="A575" s="1"/>
      <c r="B575" s="2"/>
      <c r="C575" s="2"/>
      <c r="D575" s="1"/>
      <c r="E575" s="1"/>
      <c r="L575" s="1"/>
      <c r="M575" s="1"/>
      <c r="N575" s="1"/>
      <c r="O575" s="1"/>
      <c r="P575" s="1"/>
      <c r="Q575" s="1"/>
      <c r="R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V575" s="1"/>
      <c r="AW575" s="1"/>
      <c r="AY575" s="1"/>
      <c r="AZ575" s="1"/>
      <c r="BB575" s="1"/>
      <c r="BC575" s="1"/>
      <c r="BD575" s="1"/>
      <c r="BE575" s="1"/>
      <c r="BF575" s="1"/>
      <c r="BJ575" s="1"/>
      <c r="BK575" s="1"/>
      <c r="BL575" s="1"/>
      <c r="BM575" s="1"/>
    </row>
    <row r="576" spans="1:65" x14ac:dyDescent="0.25">
      <c r="A576" s="1"/>
      <c r="B576" s="2"/>
      <c r="C576" s="2"/>
      <c r="D576" s="1"/>
      <c r="E576" s="1"/>
      <c r="L576" s="1"/>
      <c r="M576" s="1"/>
      <c r="N576" s="1"/>
      <c r="O576" s="1"/>
      <c r="P576" s="1"/>
      <c r="Q576" s="1"/>
      <c r="R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V576" s="1"/>
      <c r="AW576" s="1"/>
      <c r="AY576" s="1"/>
      <c r="AZ576" s="1"/>
      <c r="BB576" s="1"/>
      <c r="BC576" s="1"/>
      <c r="BD576" s="1"/>
      <c r="BE576" s="1"/>
      <c r="BF576" s="1"/>
      <c r="BJ576" s="1"/>
      <c r="BK576" s="1"/>
      <c r="BL576" s="1"/>
      <c r="BM576" s="1"/>
    </row>
    <row r="577" spans="1:65" x14ac:dyDescent="0.25">
      <c r="A577" s="1"/>
      <c r="B577" s="2"/>
      <c r="C577" s="2"/>
      <c r="D577" s="1"/>
      <c r="E577" s="1"/>
      <c r="L577" s="1"/>
      <c r="M577" s="1"/>
      <c r="N577" s="1"/>
      <c r="O577" s="1"/>
      <c r="P577" s="1"/>
      <c r="Q577" s="1"/>
      <c r="R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V577" s="1"/>
      <c r="AW577" s="1"/>
      <c r="AY577" s="1"/>
      <c r="AZ577" s="1"/>
      <c r="BB577" s="1"/>
      <c r="BC577" s="1"/>
      <c r="BD577" s="1"/>
      <c r="BE577" s="1"/>
      <c r="BF577" s="1"/>
      <c r="BJ577" s="1"/>
      <c r="BK577" s="1"/>
      <c r="BL577" s="1"/>
      <c r="BM577" s="1"/>
    </row>
    <row r="578" spans="1:65" x14ac:dyDescent="0.25">
      <c r="A578" s="1"/>
      <c r="B578" s="2"/>
      <c r="C578" s="2"/>
      <c r="D578" s="1"/>
      <c r="E578" s="1"/>
      <c r="L578" s="1"/>
      <c r="M578" s="1"/>
      <c r="N578" s="1"/>
      <c r="O578" s="1"/>
      <c r="P578" s="1"/>
      <c r="Q578" s="1"/>
      <c r="R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V578" s="1"/>
      <c r="AW578" s="1"/>
      <c r="AY578" s="1"/>
      <c r="AZ578" s="1"/>
      <c r="BB578" s="1"/>
      <c r="BC578" s="1"/>
      <c r="BD578" s="1"/>
      <c r="BE578" s="1"/>
      <c r="BF578" s="1"/>
      <c r="BJ578" s="1"/>
      <c r="BK578" s="1"/>
      <c r="BL578" s="1"/>
      <c r="BM578" s="1"/>
    </row>
    <row r="579" spans="1:65" x14ac:dyDescent="0.25">
      <c r="A579" s="1"/>
      <c r="B579" s="2"/>
      <c r="C579" s="2"/>
      <c r="D579" s="1"/>
      <c r="E579" s="1"/>
      <c r="L579" s="1"/>
      <c r="M579" s="1"/>
      <c r="N579" s="1"/>
      <c r="O579" s="1"/>
      <c r="P579" s="1"/>
      <c r="Q579" s="1"/>
      <c r="R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V579" s="1"/>
      <c r="AW579" s="1"/>
      <c r="AY579" s="1"/>
      <c r="AZ579" s="1"/>
      <c r="BB579" s="1"/>
      <c r="BC579" s="1"/>
      <c r="BD579" s="1"/>
      <c r="BE579" s="1"/>
      <c r="BF579" s="1"/>
      <c r="BJ579" s="1"/>
      <c r="BK579" s="1"/>
      <c r="BL579" s="1"/>
      <c r="BM579" s="1"/>
    </row>
    <row r="580" spans="1:65" x14ac:dyDescent="0.25">
      <c r="A580" s="1"/>
      <c r="B580" s="2"/>
      <c r="C580" s="2"/>
      <c r="D580" s="1"/>
      <c r="E580" s="1"/>
      <c r="L580" s="1"/>
      <c r="M580" s="1"/>
      <c r="N580" s="1"/>
      <c r="O580" s="1"/>
      <c r="P580" s="1"/>
      <c r="Q580" s="1"/>
      <c r="R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V580" s="1"/>
      <c r="AW580" s="1"/>
      <c r="AY580" s="1"/>
      <c r="AZ580" s="1"/>
      <c r="BB580" s="1"/>
      <c r="BC580" s="1"/>
      <c r="BD580" s="1"/>
      <c r="BE580" s="1"/>
      <c r="BF580" s="1"/>
      <c r="BJ580" s="1"/>
      <c r="BK580" s="1"/>
      <c r="BL580" s="1"/>
      <c r="BM580" s="1"/>
    </row>
    <row r="581" spans="1:65" x14ac:dyDescent="0.25">
      <c r="A581" s="1"/>
      <c r="B581" s="2"/>
      <c r="C581" s="2"/>
      <c r="D581" s="1"/>
      <c r="E581" s="1"/>
      <c r="L581" s="1"/>
      <c r="M581" s="1"/>
      <c r="N581" s="1"/>
      <c r="O581" s="1"/>
      <c r="P581" s="1"/>
      <c r="Q581" s="1"/>
      <c r="R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V581" s="1"/>
      <c r="AW581" s="1"/>
      <c r="AY581" s="1"/>
      <c r="AZ581" s="1"/>
      <c r="BB581" s="1"/>
      <c r="BC581" s="1"/>
      <c r="BD581" s="1"/>
      <c r="BE581" s="1"/>
      <c r="BF581" s="1"/>
      <c r="BJ581" s="1"/>
      <c r="BK581" s="1"/>
      <c r="BL581" s="1"/>
      <c r="BM581" s="1"/>
    </row>
    <row r="582" spans="1:65" x14ac:dyDescent="0.25">
      <c r="A582" s="1"/>
      <c r="B582" s="2"/>
      <c r="C582" s="2"/>
      <c r="D582" s="1"/>
      <c r="E582" s="1"/>
      <c r="L582" s="1"/>
      <c r="M582" s="1"/>
      <c r="N582" s="1"/>
      <c r="O582" s="1"/>
      <c r="P582" s="1"/>
      <c r="Q582" s="1"/>
      <c r="R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V582" s="1"/>
      <c r="AW582" s="1"/>
      <c r="AY582" s="1"/>
      <c r="AZ582" s="1"/>
      <c r="BB582" s="1"/>
      <c r="BC582" s="1"/>
      <c r="BD582" s="1"/>
      <c r="BE582" s="1"/>
      <c r="BF582" s="1"/>
      <c r="BJ582" s="1"/>
      <c r="BK582" s="1"/>
      <c r="BL582" s="1"/>
      <c r="BM582" s="1"/>
    </row>
    <row r="583" spans="1:65" x14ac:dyDescent="0.25">
      <c r="A583" s="1"/>
      <c r="B583" s="2"/>
      <c r="C583" s="2"/>
      <c r="D583" s="1"/>
      <c r="E583" s="1"/>
      <c r="L583" s="1"/>
      <c r="M583" s="1"/>
      <c r="N583" s="1"/>
      <c r="O583" s="1"/>
      <c r="P583" s="1"/>
      <c r="Q583" s="1"/>
      <c r="R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V583" s="1"/>
      <c r="AW583" s="1"/>
      <c r="AY583" s="1"/>
      <c r="AZ583" s="1"/>
      <c r="BB583" s="1"/>
      <c r="BC583" s="1"/>
      <c r="BD583" s="1"/>
      <c r="BE583" s="1"/>
      <c r="BF583" s="1"/>
      <c r="BJ583" s="1"/>
      <c r="BK583" s="1"/>
      <c r="BL583" s="1"/>
      <c r="BM583" s="1"/>
    </row>
    <row r="584" spans="1:65" x14ac:dyDescent="0.25">
      <c r="A584" s="1"/>
      <c r="B584" s="2"/>
      <c r="C584" s="2"/>
      <c r="D584" s="1"/>
      <c r="E584" s="1"/>
      <c r="L584" s="1"/>
      <c r="M584" s="1"/>
      <c r="N584" s="1"/>
      <c r="O584" s="1"/>
      <c r="P584" s="1"/>
      <c r="Q584" s="1"/>
      <c r="R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V584" s="1"/>
      <c r="AW584" s="1"/>
      <c r="AY584" s="1"/>
      <c r="AZ584" s="1"/>
      <c r="BB584" s="1"/>
      <c r="BC584" s="1"/>
      <c r="BD584" s="1"/>
      <c r="BE584" s="1"/>
      <c r="BF584" s="1"/>
      <c r="BJ584" s="1"/>
      <c r="BK584" s="1"/>
      <c r="BL584" s="1"/>
      <c r="BM584" s="1"/>
    </row>
    <row r="585" spans="1:65" x14ac:dyDescent="0.25">
      <c r="A585" s="1"/>
      <c r="B585" s="2"/>
      <c r="C585" s="2"/>
      <c r="D585" s="1"/>
      <c r="E585" s="1"/>
      <c r="L585" s="1"/>
      <c r="M585" s="1"/>
      <c r="N585" s="1"/>
      <c r="O585" s="1"/>
      <c r="P585" s="1"/>
      <c r="Q585" s="1"/>
      <c r="R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V585" s="1"/>
      <c r="AW585" s="1"/>
      <c r="AY585" s="1"/>
      <c r="AZ585" s="1"/>
      <c r="BB585" s="1"/>
      <c r="BC585" s="1"/>
      <c r="BD585" s="1"/>
      <c r="BE585" s="1"/>
      <c r="BF585" s="1"/>
      <c r="BJ585" s="1"/>
      <c r="BK585" s="1"/>
      <c r="BL585" s="1"/>
      <c r="BM585" s="1"/>
    </row>
    <row r="586" spans="1:65" x14ac:dyDescent="0.25">
      <c r="A586" s="1"/>
      <c r="B586" s="2"/>
      <c r="C586" s="2"/>
      <c r="D586" s="1"/>
      <c r="E586" s="1"/>
      <c r="L586" s="1"/>
      <c r="M586" s="1"/>
      <c r="N586" s="1"/>
      <c r="O586" s="1"/>
      <c r="P586" s="1"/>
      <c r="Q586" s="1"/>
      <c r="R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V586" s="1"/>
      <c r="AW586" s="1"/>
      <c r="AY586" s="1"/>
      <c r="AZ586" s="1"/>
      <c r="BB586" s="1"/>
      <c r="BC586" s="1"/>
      <c r="BD586" s="1"/>
      <c r="BE586" s="1"/>
      <c r="BF586" s="1"/>
      <c r="BJ586" s="1"/>
      <c r="BK586" s="1"/>
      <c r="BL586" s="1"/>
      <c r="BM586" s="1"/>
    </row>
    <row r="587" spans="1:65" x14ac:dyDescent="0.25">
      <c r="A587" s="1"/>
      <c r="B587" s="2"/>
      <c r="C587" s="2"/>
      <c r="D587" s="1"/>
      <c r="E587" s="1"/>
      <c r="L587" s="1"/>
      <c r="M587" s="1"/>
      <c r="N587" s="1"/>
      <c r="O587" s="1"/>
      <c r="P587" s="1"/>
      <c r="Q587" s="1"/>
      <c r="R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V587" s="1"/>
      <c r="AW587" s="1"/>
      <c r="AY587" s="1"/>
      <c r="AZ587" s="1"/>
      <c r="BB587" s="1"/>
      <c r="BC587" s="1"/>
      <c r="BD587" s="1"/>
      <c r="BE587" s="1"/>
      <c r="BF587" s="1"/>
      <c r="BJ587" s="1"/>
      <c r="BK587" s="1"/>
      <c r="BL587" s="1"/>
      <c r="BM587" s="1"/>
    </row>
    <row r="588" spans="1:65" x14ac:dyDescent="0.25">
      <c r="A588" s="1"/>
      <c r="B588" s="2"/>
      <c r="C588" s="2"/>
      <c r="D588" s="1"/>
      <c r="E588" s="1"/>
      <c r="L588" s="1"/>
      <c r="M588" s="1"/>
      <c r="N588" s="1"/>
      <c r="O588" s="1"/>
      <c r="P588" s="1"/>
      <c r="Q588" s="1"/>
      <c r="R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V588" s="1"/>
      <c r="AW588" s="1"/>
      <c r="AY588" s="1"/>
      <c r="AZ588" s="1"/>
      <c r="BB588" s="1"/>
      <c r="BC588" s="1"/>
      <c r="BD588" s="1"/>
      <c r="BE588" s="1"/>
      <c r="BF588" s="1"/>
      <c r="BJ588" s="1"/>
      <c r="BK588" s="1"/>
      <c r="BL588" s="1"/>
      <c r="BM588" s="1"/>
    </row>
    <row r="589" spans="1:65" x14ac:dyDescent="0.25">
      <c r="A589" s="1"/>
      <c r="B589" s="2"/>
      <c r="C589" s="2"/>
      <c r="D589" s="1"/>
      <c r="E589" s="1"/>
      <c r="L589" s="1"/>
      <c r="M589" s="1"/>
      <c r="N589" s="1"/>
      <c r="O589" s="1"/>
      <c r="P589" s="1"/>
      <c r="Q589" s="1"/>
      <c r="R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V589" s="1"/>
      <c r="AW589" s="1"/>
      <c r="AY589" s="1"/>
      <c r="AZ589" s="1"/>
      <c r="BB589" s="1"/>
      <c r="BC589" s="1"/>
      <c r="BD589" s="1"/>
      <c r="BE589" s="1"/>
      <c r="BF589" s="1"/>
      <c r="BJ589" s="1"/>
      <c r="BK589" s="1"/>
      <c r="BL589" s="1"/>
      <c r="BM589" s="1"/>
    </row>
    <row r="590" spans="1:65" x14ac:dyDescent="0.25">
      <c r="A590" s="1"/>
      <c r="B590" s="2"/>
      <c r="C590" s="2"/>
      <c r="D590" s="1"/>
      <c r="E590" s="1"/>
      <c r="L590" s="1"/>
      <c r="M590" s="1"/>
      <c r="N590" s="1"/>
      <c r="O590" s="1"/>
      <c r="P590" s="1"/>
      <c r="Q590" s="1"/>
      <c r="R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V590" s="1"/>
      <c r="AW590" s="1"/>
      <c r="AY590" s="1"/>
      <c r="AZ590" s="1"/>
      <c r="BB590" s="1"/>
      <c r="BC590" s="1"/>
      <c r="BD590" s="1"/>
      <c r="BE590" s="1"/>
      <c r="BF590" s="1"/>
      <c r="BJ590" s="1"/>
      <c r="BK590" s="1"/>
      <c r="BL590" s="1"/>
      <c r="BM590" s="1"/>
    </row>
    <row r="591" spans="1:65" x14ac:dyDescent="0.25">
      <c r="A591" s="1"/>
      <c r="B591" s="2"/>
      <c r="C591" s="2"/>
      <c r="D591" s="1"/>
      <c r="E591" s="1"/>
      <c r="L591" s="1"/>
      <c r="M591" s="1"/>
      <c r="N591" s="1"/>
      <c r="O591" s="1"/>
      <c r="P591" s="1"/>
      <c r="Q591" s="1"/>
      <c r="R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V591" s="1"/>
      <c r="AW591" s="1"/>
      <c r="AY591" s="1"/>
      <c r="AZ591" s="1"/>
      <c r="BB591" s="1"/>
      <c r="BC591" s="1"/>
      <c r="BD591" s="1"/>
      <c r="BE591" s="1"/>
      <c r="BF591" s="1"/>
      <c r="BJ591" s="1"/>
      <c r="BK591" s="1"/>
      <c r="BL591" s="1"/>
      <c r="BM591" s="1"/>
    </row>
    <row r="592" spans="1:65" x14ac:dyDescent="0.25">
      <c r="A592" s="1"/>
      <c r="B592" s="2"/>
      <c r="C592" s="2"/>
      <c r="D592" s="1"/>
      <c r="E592" s="1"/>
      <c r="L592" s="1"/>
      <c r="M592" s="1"/>
      <c r="N592" s="1"/>
      <c r="O592" s="1"/>
      <c r="P592" s="1"/>
      <c r="Q592" s="1"/>
      <c r="R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V592" s="1"/>
      <c r="AW592" s="1"/>
      <c r="AY592" s="1"/>
      <c r="AZ592" s="1"/>
      <c r="BB592" s="1"/>
      <c r="BC592" s="1"/>
      <c r="BD592" s="1"/>
      <c r="BE592" s="1"/>
      <c r="BF592" s="1"/>
      <c r="BJ592" s="1"/>
      <c r="BK592" s="1"/>
      <c r="BL592" s="1"/>
      <c r="BM592" s="1"/>
    </row>
    <row r="593" spans="1:65" x14ac:dyDescent="0.25">
      <c r="A593" s="1"/>
      <c r="B593" s="2"/>
      <c r="C593" s="2"/>
      <c r="D593" s="1"/>
      <c r="E593" s="1"/>
      <c r="L593" s="1"/>
      <c r="M593" s="1"/>
      <c r="N593" s="1"/>
      <c r="O593" s="1"/>
      <c r="P593" s="1"/>
      <c r="Q593" s="1"/>
      <c r="R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V593" s="1"/>
      <c r="AW593" s="1"/>
      <c r="AY593" s="1"/>
      <c r="AZ593" s="1"/>
      <c r="BB593" s="1"/>
      <c r="BC593" s="1"/>
      <c r="BD593" s="1"/>
      <c r="BE593" s="1"/>
      <c r="BF593" s="1"/>
      <c r="BJ593" s="1"/>
      <c r="BK593" s="1"/>
      <c r="BL593" s="1"/>
      <c r="BM593" s="1"/>
    </row>
    <row r="594" spans="1:65" x14ac:dyDescent="0.25">
      <c r="A594" s="1"/>
      <c r="B594" s="2"/>
      <c r="C594" s="2"/>
      <c r="D594" s="1"/>
      <c r="E594" s="1"/>
      <c r="L594" s="1"/>
      <c r="M594" s="1"/>
      <c r="N594" s="1"/>
      <c r="O594" s="1"/>
      <c r="P594" s="1"/>
      <c r="Q594" s="1"/>
      <c r="R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V594" s="1"/>
      <c r="AW594" s="1"/>
      <c r="AY594" s="1"/>
      <c r="AZ594" s="1"/>
      <c r="BB594" s="1"/>
      <c r="BC594" s="1"/>
      <c r="BD594" s="1"/>
      <c r="BE594" s="1"/>
      <c r="BF594" s="1"/>
      <c r="BJ594" s="1"/>
      <c r="BK594" s="1"/>
      <c r="BL594" s="1"/>
      <c r="BM594" s="1"/>
    </row>
    <row r="595" spans="1:65" x14ac:dyDescent="0.25">
      <c r="A595" s="1"/>
      <c r="B595" s="2"/>
      <c r="C595" s="2"/>
      <c r="D595" s="1"/>
      <c r="E595" s="1"/>
      <c r="L595" s="1"/>
      <c r="M595" s="1"/>
      <c r="N595" s="1"/>
      <c r="O595" s="1"/>
      <c r="P595" s="1"/>
      <c r="Q595" s="1"/>
      <c r="R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V595" s="1"/>
      <c r="AW595" s="1"/>
      <c r="AY595" s="1"/>
      <c r="AZ595" s="1"/>
      <c r="BB595" s="1"/>
      <c r="BC595" s="1"/>
      <c r="BD595" s="1"/>
      <c r="BE595" s="1"/>
      <c r="BF595" s="1"/>
      <c r="BJ595" s="1"/>
      <c r="BK595" s="1"/>
      <c r="BL595" s="1"/>
      <c r="BM595" s="1"/>
    </row>
    <row r="596" spans="1:65" x14ac:dyDescent="0.25">
      <c r="A596" s="1"/>
      <c r="B596" s="2"/>
      <c r="C596" s="2"/>
      <c r="D596" s="1"/>
      <c r="E596" s="1"/>
      <c r="L596" s="1"/>
      <c r="M596" s="1"/>
      <c r="N596" s="1"/>
      <c r="O596" s="1"/>
      <c r="P596" s="1"/>
      <c r="Q596" s="1"/>
      <c r="R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V596" s="1"/>
      <c r="AW596" s="1"/>
      <c r="AY596" s="1"/>
      <c r="AZ596" s="1"/>
      <c r="BB596" s="1"/>
      <c r="BC596" s="1"/>
      <c r="BD596" s="1"/>
      <c r="BE596" s="1"/>
      <c r="BF596" s="1"/>
      <c r="BJ596" s="1"/>
      <c r="BK596" s="1"/>
      <c r="BL596" s="1"/>
      <c r="BM596" s="1"/>
    </row>
    <row r="597" spans="1:65" x14ac:dyDescent="0.25">
      <c r="A597" s="1"/>
      <c r="B597" s="2"/>
      <c r="C597" s="2"/>
      <c r="D597" s="1"/>
      <c r="E597" s="1"/>
      <c r="L597" s="1"/>
      <c r="M597" s="1"/>
      <c r="N597" s="1"/>
      <c r="O597" s="1"/>
      <c r="P597" s="1"/>
      <c r="Q597" s="1"/>
      <c r="R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V597" s="1"/>
      <c r="AW597" s="1"/>
      <c r="AY597" s="1"/>
      <c r="AZ597" s="1"/>
      <c r="BB597" s="1"/>
      <c r="BC597" s="1"/>
      <c r="BD597" s="1"/>
      <c r="BE597" s="1"/>
      <c r="BF597" s="1"/>
      <c r="BJ597" s="1"/>
      <c r="BK597" s="1"/>
      <c r="BL597" s="1"/>
      <c r="BM597" s="1"/>
    </row>
    <row r="598" spans="1:65" x14ac:dyDescent="0.25">
      <c r="A598" s="1"/>
      <c r="B598" s="2"/>
      <c r="C598" s="2"/>
      <c r="D598" s="1"/>
      <c r="E598" s="1"/>
      <c r="L598" s="1"/>
      <c r="M598" s="1"/>
      <c r="N598" s="1"/>
      <c r="O598" s="1"/>
      <c r="P598" s="1"/>
      <c r="Q598" s="1"/>
      <c r="R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V598" s="1"/>
      <c r="AW598" s="1"/>
      <c r="AY598" s="1"/>
      <c r="AZ598" s="1"/>
      <c r="BB598" s="1"/>
      <c r="BC598" s="1"/>
      <c r="BD598" s="1"/>
      <c r="BE598" s="1"/>
      <c r="BF598" s="1"/>
      <c r="BJ598" s="1"/>
      <c r="BK598" s="1"/>
      <c r="BL598" s="1"/>
      <c r="BM598" s="1"/>
    </row>
    <row r="599" spans="1:65" x14ac:dyDescent="0.25">
      <c r="A599" s="1"/>
      <c r="B599" s="2"/>
      <c r="C599" s="2"/>
      <c r="D599" s="1"/>
      <c r="E599" s="1"/>
      <c r="L599" s="1"/>
      <c r="M599" s="1"/>
      <c r="N599" s="1"/>
      <c r="O599" s="1"/>
      <c r="P599" s="1"/>
      <c r="Q599" s="1"/>
      <c r="R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V599" s="1"/>
      <c r="AW599" s="1"/>
      <c r="AY599" s="1"/>
      <c r="AZ599" s="1"/>
      <c r="BB599" s="1"/>
      <c r="BC599" s="1"/>
      <c r="BD599" s="1"/>
      <c r="BE599" s="1"/>
      <c r="BF599" s="1"/>
      <c r="BJ599" s="1"/>
      <c r="BK599" s="1"/>
      <c r="BL599" s="1"/>
      <c r="BM599" s="1"/>
    </row>
    <row r="600" spans="1:65" x14ac:dyDescent="0.25">
      <c r="A600" s="1"/>
      <c r="B600" s="2"/>
      <c r="C600" s="2"/>
      <c r="D600" s="1"/>
      <c r="E600" s="1"/>
      <c r="L600" s="1"/>
      <c r="M600" s="1"/>
      <c r="N600" s="1"/>
      <c r="O600" s="1"/>
      <c r="P600" s="1"/>
      <c r="Q600" s="1"/>
      <c r="R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V600" s="1"/>
      <c r="AW600" s="1"/>
      <c r="AY600" s="1"/>
      <c r="AZ600" s="1"/>
      <c r="BB600" s="1"/>
      <c r="BC600" s="1"/>
      <c r="BD600" s="1"/>
      <c r="BE600" s="1"/>
      <c r="BF600" s="1"/>
      <c r="BJ600" s="1"/>
      <c r="BK600" s="1"/>
      <c r="BL600" s="1"/>
      <c r="BM600" s="1"/>
    </row>
    <row r="601" spans="1:65" x14ac:dyDescent="0.25">
      <c r="A601" s="1"/>
      <c r="B601" s="2"/>
      <c r="C601" s="2"/>
      <c r="D601" s="1"/>
      <c r="E601" s="1"/>
      <c r="L601" s="1"/>
      <c r="M601" s="1"/>
      <c r="N601" s="1"/>
      <c r="O601" s="1"/>
      <c r="P601" s="1"/>
      <c r="Q601" s="1"/>
      <c r="R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V601" s="1"/>
      <c r="AW601" s="1"/>
      <c r="AY601" s="1"/>
      <c r="AZ601" s="1"/>
      <c r="BB601" s="1"/>
      <c r="BC601" s="1"/>
      <c r="BD601" s="1"/>
      <c r="BE601" s="1"/>
      <c r="BF601" s="1"/>
      <c r="BJ601" s="1"/>
      <c r="BK601" s="1"/>
      <c r="BL601" s="1"/>
      <c r="BM601" s="1"/>
    </row>
    <row r="602" spans="1:65" x14ac:dyDescent="0.25">
      <c r="A602" s="1"/>
      <c r="B602" s="2"/>
      <c r="C602" s="2"/>
      <c r="D602" s="1"/>
      <c r="E602" s="1"/>
      <c r="L602" s="1"/>
      <c r="M602" s="1"/>
      <c r="N602" s="1"/>
      <c r="O602" s="1"/>
      <c r="P602" s="1"/>
      <c r="Q602" s="1"/>
      <c r="R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V602" s="1"/>
      <c r="AW602" s="1"/>
      <c r="AY602" s="1"/>
      <c r="AZ602" s="1"/>
      <c r="BB602" s="1"/>
      <c r="BC602" s="1"/>
      <c r="BD602" s="1"/>
      <c r="BE602" s="1"/>
      <c r="BF602" s="1"/>
      <c r="BJ602" s="1"/>
      <c r="BK602" s="1"/>
      <c r="BL602" s="1"/>
      <c r="BM602" s="1"/>
    </row>
    <row r="603" spans="1:65" x14ac:dyDescent="0.25">
      <c r="A603" s="1"/>
      <c r="B603" s="2"/>
      <c r="C603" s="2"/>
      <c r="D603" s="1"/>
      <c r="E603" s="1"/>
      <c r="L603" s="1"/>
      <c r="M603" s="1"/>
      <c r="N603" s="1"/>
      <c r="O603" s="1"/>
      <c r="P603" s="1"/>
      <c r="Q603" s="1"/>
      <c r="R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V603" s="1"/>
      <c r="AW603" s="1"/>
      <c r="AY603" s="1"/>
      <c r="AZ603" s="1"/>
      <c r="BB603" s="1"/>
      <c r="BC603" s="1"/>
      <c r="BD603" s="1"/>
      <c r="BE603" s="1"/>
      <c r="BF603" s="1"/>
      <c r="BJ603" s="1"/>
      <c r="BK603" s="1"/>
      <c r="BL603" s="1"/>
      <c r="BM603" s="1"/>
    </row>
    <row r="604" spans="1:65" x14ac:dyDescent="0.25">
      <c r="A604" s="1"/>
      <c r="B604" s="2"/>
      <c r="C604" s="2"/>
      <c r="D604" s="1"/>
      <c r="E604" s="1"/>
      <c r="L604" s="1"/>
      <c r="M604" s="1"/>
      <c r="N604" s="1"/>
      <c r="O604" s="1"/>
      <c r="P604" s="1"/>
      <c r="Q604" s="1"/>
      <c r="R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V604" s="1"/>
      <c r="AW604" s="1"/>
      <c r="AY604" s="1"/>
      <c r="AZ604" s="1"/>
      <c r="BB604" s="1"/>
      <c r="BC604" s="1"/>
      <c r="BD604" s="1"/>
      <c r="BE604" s="1"/>
      <c r="BF604" s="1"/>
      <c r="BJ604" s="1"/>
      <c r="BK604" s="1"/>
      <c r="BL604" s="1"/>
      <c r="BM60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478"/>
  <sheetViews>
    <sheetView workbookViewId="0">
      <selection activeCell="B1" sqref="B1:L478"/>
    </sheetView>
  </sheetViews>
  <sheetFormatPr baseColWidth="10" defaultRowHeight="15" x14ac:dyDescent="0.25"/>
  <cols>
    <col min="2" max="12" width="18.7109375" customWidth="1"/>
    <col min="13" max="13" width="11.85546875" bestFit="1" customWidth="1"/>
  </cols>
  <sheetData>
    <row r="1" spans="1:12" ht="30" x14ac:dyDescent="0.25">
      <c r="B1" s="3" t="s">
        <v>2</v>
      </c>
      <c r="C1" s="3" t="s">
        <v>3</v>
      </c>
      <c r="D1" s="3" t="s">
        <v>4</v>
      </c>
      <c r="E1" s="3" t="s">
        <v>5</v>
      </c>
      <c r="F1" s="4" t="s">
        <v>6</v>
      </c>
      <c r="G1" s="4" t="s">
        <v>7</v>
      </c>
      <c r="H1" s="3" t="s">
        <v>8</v>
      </c>
      <c r="I1" s="4" t="s">
        <v>9</v>
      </c>
      <c r="J1" s="4" t="s">
        <v>10</v>
      </c>
      <c r="K1" s="4" t="s">
        <v>23</v>
      </c>
      <c r="L1" s="4" t="s">
        <v>24</v>
      </c>
    </row>
    <row r="2" spans="1:12" x14ac:dyDescent="0.25">
      <c r="A2">
        <v>2</v>
      </c>
      <c r="B2" t="e">
        <f>IF(D2="","","HIBRIDO")</f>
        <v>#N/A</v>
      </c>
      <c r="D2" t="e">
        <f>IF(INDEX(DATOS3!$1:$19397,A2,MATCH("PatientID",DATOS3!$1:$1,0))=0,"",INDEX(DATOS3!$1:$19397,A2,MATCH("PatientID",DATOS3!$1:$1,0)))</f>
        <v>#N/A</v>
      </c>
      <c r="F2" t="e">
        <f>IF(INDEX(DATOS3!$1:$19397,A2,MATCH("SeriesDate",DATOS3!$1:$1,0))=0,"",INDEX(DATOS3!$1:$19397,A2,MATCH("SeriesDate",DATOS3!$1:$1,0)))</f>
        <v>#N/A</v>
      </c>
      <c r="G2" t="e">
        <f>IF(INDEX(DATOS3!$1:$19397,A2,MATCH("SeriesTime",DATOS3!$1:$1,0))=0,"",INDEX(DATOS3!$1:$19397,A2,MATCH("SeriesTime",DATOS3!$1:$1,0)))</f>
        <v>#N/A</v>
      </c>
      <c r="H2" t="e">
        <f>IF(INDEX(DATOS3!$1:$19397,A2,MATCH("StudyDescription",DATOS3!$1:$1,0))=0,"",INDEX(DATOS3!$1:$19397,A2,MATCH("StudyDescription",DATOS3!$1:$1,0)))</f>
        <v>#N/A</v>
      </c>
      <c r="I2" t="e">
        <f>IF(INDEX(DATOS3!$1:$19397,A2,MATCH("Dose_Area_Product_Total",DATOS3!$1:$1,0))=0,0,INDEX(DATOS3!$1:$19397,A2,MATCH("Dose_Area_Product_Total",DATOS3!$1:$1,0)))</f>
        <v>#N/A</v>
      </c>
      <c r="J2" t="e">
        <f>IF(INDEX(DATOS3!$1:$19397,A2,MATCH("Dose_RP_Total",DATOS3!$1:$1,0))=0,0,INDEX(DATOS3!$1:$19397,A2,MATCH("Dose_RP_Total",DATOS3!$1:$1,0)))</f>
        <v>#N/A</v>
      </c>
      <c r="K2" t="e">
        <f>IF(INDEX(DATOS3!$1:$19397,A2,MATCH("Total_Fluoro_Time",DATOS3!$1:$1,0))=0,0,INDEX(DATOS3!$1:$19397,A2,MATCH("Total_Fluoro_Time",DATOS3!$1:$1,0)))</f>
        <v>#N/A</v>
      </c>
      <c r="L2" t="e">
        <f>IF(INDEX(DATOS3!$1:$19397,A2,MATCH("Total_Acquisition_Time",DATOS3!$1:$1,0))=0,0,INDEX(DATOS3!$1:$19397,A2,MATCH("Total_Acquisition_Time",DATOS3!$1:$1,0)))</f>
        <v>#N/A</v>
      </c>
    </row>
    <row r="3" spans="1:12" x14ac:dyDescent="0.25">
      <c r="A3">
        <v>3</v>
      </c>
      <c r="B3" t="e">
        <f t="shared" ref="B3:B66" si="0">IF(D3="","","HIBRIDO")</f>
        <v>#N/A</v>
      </c>
      <c r="D3" t="e">
        <f>IF(INDEX(DATOS3!$1:$19397,A3,MATCH("PatientID",DATOS3!$1:$1,0))=0,"",INDEX(DATOS3!$1:$19397,A3,MATCH("PatientID",DATOS3!$1:$1,0)))</f>
        <v>#N/A</v>
      </c>
      <c r="F3" t="e">
        <f>IF(INDEX(DATOS3!$1:$19397,A3,MATCH("SeriesDate",DATOS3!$1:$1,0))=0,"",INDEX(DATOS3!$1:$19397,A3,MATCH("SeriesDate",DATOS3!$1:$1,0)))</f>
        <v>#N/A</v>
      </c>
      <c r="G3" t="e">
        <f>IF(INDEX(DATOS3!$1:$19397,A3,MATCH("SeriesTime",DATOS3!$1:$1,0))=0,"",INDEX(DATOS3!$1:$19397,A3,MATCH("SeriesTime",DATOS3!$1:$1,0)))</f>
        <v>#N/A</v>
      </c>
      <c r="H3" t="e">
        <f>IF(INDEX(DATOS3!$1:$19397,A3,MATCH("StudyDescription",DATOS3!$1:$1,0))=0,"",INDEX(DATOS3!$1:$19397,A3,MATCH("StudyDescription",DATOS3!$1:$1,0)))</f>
        <v>#N/A</v>
      </c>
      <c r="I3" t="e">
        <f>IF(INDEX(DATOS3!$1:$19397,A3,MATCH("Dose_Area_Product_Total",DATOS3!$1:$1,0))=0,0,INDEX(DATOS3!$1:$19397,A3,MATCH("Dose_Area_Product_Total",DATOS3!$1:$1,0)))</f>
        <v>#N/A</v>
      </c>
      <c r="J3" t="e">
        <f>IF(INDEX(DATOS3!$1:$19397,A3,MATCH("Dose_RP_Total",DATOS3!$1:$1,0))=0,0,INDEX(DATOS3!$1:$19397,A3,MATCH("Dose_RP_Total",DATOS3!$1:$1,0)))</f>
        <v>#N/A</v>
      </c>
      <c r="K3" t="e">
        <f>IF(INDEX(DATOS3!$1:$19397,A3,MATCH("Total_Fluoro_Time",DATOS3!$1:$1,0))=0,0,INDEX(DATOS3!$1:$19397,A3,MATCH("Total_Fluoro_Time",DATOS3!$1:$1,0)))</f>
        <v>#N/A</v>
      </c>
      <c r="L3" t="e">
        <f>IF(INDEX(DATOS3!$1:$19397,A3,MATCH("Total_Acquisition_Time",DATOS3!$1:$1,0))=0,0,INDEX(DATOS3!$1:$19397,A3,MATCH("Total_Acquisition_Time",DATOS3!$1:$1,0)))</f>
        <v>#N/A</v>
      </c>
    </row>
    <row r="4" spans="1:12" x14ac:dyDescent="0.25">
      <c r="A4">
        <v>4</v>
      </c>
      <c r="B4" t="e">
        <f t="shared" si="0"/>
        <v>#N/A</v>
      </c>
      <c r="D4" t="e">
        <f>IF(INDEX(DATOS3!$1:$19397,A4,MATCH("PatientID",DATOS3!$1:$1,0))=0,"",INDEX(DATOS3!$1:$19397,A4,MATCH("PatientID",DATOS3!$1:$1,0)))</f>
        <v>#N/A</v>
      </c>
      <c r="F4" t="e">
        <f>IF(INDEX(DATOS3!$1:$19397,A4,MATCH("SeriesDate",DATOS3!$1:$1,0))=0,"",INDEX(DATOS3!$1:$19397,A4,MATCH("SeriesDate",DATOS3!$1:$1,0)))</f>
        <v>#N/A</v>
      </c>
      <c r="G4" t="e">
        <f>IF(INDEX(DATOS3!$1:$19397,A4,MATCH("SeriesTime",DATOS3!$1:$1,0))=0,"",INDEX(DATOS3!$1:$19397,A4,MATCH("SeriesTime",DATOS3!$1:$1,0)))</f>
        <v>#N/A</v>
      </c>
      <c r="H4" t="e">
        <f>IF(INDEX(DATOS3!$1:$19397,A4,MATCH("StudyDescription",DATOS3!$1:$1,0))=0,"",INDEX(DATOS3!$1:$19397,A4,MATCH("StudyDescription",DATOS3!$1:$1,0)))</f>
        <v>#N/A</v>
      </c>
      <c r="I4" t="e">
        <f>IF(INDEX(DATOS3!$1:$19397,A4,MATCH("Dose_Area_Product_Total",DATOS3!$1:$1,0))=0,0,INDEX(DATOS3!$1:$19397,A4,MATCH("Dose_Area_Product_Total",DATOS3!$1:$1,0)))</f>
        <v>#N/A</v>
      </c>
      <c r="J4" t="e">
        <f>IF(INDEX(DATOS3!$1:$19397,A4,MATCH("Dose_RP_Total",DATOS3!$1:$1,0))=0,0,INDEX(DATOS3!$1:$19397,A4,MATCH("Dose_RP_Total",DATOS3!$1:$1,0)))</f>
        <v>#N/A</v>
      </c>
      <c r="K4" t="e">
        <f>IF(INDEX(DATOS3!$1:$19397,A4,MATCH("Total_Fluoro_Time",DATOS3!$1:$1,0))=0,0,INDEX(DATOS3!$1:$19397,A4,MATCH("Total_Fluoro_Time",DATOS3!$1:$1,0)))</f>
        <v>#N/A</v>
      </c>
      <c r="L4" t="e">
        <f>IF(INDEX(DATOS3!$1:$19397,A4,MATCH("Total_Acquisition_Time",DATOS3!$1:$1,0))=0,0,INDEX(DATOS3!$1:$19397,A4,MATCH("Total_Acquisition_Time",DATOS3!$1:$1,0)))</f>
        <v>#N/A</v>
      </c>
    </row>
    <row r="5" spans="1:12" x14ac:dyDescent="0.25">
      <c r="A5">
        <v>5</v>
      </c>
      <c r="B5" t="e">
        <f t="shared" si="0"/>
        <v>#N/A</v>
      </c>
      <c r="D5" t="e">
        <f>IF(INDEX(DATOS3!$1:$19397,A5,MATCH("PatientID",DATOS3!$1:$1,0))=0,"",INDEX(DATOS3!$1:$19397,A5,MATCH("PatientID",DATOS3!$1:$1,0)))</f>
        <v>#N/A</v>
      </c>
      <c r="F5" t="e">
        <f>IF(INDEX(DATOS3!$1:$19397,A5,MATCH("SeriesDate",DATOS3!$1:$1,0))=0,"",INDEX(DATOS3!$1:$19397,A5,MATCH("SeriesDate",DATOS3!$1:$1,0)))</f>
        <v>#N/A</v>
      </c>
      <c r="G5" t="e">
        <f>IF(INDEX(DATOS3!$1:$19397,A5,MATCH("SeriesTime",DATOS3!$1:$1,0))=0,"",INDEX(DATOS3!$1:$19397,A5,MATCH("SeriesTime",DATOS3!$1:$1,0)))</f>
        <v>#N/A</v>
      </c>
      <c r="H5" t="e">
        <f>IF(INDEX(DATOS3!$1:$19397,A5,MATCH("StudyDescription",DATOS3!$1:$1,0))=0,"",INDEX(DATOS3!$1:$19397,A5,MATCH("StudyDescription",DATOS3!$1:$1,0)))</f>
        <v>#N/A</v>
      </c>
      <c r="I5" t="e">
        <f>IF(INDEX(DATOS3!$1:$19397,A5,MATCH("Dose_Area_Product_Total",DATOS3!$1:$1,0))=0,0,INDEX(DATOS3!$1:$19397,A5,MATCH("Dose_Area_Product_Total",DATOS3!$1:$1,0)))</f>
        <v>#N/A</v>
      </c>
      <c r="J5" t="e">
        <f>IF(INDEX(DATOS3!$1:$19397,A5,MATCH("Dose_RP_Total",DATOS3!$1:$1,0))=0,0,INDEX(DATOS3!$1:$19397,A5,MATCH("Dose_RP_Total",DATOS3!$1:$1,0)))</f>
        <v>#N/A</v>
      </c>
      <c r="K5" t="e">
        <f>IF(INDEX(DATOS3!$1:$19397,A5,MATCH("Total_Fluoro_Time",DATOS3!$1:$1,0))=0,0,INDEX(DATOS3!$1:$19397,A5,MATCH("Total_Fluoro_Time",DATOS3!$1:$1,0)))</f>
        <v>#N/A</v>
      </c>
      <c r="L5" t="e">
        <f>IF(INDEX(DATOS3!$1:$19397,A5,MATCH("Total_Acquisition_Time",DATOS3!$1:$1,0))=0,0,INDEX(DATOS3!$1:$19397,A5,MATCH("Total_Acquisition_Time",DATOS3!$1:$1,0)))</f>
        <v>#N/A</v>
      </c>
    </row>
    <row r="6" spans="1:12" x14ac:dyDescent="0.25">
      <c r="A6">
        <v>6</v>
      </c>
      <c r="B6" t="e">
        <f t="shared" si="0"/>
        <v>#N/A</v>
      </c>
      <c r="D6" t="e">
        <f>IF(INDEX(DATOS3!$1:$19397,A6,MATCH("PatientID",DATOS3!$1:$1,0))=0,"",INDEX(DATOS3!$1:$19397,A6,MATCH("PatientID",DATOS3!$1:$1,0)))</f>
        <v>#N/A</v>
      </c>
      <c r="F6" t="e">
        <f>IF(INDEX(DATOS3!$1:$19397,A6,MATCH("SeriesDate",DATOS3!$1:$1,0))=0,"",INDEX(DATOS3!$1:$19397,A6,MATCH("SeriesDate",DATOS3!$1:$1,0)))</f>
        <v>#N/A</v>
      </c>
      <c r="G6" t="e">
        <f>IF(INDEX(DATOS3!$1:$19397,A6,MATCH("SeriesTime",DATOS3!$1:$1,0))=0,"",INDEX(DATOS3!$1:$19397,A6,MATCH("SeriesTime",DATOS3!$1:$1,0)))</f>
        <v>#N/A</v>
      </c>
      <c r="H6" t="e">
        <f>IF(INDEX(DATOS3!$1:$19397,A6,MATCH("StudyDescription",DATOS3!$1:$1,0))=0,"",INDEX(DATOS3!$1:$19397,A6,MATCH("StudyDescription",DATOS3!$1:$1,0)))</f>
        <v>#N/A</v>
      </c>
      <c r="I6" t="e">
        <f>IF(INDEX(DATOS3!$1:$19397,A6,MATCH("Dose_Area_Product_Total",DATOS3!$1:$1,0))=0,0,INDEX(DATOS3!$1:$19397,A6,MATCH("Dose_Area_Product_Total",DATOS3!$1:$1,0)))</f>
        <v>#N/A</v>
      </c>
      <c r="J6" t="e">
        <f>IF(INDEX(DATOS3!$1:$19397,A6,MATCH("Dose_RP_Total",DATOS3!$1:$1,0))=0,0,INDEX(DATOS3!$1:$19397,A6,MATCH("Dose_RP_Total",DATOS3!$1:$1,0)))</f>
        <v>#N/A</v>
      </c>
      <c r="K6" t="e">
        <f>IF(INDEX(DATOS3!$1:$19397,A6,MATCH("Total_Fluoro_Time",DATOS3!$1:$1,0))=0,0,INDEX(DATOS3!$1:$19397,A6,MATCH("Total_Fluoro_Time",DATOS3!$1:$1,0)))</f>
        <v>#N/A</v>
      </c>
      <c r="L6" t="e">
        <f>IF(INDEX(DATOS3!$1:$19397,A6,MATCH("Total_Acquisition_Time",DATOS3!$1:$1,0))=0,0,INDEX(DATOS3!$1:$19397,A6,MATCH("Total_Acquisition_Time",DATOS3!$1:$1,0)))</f>
        <v>#N/A</v>
      </c>
    </row>
    <row r="7" spans="1:12" x14ac:dyDescent="0.25">
      <c r="A7">
        <v>7</v>
      </c>
      <c r="B7" t="e">
        <f t="shared" si="0"/>
        <v>#N/A</v>
      </c>
      <c r="D7" t="e">
        <f>IF(INDEX(DATOS3!$1:$19397,A7,MATCH("PatientID",DATOS3!$1:$1,0))=0,"",INDEX(DATOS3!$1:$19397,A7,MATCH("PatientID",DATOS3!$1:$1,0)))</f>
        <v>#N/A</v>
      </c>
      <c r="F7" t="e">
        <f>IF(INDEX(DATOS3!$1:$19397,A7,MATCH("SeriesDate",DATOS3!$1:$1,0))=0,"",INDEX(DATOS3!$1:$19397,A7,MATCH("SeriesDate",DATOS3!$1:$1,0)))</f>
        <v>#N/A</v>
      </c>
      <c r="G7" t="e">
        <f>IF(INDEX(DATOS3!$1:$19397,A7,MATCH("SeriesTime",DATOS3!$1:$1,0))=0,"",INDEX(DATOS3!$1:$19397,A7,MATCH("SeriesTime",DATOS3!$1:$1,0)))</f>
        <v>#N/A</v>
      </c>
      <c r="H7" t="e">
        <f>IF(INDEX(DATOS3!$1:$19397,A7,MATCH("StudyDescription",DATOS3!$1:$1,0))=0,"",INDEX(DATOS3!$1:$19397,A7,MATCH("StudyDescription",DATOS3!$1:$1,0)))</f>
        <v>#N/A</v>
      </c>
      <c r="I7" t="e">
        <f>IF(INDEX(DATOS3!$1:$19397,A7,MATCH("Dose_Area_Product_Total",DATOS3!$1:$1,0))=0,0,INDEX(DATOS3!$1:$19397,A7,MATCH("Dose_Area_Product_Total",DATOS3!$1:$1,0)))</f>
        <v>#N/A</v>
      </c>
      <c r="J7" t="e">
        <f>IF(INDEX(DATOS3!$1:$19397,A7,MATCH("Dose_RP_Total",DATOS3!$1:$1,0))=0,0,INDEX(DATOS3!$1:$19397,A7,MATCH("Dose_RP_Total",DATOS3!$1:$1,0)))</f>
        <v>#N/A</v>
      </c>
      <c r="K7" t="e">
        <f>IF(INDEX(DATOS3!$1:$19397,A7,MATCH("Total_Fluoro_Time",DATOS3!$1:$1,0))=0,0,INDEX(DATOS3!$1:$19397,A7,MATCH("Total_Fluoro_Time",DATOS3!$1:$1,0)))</f>
        <v>#N/A</v>
      </c>
      <c r="L7" t="e">
        <f>IF(INDEX(DATOS3!$1:$19397,A7,MATCH("Total_Acquisition_Time",DATOS3!$1:$1,0))=0,0,INDEX(DATOS3!$1:$19397,A7,MATCH("Total_Acquisition_Time",DATOS3!$1:$1,0)))</f>
        <v>#N/A</v>
      </c>
    </row>
    <row r="8" spans="1:12" x14ac:dyDescent="0.25">
      <c r="A8">
        <v>8</v>
      </c>
      <c r="B8" t="e">
        <f t="shared" si="0"/>
        <v>#N/A</v>
      </c>
      <c r="D8" t="e">
        <f>IF(INDEX(DATOS3!$1:$19397,A8,MATCH("PatientID",DATOS3!$1:$1,0))=0,"",INDEX(DATOS3!$1:$19397,A8,MATCH("PatientID",DATOS3!$1:$1,0)))</f>
        <v>#N/A</v>
      </c>
      <c r="F8" t="e">
        <f>IF(INDEX(DATOS3!$1:$19397,A8,MATCH("SeriesDate",DATOS3!$1:$1,0))=0,"",INDEX(DATOS3!$1:$19397,A8,MATCH("SeriesDate",DATOS3!$1:$1,0)))</f>
        <v>#N/A</v>
      </c>
      <c r="G8" t="e">
        <f>IF(INDEX(DATOS3!$1:$19397,A8,MATCH("SeriesTime",DATOS3!$1:$1,0))=0,"",INDEX(DATOS3!$1:$19397,A8,MATCH("SeriesTime",DATOS3!$1:$1,0)))</f>
        <v>#N/A</v>
      </c>
      <c r="H8" t="e">
        <f>IF(INDEX(DATOS3!$1:$19397,A8,MATCH("StudyDescription",DATOS3!$1:$1,0))=0,"",INDEX(DATOS3!$1:$19397,A8,MATCH("StudyDescription",DATOS3!$1:$1,0)))</f>
        <v>#N/A</v>
      </c>
      <c r="I8" t="e">
        <f>IF(INDEX(DATOS3!$1:$19397,A8,MATCH("Dose_Area_Product_Total",DATOS3!$1:$1,0))=0,0,INDEX(DATOS3!$1:$19397,A8,MATCH("Dose_Area_Product_Total",DATOS3!$1:$1,0)))</f>
        <v>#N/A</v>
      </c>
      <c r="J8" t="e">
        <f>IF(INDEX(DATOS3!$1:$19397,A8,MATCH("Dose_RP_Total",DATOS3!$1:$1,0))=0,0,INDEX(DATOS3!$1:$19397,A8,MATCH("Dose_RP_Total",DATOS3!$1:$1,0)))</f>
        <v>#N/A</v>
      </c>
      <c r="K8" t="e">
        <f>IF(INDEX(DATOS3!$1:$19397,A8,MATCH("Total_Fluoro_Time",DATOS3!$1:$1,0))=0,0,INDEX(DATOS3!$1:$19397,A8,MATCH("Total_Fluoro_Time",DATOS3!$1:$1,0)))</f>
        <v>#N/A</v>
      </c>
      <c r="L8" t="e">
        <f>IF(INDEX(DATOS3!$1:$19397,A8,MATCH("Total_Acquisition_Time",DATOS3!$1:$1,0))=0,0,INDEX(DATOS3!$1:$19397,A8,MATCH("Total_Acquisition_Time",DATOS3!$1:$1,0)))</f>
        <v>#N/A</v>
      </c>
    </row>
    <row r="9" spans="1:12" x14ac:dyDescent="0.25">
      <c r="A9">
        <v>9</v>
      </c>
      <c r="B9" t="e">
        <f t="shared" si="0"/>
        <v>#N/A</v>
      </c>
      <c r="D9" t="e">
        <f>IF(INDEX(DATOS3!$1:$19397,A9,MATCH("PatientID",DATOS3!$1:$1,0))=0,"",INDEX(DATOS3!$1:$19397,A9,MATCH("PatientID",DATOS3!$1:$1,0)))</f>
        <v>#N/A</v>
      </c>
      <c r="F9" t="e">
        <f>IF(INDEX(DATOS3!$1:$19397,A9,MATCH("SeriesDate",DATOS3!$1:$1,0))=0,"",INDEX(DATOS3!$1:$19397,A9,MATCH("SeriesDate",DATOS3!$1:$1,0)))</f>
        <v>#N/A</v>
      </c>
      <c r="G9" t="e">
        <f>IF(INDEX(DATOS3!$1:$19397,A9,MATCH("SeriesTime",DATOS3!$1:$1,0))=0,"",INDEX(DATOS3!$1:$19397,A9,MATCH("SeriesTime",DATOS3!$1:$1,0)))</f>
        <v>#N/A</v>
      </c>
      <c r="H9" t="e">
        <f>IF(INDEX(DATOS3!$1:$19397,A9,MATCH("StudyDescription",DATOS3!$1:$1,0))=0,"",INDEX(DATOS3!$1:$19397,A9,MATCH("StudyDescription",DATOS3!$1:$1,0)))</f>
        <v>#N/A</v>
      </c>
      <c r="I9" t="e">
        <f>IF(INDEX(DATOS3!$1:$19397,A9,MATCH("Dose_Area_Product_Total",DATOS3!$1:$1,0))=0,0,INDEX(DATOS3!$1:$19397,A9,MATCH("Dose_Area_Product_Total",DATOS3!$1:$1,0)))</f>
        <v>#N/A</v>
      </c>
      <c r="J9" t="e">
        <f>IF(INDEX(DATOS3!$1:$19397,A9,MATCH("Dose_RP_Total",DATOS3!$1:$1,0))=0,0,INDEX(DATOS3!$1:$19397,A9,MATCH("Dose_RP_Total",DATOS3!$1:$1,0)))</f>
        <v>#N/A</v>
      </c>
      <c r="K9" t="e">
        <f>IF(INDEX(DATOS3!$1:$19397,A9,MATCH("Total_Fluoro_Time",DATOS3!$1:$1,0))=0,0,INDEX(DATOS3!$1:$19397,A9,MATCH("Total_Fluoro_Time",DATOS3!$1:$1,0)))</f>
        <v>#N/A</v>
      </c>
      <c r="L9" t="e">
        <f>IF(INDEX(DATOS3!$1:$19397,A9,MATCH("Total_Acquisition_Time",DATOS3!$1:$1,0))=0,0,INDEX(DATOS3!$1:$19397,A9,MATCH("Total_Acquisition_Time",DATOS3!$1:$1,0)))</f>
        <v>#N/A</v>
      </c>
    </row>
    <row r="10" spans="1:12" x14ac:dyDescent="0.25">
      <c r="A10">
        <v>10</v>
      </c>
      <c r="B10" t="e">
        <f t="shared" si="0"/>
        <v>#N/A</v>
      </c>
      <c r="D10" t="e">
        <f>IF(INDEX(DATOS3!$1:$19397,A10,MATCH("PatientID",DATOS3!$1:$1,0))=0,"",INDEX(DATOS3!$1:$19397,A10,MATCH("PatientID",DATOS3!$1:$1,0)))</f>
        <v>#N/A</v>
      </c>
      <c r="F10" t="e">
        <f>IF(INDEX(DATOS3!$1:$19397,A10,MATCH("SeriesDate",DATOS3!$1:$1,0))=0,"",INDEX(DATOS3!$1:$19397,A10,MATCH("SeriesDate",DATOS3!$1:$1,0)))</f>
        <v>#N/A</v>
      </c>
      <c r="G10" t="e">
        <f>IF(INDEX(DATOS3!$1:$19397,A10,MATCH("SeriesTime",DATOS3!$1:$1,0))=0,"",INDEX(DATOS3!$1:$19397,A10,MATCH("SeriesTime",DATOS3!$1:$1,0)))</f>
        <v>#N/A</v>
      </c>
      <c r="H10" t="e">
        <f>IF(INDEX(DATOS3!$1:$19397,A10,MATCH("StudyDescription",DATOS3!$1:$1,0))=0,"",INDEX(DATOS3!$1:$19397,A10,MATCH("StudyDescription",DATOS3!$1:$1,0)))</f>
        <v>#N/A</v>
      </c>
      <c r="I10" t="e">
        <f>IF(INDEX(DATOS3!$1:$19397,A10,MATCH("Dose_Area_Product_Total",DATOS3!$1:$1,0))=0,0,INDEX(DATOS3!$1:$19397,A10,MATCH("Dose_Area_Product_Total",DATOS3!$1:$1,0)))</f>
        <v>#N/A</v>
      </c>
      <c r="J10" t="e">
        <f>IF(INDEX(DATOS3!$1:$19397,A10,MATCH("Dose_RP_Total",DATOS3!$1:$1,0))=0,0,INDEX(DATOS3!$1:$19397,A10,MATCH("Dose_RP_Total",DATOS3!$1:$1,0)))</f>
        <v>#N/A</v>
      </c>
      <c r="K10" t="e">
        <f>IF(INDEX(DATOS3!$1:$19397,A10,MATCH("Total_Fluoro_Time",DATOS3!$1:$1,0))=0,0,INDEX(DATOS3!$1:$19397,A10,MATCH("Total_Fluoro_Time",DATOS3!$1:$1,0)))</f>
        <v>#N/A</v>
      </c>
      <c r="L10" t="e">
        <f>IF(INDEX(DATOS3!$1:$19397,A10,MATCH("Total_Acquisition_Time",DATOS3!$1:$1,0))=0,0,INDEX(DATOS3!$1:$19397,A10,MATCH("Total_Acquisition_Time",DATOS3!$1:$1,0)))</f>
        <v>#N/A</v>
      </c>
    </row>
    <row r="11" spans="1:12" x14ac:dyDescent="0.25">
      <c r="A11">
        <v>11</v>
      </c>
      <c r="B11" t="e">
        <f t="shared" si="0"/>
        <v>#N/A</v>
      </c>
      <c r="D11" t="e">
        <f>IF(INDEX(DATOS3!$1:$19397,A11,MATCH("PatientID",DATOS3!$1:$1,0))=0,"",INDEX(DATOS3!$1:$19397,A11,MATCH("PatientID",DATOS3!$1:$1,0)))</f>
        <v>#N/A</v>
      </c>
      <c r="F11" t="e">
        <f>IF(INDEX(DATOS3!$1:$19397,A11,MATCH("SeriesDate",DATOS3!$1:$1,0))=0,"",INDEX(DATOS3!$1:$19397,A11,MATCH("SeriesDate",DATOS3!$1:$1,0)))</f>
        <v>#N/A</v>
      </c>
      <c r="G11" t="e">
        <f>IF(INDEX(DATOS3!$1:$19397,A11,MATCH("SeriesTime",DATOS3!$1:$1,0))=0,"",INDEX(DATOS3!$1:$19397,A11,MATCH("SeriesTime",DATOS3!$1:$1,0)))</f>
        <v>#N/A</v>
      </c>
      <c r="H11" t="e">
        <f>IF(INDEX(DATOS3!$1:$19397,A11,MATCH("StudyDescription",DATOS3!$1:$1,0))=0,"",INDEX(DATOS3!$1:$19397,A11,MATCH("StudyDescription",DATOS3!$1:$1,0)))</f>
        <v>#N/A</v>
      </c>
      <c r="I11" t="e">
        <f>IF(INDEX(DATOS3!$1:$19397,A11,MATCH("Dose_Area_Product_Total",DATOS3!$1:$1,0))=0,0,INDEX(DATOS3!$1:$19397,A11,MATCH("Dose_Area_Product_Total",DATOS3!$1:$1,0)))</f>
        <v>#N/A</v>
      </c>
      <c r="J11" t="e">
        <f>IF(INDEX(DATOS3!$1:$19397,A11,MATCH("Dose_RP_Total",DATOS3!$1:$1,0))=0,0,INDEX(DATOS3!$1:$19397,A11,MATCH("Dose_RP_Total",DATOS3!$1:$1,0)))</f>
        <v>#N/A</v>
      </c>
      <c r="K11" t="e">
        <f>IF(INDEX(DATOS3!$1:$19397,A11,MATCH("Total_Fluoro_Time",DATOS3!$1:$1,0))=0,0,INDEX(DATOS3!$1:$19397,A11,MATCH("Total_Fluoro_Time",DATOS3!$1:$1,0)))</f>
        <v>#N/A</v>
      </c>
      <c r="L11" t="e">
        <f>IF(INDEX(DATOS3!$1:$19397,A11,MATCH("Total_Acquisition_Time",DATOS3!$1:$1,0))=0,0,INDEX(DATOS3!$1:$19397,A11,MATCH("Total_Acquisition_Time",DATOS3!$1:$1,0)))</f>
        <v>#N/A</v>
      </c>
    </row>
    <row r="12" spans="1:12" x14ac:dyDescent="0.25">
      <c r="A12">
        <v>12</v>
      </c>
      <c r="B12" t="e">
        <f t="shared" si="0"/>
        <v>#N/A</v>
      </c>
      <c r="D12" t="e">
        <f>IF(INDEX(DATOS3!$1:$19397,A12,MATCH("PatientID",DATOS3!$1:$1,0))=0,"",INDEX(DATOS3!$1:$19397,A12,MATCH("PatientID",DATOS3!$1:$1,0)))</f>
        <v>#N/A</v>
      </c>
      <c r="F12" t="e">
        <f>IF(INDEX(DATOS3!$1:$19397,A12,MATCH("SeriesDate",DATOS3!$1:$1,0))=0,"",INDEX(DATOS3!$1:$19397,A12,MATCH("SeriesDate",DATOS3!$1:$1,0)))</f>
        <v>#N/A</v>
      </c>
      <c r="G12" t="e">
        <f>IF(INDEX(DATOS3!$1:$19397,A12,MATCH("SeriesTime",DATOS3!$1:$1,0))=0,"",INDEX(DATOS3!$1:$19397,A12,MATCH("SeriesTime",DATOS3!$1:$1,0)))</f>
        <v>#N/A</v>
      </c>
      <c r="H12" t="e">
        <f>IF(INDEX(DATOS3!$1:$19397,A12,MATCH("StudyDescription",DATOS3!$1:$1,0))=0,"",INDEX(DATOS3!$1:$19397,A12,MATCH("StudyDescription",DATOS3!$1:$1,0)))</f>
        <v>#N/A</v>
      </c>
      <c r="I12" t="e">
        <f>IF(INDEX(DATOS3!$1:$19397,A12,MATCH("Dose_Area_Product_Total",DATOS3!$1:$1,0))=0,0,INDEX(DATOS3!$1:$19397,A12,MATCH("Dose_Area_Product_Total",DATOS3!$1:$1,0)))</f>
        <v>#N/A</v>
      </c>
      <c r="J12" t="e">
        <f>IF(INDEX(DATOS3!$1:$19397,A12,MATCH("Dose_RP_Total",DATOS3!$1:$1,0))=0,0,INDEX(DATOS3!$1:$19397,A12,MATCH("Dose_RP_Total",DATOS3!$1:$1,0)))</f>
        <v>#N/A</v>
      </c>
      <c r="K12" t="e">
        <f>IF(INDEX(DATOS3!$1:$19397,A12,MATCH("Total_Fluoro_Time",DATOS3!$1:$1,0))=0,0,INDEX(DATOS3!$1:$19397,A12,MATCH("Total_Fluoro_Time",DATOS3!$1:$1,0)))</f>
        <v>#N/A</v>
      </c>
      <c r="L12" t="e">
        <f>IF(INDEX(DATOS3!$1:$19397,A12,MATCH("Total_Acquisition_Time",DATOS3!$1:$1,0))=0,0,INDEX(DATOS3!$1:$19397,A12,MATCH("Total_Acquisition_Time",DATOS3!$1:$1,0)))</f>
        <v>#N/A</v>
      </c>
    </row>
    <row r="13" spans="1:12" x14ac:dyDescent="0.25">
      <c r="A13">
        <v>13</v>
      </c>
      <c r="B13" t="e">
        <f t="shared" si="0"/>
        <v>#N/A</v>
      </c>
      <c r="D13" t="e">
        <f>IF(INDEX(DATOS3!$1:$19397,A13,MATCH("PatientID",DATOS3!$1:$1,0))=0,"",INDEX(DATOS3!$1:$19397,A13,MATCH("PatientID",DATOS3!$1:$1,0)))</f>
        <v>#N/A</v>
      </c>
      <c r="F13" t="e">
        <f>IF(INDEX(DATOS3!$1:$19397,A13,MATCH("SeriesDate",DATOS3!$1:$1,0))=0,"",INDEX(DATOS3!$1:$19397,A13,MATCH("SeriesDate",DATOS3!$1:$1,0)))</f>
        <v>#N/A</v>
      </c>
      <c r="G13" t="e">
        <f>IF(INDEX(DATOS3!$1:$19397,A13,MATCH("SeriesTime",DATOS3!$1:$1,0))=0,"",INDEX(DATOS3!$1:$19397,A13,MATCH("SeriesTime",DATOS3!$1:$1,0)))</f>
        <v>#N/A</v>
      </c>
      <c r="H13" t="e">
        <f>IF(INDEX(DATOS3!$1:$19397,A13,MATCH("StudyDescription",DATOS3!$1:$1,0))=0,"",INDEX(DATOS3!$1:$19397,A13,MATCH("StudyDescription",DATOS3!$1:$1,0)))</f>
        <v>#N/A</v>
      </c>
      <c r="I13" t="e">
        <f>IF(INDEX(DATOS3!$1:$19397,A13,MATCH("Dose_Area_Product_Total",DATOS3!$1:$1,0))=0,0,INDEX(DATOS3!$1:$19397,A13,MATCH("Dose_Area_Product_Total",DATOS3!$1:$1,0)))</f>
        <v>#N/A</v>
      </c>
      <c r="J13" t="e">
        <f>IF(INDEX(DATOS3!$1:$19397,A13,MATCH("Dose_RP_Total",DATOS3!$1:$1,0))=0,0,INDEX(DATOS3!$1:$19397,A13,MATCH("Dose_RP_Total",DATOS3!$1:$1,0)))</f>
        <v>#N/A</v>
      </c>
      <c r="K13" t="e">
        <f>IF(INDEX(DATOS3!$1:$19397,A13,MATCH("Total_Fluoro_Time",DATOS3!$1:$1,0))=0,0,INDEX(DATOS3!$1:$19397,A13,MATCH("Total_Fluoro_Time",DATOS3!$1:$1,0)))</f>
        <v>#N/A</v>
      </c>
      <c r="L13" t="e">
        <f>IF(INDEX(DATOS3!$1:$19397,A13,MATCH("Total_Acquisition_Time",DATOS3!$1:$1,0))=0,0,INDEX(DATOS3!$1:$19397,A13,MATCH("Total_Acquisition_Time",DATOS3!$1:$1,0)))</f>
        <v>#N/A</v>
      </c>
    </row>
    <row r="14" spans="1:12" x14ac:dyDescent="0.25">
      <c r="A14">
        <v>14</v>
      </c>
      <c r="B14" t="e">
        <f t="shared" si="0"/>
        <v>#N/A</v>
      </c>
      <c r="D14" t="e">
        <f>IF(INDEX(DATOS3!$1:$19397,A14,MATCH("PatientID",DATOS3!$1:$1,0))=0,"",INDEX(DATOS3!$1:$19397,A14,MATCH("PatientID",DATOS3!$1:$1,0)))</f>
        <v>#N/A</v>
      </c>
      <c r="F14" t="e">
        <f>IF(INDEX(DATOS3!$1:$19397,A14,MATCH("SeriesDate",DATOS3!$1:$1,0))=0,"",INDEX(DATOS3!$1:$19397,A14,MATCH("SeriesDate",DATOS3!$1:$1,0)))</f>
        <v>#N/A</v>
      </c>
      <c r="G14" t="e">
        <f>IF(INDEX(DATOS3!$1:$19397,A14,MATCH("SeriesTime",DATOS3!$1:$1,0))=0,"",INDEX(DATOS3!$1:$19397,A14,MATCH("SeriesTime",DATOS3!$1:$1,0)))</f>
        <v>#N/A</v>
      </c>
      <c r="H14" t="e">
        <f>IF(INDEX(DATOS3!$1:$19397,A14,MATCH("StudyDescription",DATOS3!$1:$1,0))=0,"",INDEX(DATOS3!$1:$19397,A14,MATCH("StudyDescription",DATOS3!$1:$1,0)))</f>
        <v>#N/A</v>
      </c>
      <c r="I14" t="e">
        <f>IF(INDEX(DATOS3!$1:$19397,A14,MATCH("Dose_Area_Product_Total",DATOS3!$1:$1,0))=0,0,INDEX(DATOS3!$1:$19397,A14,MATCH("Dose_Area_Product_Total",DATOS3!$1:$1,0)))</f>
        <v>#N/A</v>
      </c>
      <c r="J14" t="e">
        <f>IF(INDEX(DATOS3!$1:$19397,A14,MATCH("Dose_RP_Total",DATOS3!$1:$1,0))=0,0,INDEX(DATOS3!$1:$19397,A14,MATCH("Dose_RP_Total",DATOS3!$1:$1,0)))</f>
        <v>#N/A</v>
      </c>
      <c r="K14" t="e">
        <f>IF(INDEX(DATOS3!$1:$19397,A14,MATCH("Total_Fluoro_Time",DATOS3!$1:$1,0))=0,0,INDEX(DATOS3!$1:$19397,A14,MATCH("Total_Fluoro_Time",DATOS3!$1:$1,0)))</f>
        <v>#N/A</v>
      </c>
      <c r="L14" t="e">
        <f>IF(INDEX(DATOS3!$1:$19397,A14,MATCH("Total_Acquisition_Time",DATOS3!$1:$1,0))=0,0,INDEX(DATOS3!$1:$19397,A14,MATCH("Total_Acquisition_Time",DATOS3!$1:$1,0)))</f>
        <v>#N/A</v>
      </c>
    </row>
    <row r="15" spans="1:12" x14ac:dyDescent="0.25">
      <c r="A15">
        <v>15</v>
      </c>
      <c r="B15" t="e">
        <f t="shared" si="0"/>
        <v>#N/A</v>
      </c>
      <c r="D15" t="e">
        <f>IF(INDEX(DATOS3!$1:$19397,A15,MATCH("PatientID",DATOS3!$1:$1,0))=0,"",INDEX(DATOS3!$1:$19397,A15,MATCH("PatientID",DATOS3!$1:$1,0)))</f>
        <v>#N/A</v>
      </c>
      <c r="F15" t="e">
        <f>IF(INDEX(DATOS3!$1:$19397,A15,MATCH("SeriesDate",DATOS3!$1:$1,0))=0,"",INDEX(DATOS3!$1:$19397,A15,MATCH("SeriesDate",DATOS3!$1:$1,0)))</f>
        <v>#N/A</v>
      </c>
      <c r="G15" t="e">
        <f>IF(INDEX(DATOS3!$1:$19397,A15,MATCH("SeriesTime",DATOS3!$1:$1,0))=0,"",INDEX(DATOS3!$1:$19397,A15,MATCH("SeriesTime",DATOS3!$1:$1,0)))</f>
        <v>#N/A</v>
      </c>
      <c r="H15" t="e">
        <f>IF(INDEX(DATOS3!$1:$19397,A15,MATCH("StudyDescription",DATOS3!$1:$1,0))=0,"",INDEX(DATOS3!$1:$19397,A15,MATCH("StudyDescription",DATOS3!$1:$1,0)))</f>
        <v>#N/A</v>
      </c>
      <c r="I15" t="e">
        <f>IF(INDEX(DATOS3!$1:$19397,A15,MATCH("Dose_Area_Product_Total",DATOS3!$1:$1,0))=0,0,INDEX(DATOS3!$1:$19397,A15,MATCH("Dose_Area_Product_Total",DATOS3!$1:$1,0)))</f>
        <v>#N/A</v>
      </c>
      <c r="J15" t="e">
        <f>IF(INDEX(DATOS3!$1:$19397,A15,MATCH("Dose_RP_Total",DATOS3!$1:$1,0))=0,0,INDEX(DATOS3!$1:$19397,A15,MATCH("Dose_RP_Total",DATOS3!$1:$1,0)))</f>
        <v>#N/A</v>
      </c>
      <c r="K15" t="e">
        <f>IF(INDEX(DATOS3!$1:$19397,A15,MATCH("Total_Fluoro_Time",DATOS3!$1:$1,0))=0,0,INDEX(DATOS3!$1:$19397,A15,MATCH("Total_Fluoro_Time",DATOS3!$1:$1,0)))</f>
        <v>#N/A</v>
      </c>
      <c r="L15" t="e">
        <f>IF(INDEX(DATOS3!$1:$19397,A15,MATCH("Total_Acquisition_Time",DATOS3!$1:$1,0))=0,0,INDEX(DATOS3!$1:$19397,A15,MATCH("Total_Acquisition_Time",DATOS3!$1:$1,0)))</f>
        <v>#N/A</v>
      </c>
    </row>
    <row r="16" spans="1:12" x14ac:dyDescent="0.25">
      <c r="A16">
        <v>16</v>
      </c>
      <c r="B16" t="e">
        <f t="shared" si="0"/>
        <v>#N/A</v>
      </c>
      <c r="D16" t="e">
        <f>IF(INDEX(DATOS3!$1:$19397,A16,MATCH("PatientID",DATOS3!$1:$1,0))=0,"",INDEX(DATOS3!$1:$19397,A16,MATCH("PatientID",DATOS3!$1:$1,0)))</f>
        <v>#N/A</v>
      </c>
      <c r="F16" t="e">
        <f>IF(INDEX(DATOS3!$1:$19397,A16,MATCH("SeriesDate",DATOS3!$1:$1,0))=0,"",INDEX(DATOS3!$1:$19397,A16,MATCH("SeriesDate",DATOS3!$1:$1,0)))</f>
        <v>#N/A</v>
      </c>
      <c r="G16" t="e">
        <f>IF(INDEX(DATOS3!$1:$19397,A16,MATCH("SeriesTime",DATOS3!$1:$1,0))=0,"",INDEX(DATOS3!$1:$19397,A16,MATCH("SeriesTime",DATOS3!$1:$1,0)))</f>
        <v>#N/A</v>
      </c>
      <c r="H16" t="e">
        <f>IF(INDEX(DATOS3!$1:$19397,A16,MATCH("StudyDescription",DATOS3!$1:$1,0))=0,"",INDEX(DATOS3!$1:$19397,A16,MATCH("StudyDescription",DATOS3!$1:$1,0)))</f>
        <v>#N/A</v>
      </c>
      <c r="I16" t="e">
        <f>IF(INDEX(DATOS3!$1:$19397,A16,MATCH("Dose_Area_Product_Total",DATOS3!$1:$1,0))=0,0,INDEX(DATOS3!$1:$19397,A16,MATCH("Dose_Area_Product_Total",DATOS3!$1:$1,0)))</f>
        <v>#N/A</v>
      </c>
      <c r="J16" t="e">
        <f>IF(INDEX(DATOS3!$1:$19397,A16,MATCH("Dose_RP_Total",DATOS3!$1:$1,0))=0,0,INDEX(DATOS3!$1:$19397,A16,MATCH("Dose_RP_Total",DATOS3!$1:$1,0)))</f>
        <v>#N/A</v>
      </c>
      <c r="K16" t="e">
        <f>IF(INDEX(DATOS3!$1:$19397,A16,MATCH("Total_Fluoro_Time",DATOS3!$1:$1,0))=0,0,INDEX(DATOS3!$1:$19397,A16,MATCH("Total_Fluoro_Time",DATOS3!$1:$1,0)))</f>
        <v>#N/A</v>
      </c>
      <c r="L16" t="e">
        <f>IF(INDEX(DATOS3!$1:$19397,A16,MATCH("Total_Acquisition_Time",DATOS3!$1:$1,0))=0,0,INDEX(DATOS3!$1:$19397,A16,MATCH("Total_Acquisition_Time",DATOS3!$1:$1,0)))</f>
        <v>#N/A</v>
      </c>
    </row>
    <row r="17" spans="1:12" x14ac:dyDescent="0.25">
      <c r="A17">
        <v>17</v>
      </c>
      <c r="B17" t="e">
        <f t="shared" si="0"/>
        <v>#N/A</v>
      </c>
      <c r="D17" t="e">
        <f>IF(INDEX(DATOS3!$1:$19397,A17,MATCH("PatientID",DATOS3!$1:$1,0))=0,"",INDEX(DATOS3!$1:$19397,A17,MATCH("PatientID",DATOS3!$1:$1,0)))</f>
        <v>#N/A</v>
      </c>
      <c r="F17" t="e">
        <f>IF(INDEX(DATOS3!$1:$19397,A17,MATCH("SeriesDate",DATOS3!$1:$1,0))=0,"",INDEX(DATOS3!$1:$19397,A17,MATCH("SeriesDate",DATOS3!$1:$1,0)))</f>
        <v>#N/A</v>
      </c>
      <c r="G17" t="e">
        <f>IF(INDEX(DATOS3!$1:$19397,A17,MATCH("SeriesTime",DATOS3!$1:$1,0))=0,"",INDEX(DATOS3!$1:$19397,A17,MATCH("SeriesTime",DATOS3!$1:$1,0)))</f>
        <v>#N/A</v>
      </c>
      <c r="H17" t="e">
        <f>IF(INDEX(DATOS3!$1:$19397,A17,MATCH("StudyDescription",DATOS3!$1:$1,0))=0,"",INDEX(DATOS3!$1:$19397,A17,MATCH("StudyDescription",DATOS3!$1:$1,0)))</f>
        <v>#N/A</v>
      </c>
      <c r="I17" t="e">
        <f>IF(INDEX(DATOS3!$1:$19397,A17,MATCH("Dose_Area_Product_Total",DATOS3!$1:$1,0))=0,0,INDEX(DATOS3!$1:$19397,A17,MATCH("Dose_Area_Product_Total",DATOS3!$1:$1,0)))</f>
        <v>#N/A</v>
      </c>
      <c r="J17" t="e">
        <f>IF(INDEX(DATOS3!$1:$19397,A17,MATCH("Dose_RP_Total",DATOS3!$1:$1,0))=0,0,INDEX(DATOS3!$1:$19397,A17,MATCH("Dose_RP_Total",DATOS3!$1:$1,0)))</f>
        <v>#N/A</v>
      </c>
      <c r="K17" t="e">
        <f>IF(INDEX(DATOS3!$1:$19397,A17,MATCH("Total_Fluoro_Time",DATOS3!$1:$1,0))=0,0,INDEX(DATOS3!$1:$19397,A17,MATCH("Total_Fluoro_Time",DATOS3!$1:$1,0)))</f>
        <v>#N/A</v>
      </c>
      <c r="L17" t="e">
        <f>IF(INDEX(DATOS3!$1:$19397,A17,MATCH("Total_Acquisition_Time",DATOS3!$1:$1,0))=0,0,INDEX(DATOS3!$1:$19397,A17,MATCH("Total_Acquisition_Time",DATOS3!$1:$1,0)))</f>
        <v>#N/A</v>
      </c>
    </row>
    <row r="18" spans="1:12" x14ac:dyDescent="0.25">
      <c r="A18">
        <v>18</v>
      </c>
      <c r="B18" t="e">
        <f t="shared" si="0"/>
        <v>#N/A</v>
      </c>
      <c r="D18" t="e">
        <f>IF(INDEX(DATOS3!$1:$19397,A18,MATCH("PatientID",DATOS3!$1:$1,0))=0,"",INDEX(DATOS3!$1:$19397,A18,MATCH("PatientID",DATOS3!$1:$1,0)))</f>
        <v>#N/A</v>
      </c>
      <c r="F18" t="e">
        <f>IF(INDEX(DATOS3!$1:$19397,A18,MATCH("SeriesDate",DATOS3!$1:$1,0))=0,"",INDEX(DATOS3!$1:$19397,A18,MATCH("SeriesDate",DATOS3!$1:$1,0)))</f>
        <v>#N/A</v>
      </c>
      <c r="G18" t="e">
        <f>IF(INDEX(DATOS3!$1:$19397,A18,MATCH("SeriesTime",DATOS3!$1:$1,0))=0,"",INDEX(DATOS3!$1:$19397,A18,MATCH("SeriesTime",DATOS3!$1:$1,0)))</f>
        <v>#N/A</v>
      </c>
      <c r="H18" t="e">
        <f>IF(INDEX(DATOS3!$1:$19397,A18,MATCH("StudyDescription",DATOS3!$1:$1,0))=0,"",INDEX(DATOS3!$1:$19397,A18,MATCH("StudyDescription",DATOS3!$1:$1,0)))</f>
        <v>#N/A</v>
      </c>
      <c r="I18" t="e">
        <f>IF(INDEX(DATOS3!$1:$19397,A18,MATCH("Dose_Area_Product_Total",DATOS3!$1:$1,0))=0,0,INDEX(DATOS3!$1:$19397,A18,MATCH("Dose_Area_Product_Total",DATOS3!$1:$1,0)))</f>
        <v>#N/A</v>
      </c>
      <c r="J18" t="e">
        <f>IF(INDEX(DATOS3!$1:$19397,A18,MATCH("Dose_RP_Total",DATOS3!$1:$1,0))=0,0,INDEX(DATOS3!$1:$19397,A18,MATCH("Dose_RP_Total",DATOS3!$1:$1,0)))</f>
        <v>#N/A</v>
      </c>
      <c r="K18" t="e">
        <f>IF(INDEX(DATOS3!$1:$19397,A18,MATCH("Total_Fluoro_Time",DATOS3!$1:$1,0))=0,0,INDEX(DATOS3!$1:$19397,A18,MATCH("Total_Fluoro_Time",DATOS3!$1:$1,0)))</f>
        <v>#N/A</v>
      </c>
      <c r="L18" t="e">
        <f>IF(INDEX(DATOS3!$1:$19397,A18,MATCH("Total_Acquisition_Time",DATOS3!$1:$1,0))=0,0,INDEX(DATOS3!$1:$19397,A18,MATCH("Total_Acquisition_Time",DATOS3!$1:$1,0)))</f>
        <v>#N/A</v>
      </c>
    </row>
    <row r="19" spans="1:12" x14ac:dyDescent="0.25">
      <c r="A19">
        <v>19</v>
      </c>
      <c r="B19" t="e">
        <f t="shared" si="0"/>
        <v>#N/A</v>
      </c>
      <c r="D19" t="e">
        <f>IF(INDEX(DATOS3!$1:$19397,A19,MATCH("PatientID",DATOS3!$1:$1,0))=0,"",INDEX(DATOS3!$1:$19397,A19,MATCH("PatientID",DATOS3!$1:$1,0)))</f>
        <v>#N/A</v>
      </c>
      <c r="F19" t="e">
        <f>IF(INDEX(DATOS3!$1:$19397,A19,MATCH("SeriesDate",DATOS3!$1:$1,0))=0,"",INDEX(DATOS3!$1:$19397,A19,MATCH("SeriesDate",DATOS3!$1:$1,0)))</f>
        <v>#N/A</v>
      </c>
      <c r="G19" t="e">
        <f>IF(INDEX(DATOS3!$1:$19397,A19,MATCH("SeriesTime",DATOS3!$1:$1,0))=0,"",INDEX(DATOS3!$1:$19397,A19,MATCH("SeriesTime",DATOS3!$1:$1,0)))</f>
        <v>#N/A</v>
      </c>
      <c r="H19" t="e">
        <f>IF(INDEX(DATOS3!$1:$19397,A19,MATCH("StudyDescription",DATOS3!$1:$1,0))=0,"",INDEX(DATOS3!$1:$19397,A19,MATCH("StudyDescription",DATOS3!$1:$1,0)))</f>
        <v>#N/A</v>
      </c>
      <c r="I19" t="e">
        <f>IF(INDEX(DATOS3!$1:$19397,A19,MATCH("Dose_Area_Product_Total",DATOS3!$1:$1,0))=0,0,INDEX(DATOS3!$1:$19397,A19,MATCH("Dose_Area_Product_Total",DATOS3!$1:$1,0)))</f>
        <v>#N/A</v>
      </c>
      <c r="J19" t="e">
        <f>IF(INDEX(DATOS3!$1:$19397,A19,MATCH("Dose_RP_Total",DATOS3!$1:$1,0))=0,0,INDEX(DATOS3!$1:$19397,A19,MATCH("Dose_RP_Total",DATOS3!$1:$1,0)))</f>
        <v>#N/A</v>
      </c>
      <c r="K19" t="e">
        <f>IF(INDEX(DATOS3!$1:$19397,A19,MATCH("Total_Fluoro_Time",DATOS3!$1:$1,0))=0,0,INDEX(DATOS3!$1:$19397,A19,MATCH("Total_Fluoro_Time",DATOS3!$1:$1,0)))</f>
        <v>#N/A</v>
      </c>
      <c r="L19" t="e">
        <f>IF(INDEX(DATOS3!$1:$19397,A19,MATCH("Total_Acquisition_Time",DATOS3!$1:$1,0))=0,0,INDEX(DATOS3!$1:$19397,A19,MATCH("Total_Acquisition_Time",DATOS3!$1:$1,0)))</f>
        <v>#N/A</v>
      </c>
    </row>
    <row r="20" spans="1:12" x14ac:dyDescent="0.25">
      <c r="A20">
        <v>20</v>
      </c>
      <c r="B20" t="e">
        <f t="shared" si="0"/>
        <v>#N/A</v>
      </c>
      <c r="D20" t="e">
        <f>IF(INDEX(DATOS3!$1:$19397,A20,MATCH("PatientID",DATOS3!$1:$1,0))=0,"",INDEX(DATOS3!$1:$19397,A20,MATCH("PatientID",DATOS3!$1:$1,0)))</f>
        <v>#N/A</v>
      </c>
      <c r="F20" t="e">
        <f>IF(INDEX(DATOS3!$1:$19397,A20,MATCH("SeriesDate",DATOS3!$1:$1,0))=0,"",INDEX(DATOS3!$1:$19397,A20,MATCH("SeriesDate",DATOS3!$1:$1,0)))</f>
        <v>#N/A</v>
      </c>
      <c r="G20" t="e">
        <f>IF(INDEX(DATOS3!$1:$19397,A20,MATCH("SeriesTime",DATOS3!$1:$1,0))=0,"",INDEX(DATOS3!$1:$19397,A20,MATCH("SeriesTime",DATOS3!$1:$1,0)))</f>
        <v>#N/A</v>
      </c>
      <c r="H20" t="e">
        <f>IF(INDEX(DATOS3!$1:$19397,A20,MATCH("StudyDescription",DATOS3!$1:$1,0))=0,"",INDEX(DATOS3!$1:$19397,A20,MATCH("StudyDescription",DATOS3!$1:$1,0)))</f>
        <v>#N/A</v>
      </c>
      <c r="I20" t="e">
        <f>IF(INDEX(DATOS3!$1:$19397,A20,MATCH("Dose_Area_Product_Total",DATOS3!$1:$1,0))=0,0,INDEX(DATOS3!$1:$19397,A20,MATCH("Dose_Area_Product_Total",DATOS3!$1:$1,0)))</f>
        <v>#N/A</v>
      </c>
      <c r="J20" t="e">
        <f>IF(INDEX(DATOS3!$1:$19397,A20,MATCH("Dose_RP_Total",DATOS3!$1:$1,0))=0,0,INDEX(DATOS3!$1:$19397,A20,MATCH("Dose_RP_Total",DATOS3!$1:$1,0)))</f>
        <v>#N/A</v>
      </c>
      <c r="K20" t="e">
        <f>IF(INDEX(DATOS3!$1:$19397,A20,MATCH("Total_Fluoro_Time",DATOS3!$1:$1,0))=0,0,INDEX(DATOS3!$1:$19397,A20,MATCH("Total_Fluoro_Time",DATOS3!$1:$1,0)))</f>
        <v>#N/A</v>
      </c>
      <c r="L20" t="e">
        <f>IF(INDEX(DATOS3!$1:$19397,A20,MATCH("Total_Acquisition_Time",DATOS3!$1:$1,0))=0,0,INDEX(DATOS3!$1:$19397,A20,MATCH("Total_Acquisition_Time",DATOS3!$1:$1,0)))</f>
        <v>#N/A</v>
      </c>
    </row>
    <row r="21" spans="1:12" x14ac:dyDescent="0.25">
      <c r="A21">
        <v>21</v>
      </c>
      <c r="B21" t="e">
        <f t="shared" si="0"/>
        <v>#N/A</v>
      </c>
      <c r="D21" t="e">
        <f>IF(INDEX(DATOS3!$1:$19397,A21,MATCH("PatientID",DATOS3!$1:$1,0))=0,"",INDEX(DATOS3!$1:$19397,A21,MATCH("PatientID",DATOS3!$1:$1,0)))</f>
        <v>#N/A</v>
      </c>
      <c r="F21" t="e">
        <f>IF(INDEX(DATOS3!$1:$19397,A21,MATCH("SeriesDate",DATOS3!$1:$1,0))=0,"",INDEX(DATOS3!$1:$19397,A21,MATCH("SeriesDate",DATOS3!$1:$1,0)))</f>
        <v>#N/A</v>
      </c>
      <c r="G21" t="e">
        <f>IF(INDEX(DATOS3!$1:$19397,A21,MATCH("SeriesTime",DATOS3!$1:$1,0))=0,"",INDEX(DATOS3!$1:$19397,A21,MATCH("SeriesTime",DATOS3!$1:$1,0)))</f>
        <v>#N/A</v>
      </c>
      <c r="H21" t="e">
        <f>IF(INDEX(DATOS3!$1:$19397,A21,MATCH("StudyDescription",DATOS3!$1:$1,0))=0,"",INDEX(DATOS3!$1:$19397,A21,MATCH("StudyDescription",DATOS3!$1:$1,0)))</f>
        <v>#N/A</v>
      </c>
      <c r="I21" t="e">
        <f>IF(INDEX(DATOS3!$1:$19397,A21,MATCH("Dose_Area_Product_Total",DATOS3!$1:$1,0))=0,0,INDEX(DATOS3!$1:$19397,A21,MATCH("Dose_Area_Product_Total",DATOS3!$1:$1,0)))</f>
        <v>#N/A</v>
      </c>
      <c r="J21" t="e">
        <f>IF(INDEX(DATOS3!$1:$19397,A21,MATCH("Dose_RP_Total",DATOS3!$1:$1,0))=0,0,INDEX(DATOS3!$1:$19397,A21,MATCH("Dose_RP_Total",DATOS3!$1:$1,0)))</f>
        <v>#N/A</v>
      </c>
      <c r="K21" t="e">
        <f>IF(INDEX(DATOS3!$1:$19397,A21,MATCH("Total_Fluoro_Time",DATOS3!$1:$1,0))=0,0,INDEX(DATOS3!$1:$19397,A21,MATCH("Total_Fluoro_Time",DATOS3!$1:$1,0)))</f>
        <v>#N/A</v>
      </c>
      <c r="L21" t="e">
        <f>IF(INDEX(DATOS3!$1:$19397,A21,MATCH("Total_Acquisition_Time",DATOS3!$1:$1,0))=0,0,INDEX(DATOS3!$1:$19397,A21,MATCH("Total_Acquisition_Time",DATOS3!$1:$1,0)))</f>
        <v>#N/A</v>
      </c>
    </row>
    <row r="22" spans="1:12" x14ac:dyDescent="0.25">
      <c r="A22">
        <v>22</v>
      </c>
      <c r="B22" t="e">
        <f t="shared" si="0"/>
        <v>#N/A</v>
      </c>
      <c r="D22" t="e">
        <f>IF(INDEX(DATOS3!$1:$19397,A22,MATCH("PatientID",DATOS3!$1:$1,0))=0,"",INDEX(DATOS3!$1:$19397,A22,MATCH("PatientID",DATOS3!$1:$1,0)))</f>
        <v>#N/A</v>
      </c>
      <c r="F22" t="e">
        <f>IF(INDEX(DATOS3!$1:$19397,A22,MATCH("SeriesDate",DATOS3!$1:$1,0))=0,"",INDEX(DATOS3!$1:$19397,A22,MATCH("SeriesDate",DATOS3!$1:$1,0)))</f>
        <v>#N/A</v>
      </c>
      <c r="G22" t="e">
        <f>IF(INDEX(DATOS3!$1:$19397,A22,MATCH("SeriesTime",DATOS3!$1:$1,0))=0,"",INDEX(DATOS3!$1:$19397,A22,MATCH("SeriesTime",DATOS3!$1:$1,0)))</f>
        <v>#N/A</v>
      </c>
      <c r="H22" t="e">
        <f>IF(INDEX(DATOS3!$1:$19397,A22,MATCH("StudyDescription",DATOS3!$1:$1,0))=0,"",INDEX(DATOS3!$1:$19397,A22,MATCH("StudyDescription",DATOS3!$1:$1,0)))</f>
        <v>#N/A</v>
      </c>
      <c r="I22" t="e">
        <f>IF(INDEX(DATOS3!$1:$19397,A22,MATCH("Dose_Area_Product_Total",DATOS3!$1:$1,0))=0,0,INDEX(DATOS3!$1:$19397,A22,MATCH("Dose_Area_Product_Total",DATOS3!$1:$1,0)))</f>
        <v>#N/A</v>
      </c>
      <c r="J22" t="e">
        <f>IF(INDEX(DATOS3!$1:$19397,A22,MATCH("Dose_RP_Total",DATOS3!$1:$1,0))=0,0,INDEX(DATOS3!$1:$19397,A22,MATCH("Dose_RP_Total",DATOS3!$1:$1,0)))</f>
        <v>#N/A</v>
      </c>
      <c r="K22" t="e">
        <f>IF(INDEX(DATOS3!$1:$19397,A22,MATCH("Total_Fluoro_Time",DATOS3!$1:$1,0))=0,0,INDEX(DATOS3!$1:$19397,A22,MATCH("Total_Fluoro_Time",DATOS3!$1:$1,0)))</f>
        <v>#N/A</v>
      </c>
      <c r="L22" t="e">
        <f>IF(INDEX(DATOS3!$1:$19397,A22,MATCH("Total_Acquisition_Time",DATOS3!$1:$1,0))=0,0,INDEX(DATOS3!$1:$19397,A22,MATCH("Total_Acquisition_Time",DATOS3!$1:$1,0)))</f>
        <v>#N/A</v>
      </c>
    </row>
    <row r="23" spans="1:12" x14ac:dyDescent="0.25">
      <c r="A23">
        <v>23</v>
      </c>
      <c r="B23" t="e">
        <f t="shared" si="0"/>
        <v>#N/A</v>
      </c>
      <c r="D23" t="e">
        <f>IF(INDEX(DATOS3!$1:$19397,A23,MATCH("PatientID",DATOS3!$1:$1,0))=0,"",INDEX(DATOS3!$1:$19397,A23,MATCH("PatientID",DATOS3!$1:$1,0)))</f>
        <v>#N/A</v>
      </c>
      <c r="F23" t="e">
        <f>IF(INDEX(DATOS3!$1:$19397,A23,MATCH("SeriesDate",DATOS3!$1:$1,0))=0,"",INDEX(DATOS3!$1:$19397,A23,MATCH("SeriesDate",DATOS3!$1:$1,0)))</f>
        <v>#N/A</v>
      </c>
      <c r="G23" t="e">
        <f>IF(INDEX(DATOS3!$1:$19397,A23,MATCH("SeriesTime",DATOS3!$1:$1,0))=0,"",INDEX(DATOS3!$1:$19397,A23,MATCH("SeriesTime",DATOS3!$1:$1,0)))</f>
        <v>#N/A</v>
      </c>
      <c r="H23" t="e">
        <f>IF(INDEX(DATOS3!$1:$19397,A23,MATCH("StudyDescription",DATOS3!$1:$1,0))=0,"",INDEX(DATOS3!$1:$19397,A23,MATCH("StudyDescription",DATOS3!$1:$1,0)))</f>
        <v>#N/A</v>
      </c>
      <c r="I23" t="e">
        <f>IF(INDEX(DATOS3!$1:$19397,A23,MATCH("Dose_Area_Product_Total",DATOS3!$1:$1,0))=0,0,INDEX(DATOS3!$1:$19397,A23,MATCH("Dose_Area_Product_Total",DATOS3!$1:$1,0)))</f>
        <v>#N/A</v>
      </c>
      <c r="J23" t="e">
        <f>IF(INDEX(DATOS3!$1:$19397,A23,MATCH("Dose_RP_Total",DATOS3!$1:$1,0))=0,0,INDEX(DATOS3!$1:$19397,A23,MATCH("Dose_RP_Total",DATOS3!$1:$1,0)))</f>
        <v>#N/A</v>
      </c>
      <c r="K23" t="e">
        <f>IF(INDEX(DATOS3!$1:$19397,A23,MATCH("Total_Fluoro_Time",DATOS3!$1:$1,0))=0,0,INDEX(DATOS3!$1:$19397,A23,MATCH("Total_Fluoro_Time",DATOS3!$1:$1,0)))</f>
        <v>#N/A</v>
      </c>
      <c r="L23" t="e">
        <f>IF(INDEX(DATOS3!$1:$19397,A23,MATCH("Total_Acquisition_Time",DATOS3!$1:$1,0))=0,0,INDEX(DATOS3!$1:$19397,A23,MATCH("Total_Acquisition_Time",DATOS3!$1:$1,0)))</f>
        <v>#N/A</v>
      </c>
    </row>
    <row r="24" spans="1:12" x14ac:dyDescent="0.25">
      <c r="A24">
        <v>24</v>
      </c>
      <c r="B24" t="e">
        <f t="shared" si="0"/>
        <v>#N/A</v>
      </c>
      <c r="D24" t="e">
        <f>IF(INDEX(DATOS3!$1:$19397,A24,MATCH("PatientID",DATOS3!$1:$1,0))=0,"",INDEX(DATOS3!$1:$19397,A24,MATCH("PatientID",DATOS3!$1:$1,0)))</f>
        <v>#N/A</v>
      </c>
      <c r="F24" t="e">
        <f>IF(INDEX(DATOS3!$1:$19397,A24,MATCH("SeriesDate",DATOS3!$1:$1,0))=0,"",INDEX(DATOS3!$1:$19397,A24,MATCH("SeriesDate",DATOS3!$1:$1,0)))</f>
        <v>#N/A</v>
      </c>
      <c r="G24" t="e">
        <f>IF(INDEX(DATOS3!$1:$19397,A24,MATCH("SeriesTime",DATOS3!$1:$1,0))=0,"",INDEX(DATOS3!$1:$19397,A24,MATCH("SeriesTime",DATOS3!$1:$1,0)))</f>
        <v>#N/A</v>
      </c>
      <c r="H24" t="e">
        <f>IF(INDEX(DATOS3!$1:$19397,A24,MATCH("StudyDescription",DATOS3!$1:$1,0))=0,"",INDEX(DATOS3!$1:$19397,A24,MATCH("StudyDescription",DATOS3!$1:$1,0)))</f>
        <v>#N/A</v>
      </c>
      <c r="I24" t="e">
        <f>IF(INDEX(DATOS3!$1:$19397,A24,MATCH("Dose_Area_Product_Total",DATOS3!$1:$1,0))=0,0,INDEX(DATOS3!$1:$19397,A24,MATCH("Dose_Area_Product_Total",DATOS3!$1:$1,0)))</f>
        <v>#N/A</v>
      </c>
      <c r="J24" t="e">
        <f>IF(INDEX(DATOS3!$1:$19397,A24,MATCH("Dose_RP_Total",DATOS3!$1:$1,0))=0,0,INDEX(DATOS3!$1:$19397,A24,MATCH("Dose_RP_Total",DATOS3!$1:$1,0)))</f>
        <v>#N/A</v>
      </c>
      <c r="K24" t="e">
        <f>IF(INDEX(DATOS3!$1:$19397,A24,MATCH("Total_Fluoro_Time",DATOS3!$1:$1,0))=0,0,INDEX(DATOS3!$1:$19397,A24,MATCH("Total_Fluoro_Time",DATOS3!$1:$1,0)))</f>
        <v>#N/A</v>
      </c>
      <c r="L24" t="e">
        <f>IF(INDEX(DATOS3!$1:$19397,A24,MATCH("Total_Acquisition_Time",DATOS3!$1:$1,0))=0,0,INDEX(DATOS3!$1:$19397,A24,MATCH("Total_Acquisition_Time",DATOS3!$1:$1,0)))</f>
        <v>#N/A</v>
      </c>
    </row>
    <row r="25" spans="1:12" x14ac:dyDescent="0.25">
      <c r="A25">
        <v>25</v>
      </c>
      <c r="B25" t="e">
        <f t="shared" si="0"/>
        <v>#N/A</v>
      </c>
      <c r="D25" t="e">
        <f>IF(INDEX(DATOS3!$1:$19397,A25,MATCH("PatientID",DATOS3!$1:$1,0))=0,"",INDEX(DATOS3!$1:$19397,A25,MATCH("PatientID",DATOS3!$1:$1,0)))</f>
        <v>#N/A</v>
      </c>
      <c r="F25" t="e">
        <f>IF(INDEX(DATOS3!$1:$19397,A25,MATCH("SeriesDate",DATOS3!$1:$1,0))=0,"",INDEX(DATOS3!$1:$19397,A25,MATCH("SeriesDate",DATOS3!$1:$1,0)))</f>
        <v>#N/A</v>
      </c>
      <c r="G25" t="e">
        <f>IF(INDEX(DATOS3!$1:$19397,A25,MATCH("SeriesTime",DATOS3!$1:$1,0))=0,"",INDEX(DATOS3!$1:$19397,A25,MATCH("SeriesTime",DATOS3!$1:$1,0)))</f>
        <v>#N/A</v>
      </c>
      <c r="H25" t="e">
        <f>IF(INDEX(DATOS3!$1:$19397,A25,MATCH("StudyDescription",DATOS3!$1:$1,0))=0,"",INDEX(DATOS3!$1:$19397,A25,MATCH("StudyDescription",DATOS3!$1:$1,0)))</f>
        <v>#N/A</v>
      </c>
      <c r="I25" t="e">
        <f>IF(INDEX(DATOS3!$1:$19397,A25,MATCH("Dose_Area_Product_Total",DATOS3!$1:$1,0))=0,0,INDEX(DATOS3!$1:$19397,A25,MATCH("Dose_Area_Product_Total",DATOS3!$1:$1,0)))</f>
        <v>#N/A</v>
      </c>
      <c r="J25" t="e">
        <f>IF(INDEX(DATOS3!$1:$19397,A25,MATCH("Dose_RP_Total",DATOS3!$1:$1,0))=0,0,INDEX(DATOS3!$1:$19397,A25,MATCH("Dose_RP_Total",DATOS3!$1:$1,0)))</f>
        <v>#N/A</v>
      </c>
      <c r="K25" t="e">
        <f>IF(INDEX(DATOS3!$1:$19397,A25,MATCH("Total_Fluoro_Time",DATOS3!$1:$1,0))=0,0,INDEX(DATOS3!$1:$19397,A25,MATCH("Total_Fluoro_Time",DATOS3!$1:$1,0)))</f>
        <v>#N/A</v>
      </c>
      <c r="L25" t="e">
        <f>IF(INDEX(DATOS3!$1:$19397,A25,MATCH("Total_Acquisition_Time",DATOS3!$1:$1,0))=0,0,INDEX(DATOS3!$1:$19397,A25,MATCH("Total_Acquisition_Time",DATOS3!$1:$1,0)))</f>
        <v>#N/A</v>
      </c>
    </row>
    <row r="26" spans="1:12" x14ac:dyDescent="0.25">
      <c r="A26">
        <v>26</v>
      </c>
      <c r="B26" t="e">
        <f t="shared" si="0"/>
        <v>#N/A</v>
      </c>
      <c r="D26" t="e">
        <f>IF(INDEX(DATOS3!$1:$19397,A26,MATCH("PatientID",DATOS3!$1:$1,0))=0,"",INDEX(DATOS3!$1:$19397,A26,MATCH("PatientID",DATOS3!$1:$1,0)))</f>
        <v>#N/A</v>
      </c>
      <c r="F26" t="e">
        <f>IF(INDEX(DATOS3!$1:$19397,A26,MATCH("SeriesDate",DATOS3!$1:$1,0))=0,"",INDEX(DATOS3!$1:$19397,A26,MATCH("SeriesDate",DATOS3!$1:$1,0)))</f>
        <v>#N/A</v>
      </c>
      <c r="G26" t="e">
        <f>IF(INDEX(DATOS3!$1:$19397,A26,MATCH("SeriesTime",DATOS3!$1:$1,0))=0,"",INDEX(DATOS3!$1:$19397,A26,MATCH("SeriesTime",DATOS3!$1:$1,0)))</f>
        <v>#N/A</v>
      </c>
      <c r="H26" t="e">
        <f>IF(INDEX(DATOS3!$1:$19397,A26,MATCH("StudyDescription",DATOS3!$1:$1,0))=0,"",INDEX(DATOS3!$1:$19397,A26,MATCH("StudyDescription",DATOS3!$1:$1,0)))</f>
        <v>#N/A</v>
      </c>
      <c r="I26" t="e">
        <f>IF(INDEX(DATOS3!$1:$19397,A26,MATCH("Dose_Area_Product_Total",DATOS3!$1:$1,0))=0,0,INDEX(DATOS3!$1:$19397,A26,MATCH("Dose_Area_Product_Total",DATOS3!$1:$1,0)))</f>
        <v>#N/A</v>
      </c>
      <c r="J26" t="e">
        <f>IF(INDEX(DATOS3!$1:$19397,A26,MATCH("Dose_RP_Total",DATOS3!$1:$1,0))=0,0,INDEX(DATOS3!$1:$19397,A26,MATCH("Dose_RP_Total",DATOS3!$1:$1,0)))</f>
        <v>#N/A</v>
      </c>
      <c r="K26" t="e">
        <f>IF(INDEX(DATOS3!$1:$19397,A26,MATCH("Total_Fluoro_Time",DATOS3!$1:$1,0))=0,0,INDEX(DATOS3!$1:$19397,A26,MATCH("Total_Fluoro_Time",DATOS3!$1:$1,0)))</f>
        <v>#N/A</v>
      </c>
      <c r="L26" t="e">
        <f>IF(INDEX(DATOS3!$1:$19397,A26,MATCH("Total_Acquisition_Time",DATOS3!$1:$1,0))=0,0,INDEX(DATOS3!$1:$19397,A26,MATCH("Total_Acquisition_Time",DATOS3!$1:$1,0)))</f>
        <v>#N/A</v>
      </c>
    </row>
    <row r="27" spans="1:12" x14ac:dyDescent="0.25">
      <c r="A27">
        <v>27</v>
      </c>
      <c r="B27" t="e">
        <f t="shared" si="0"/>
        <v>#N/A</v>
      </c>
      <c r="D27" t="e">
        <f>IF(INDEX(DATOS3!$1:$19397,A27,MATCH("PatientID",DATOS3!$1:$1,0))=0,"",INDEX(DATOS3!$1:$19397,A27,MATCH("PatientID",DATOS3!$1:$1,0)))</f>
        <v>#N/A</v>
      </c>
      <c r="F27" t="e">
        <f>IF(INDEX(DATOS3!$1:$19397,A27,MATCH("SeriesDate",DATOS3!$1:$1,0))=0,"",INDEX(DATOS3!$1:$19397,A27,MATCH("SeriesDate",DATOS3!$1:$1,0)))</f>
        <v>#N/A</v>
      </c>
      <c r="G27" t="e">
        <f>IF(INDEX(DATOS3!$1:$19397,A27,MATCH("SeriesTime",DATOS3!$1:$1,0))=0,"",INDEX(DATOS3!$1:$19397,A27,MATCH("SeriesTime",DATOS3!$1:$1,0)))</f>
        <v>#N/A</v>
      </c>
      <c r="H27" t="e">
        <f>IF(INDEX(DATOS3!$1:$19397,A27,MATCH("StudyDescription",DATOS3!$1:$1,0))=0,"",INDEX(DATOS3!$1:$19397,A27,MATCH("StudyDescription",DATOS3!$1:$1,0)))</f>
        <v>#N/A</v>
      </c>
      <c r="I27" t="e">
        <f>IF(INDEX(DATOS3!$1:$19397,A27,MATCH("Dose_Area_Product_Total",DATOS3!$1:$1,0))=0,0,INDEX(DATOS3!$1:$19397,A27,MATCH("Dose_Area_Product_Total",DATOS3!$1:$1,0)))</f>
        <v>#N/A</v>
      </c>
      <c r="J27" t="e">
        <f>IF(INDEX(DATOS3!$1:$19397,A27,MATCH("Dose_RP_Total",DATOS3!$1:$1,0))=0,0,INDEX(DATOS3!$1:$19397,A27,MATCH("Dose_RP_Total",DATOS3!$1:$1,0)))</f>
        <v>#N/A</v>
      </c>
      <c r="K27" t="e">
        <f>IF(INDEX(DATOS3!$1:$19397,A27,MATCH("Total_Fluoro_Time",DATOS3!$1:$1,0))=0,0,INDEX(DATOS3!$1:$19397,A27,MATCH("Total_Fluoro_Time",DATOS3!$1:$1,0)))</f>
        <v>#N/A</v>
      </c>
      <c r="L27" t="e">
        <f>IF(INDEX(DATOS3!$1:$19397,A27,MATCH("Total_Acquisition_Time",DATOS3!$1:$1,0))=0,0,INDEX(DATOS3!$1:$19397,A27,MATCH("Total_Acquisition_Time",DATOS3!$1:$1,0)))</f>
        <v>#N/A</v>
      </c>
    </row>
    <row r="28" spans="1:12" x14ac:dyDescent="0.25">
      <c r="A28">
        <v>28</v>
      </c>
      <c r="B28" t="e">
        <f t="shared" si="0"/>
        <v>#N/A</v>
      </c>
      <c r="D28" t="e">
        <f>IF(INDEX(DATOS3!$1:$19397,A28,MATCH("PatientID",DATOS3!$1:$1,0))=0,"",INDEX(DATOS3!$1:$19397,A28,MATCH("PatientID",DATOS3!$1:$1,0)))</f>
        <v>#N/A</v>
      </c>
      <c r="F28" t="e">
        <f>IF(INDEX(DATOS3!$1:$19397,A28,MATCH("SeriesDate",DATOS3!$1:$1,0))=0,"",INDEX(DATOS3!$1:$19397,A28,MATCH("SeriesDate",DATOS3!$1:$1,0)))</f>
        <v>#N/A</v>
      </c>
      <c r="G28" t="e">
        <f>IF(INDEX(DATOS3!$1:$19397,A28,MATCH("SeriesTime",DATOS3!$1:$1,0))=0,"",INDEX(DATOS3!$1:$19397,A28,MATCH("SeriesTime",DATOS3!$1:$1,0)))</f>
        <v>#N/A</v>
      </c>
      <c r="H28" t="e">
        <f>IF(INDEX(DATOS3!$1:$19397,A28,MATCH("StudyDescription",DATOS3!$1:$1,0))=0,"",INDEX(DATOS3!$1:$19397,A28,MATCH("StudyDescription",DATOS3!$1:$1,0)))</f>
        <v>#N/A</v>
      </c>
      <c r="I28" t="e">
        <f>IF(INDEX(DATOS3!$1:$19397,A28,MATCH("Dose_Area_Product_Total",DATOS3!$1:$1,0))=0,0,INDEX(DATOS3!$1:$19397,A28,MATCH("Dose_Area_Product_Total",DATOS3!$1:$1,0)))</f>
        <v>#N/A</v>
      </c>
      <c r="J28" t="e">
        <f>IF(INDEX(DATOS3!$1:$19397,A28,MATCH("Dose_RP_Total",DATOS3!$1:$1,0))=0,0,INDEX(DATOS3!$1:$19397,A28,MATCH("Dose_RP_Total",DATOS3!$1:$1,0)))</f>
        <v>#N/A</v>
      </c>
      <c r="K28" t="e">
        <f>IF(INDEX(DATOS3!$1:$19397,A28,MATCH("Total_Fluoro_Time",DATOS3!$1:$1,0))=0,0,INDEX(DATOS3!$1:$19397,A28,MATCH("Total_Fluoro_Time",DATOS3!$1:$1,0)))</f>
        <v>#N/A</v>
      </c>
      <c r="L28" t="e">
        <f>IF(INDEX(DATOS3!$1:$19397,A28,MATCH("Total_Acquisition_Time",DATOS3!$1:$1,0))=0,0,INDEX(DATOS3!$1:$19397,A28,MATCH("Total_Acquisition_Time",DATOS3!$1:$1,0)))</f>
        <v>#N/A</v>
      </c>
    </row>
    <row r="29" spans="1:12" x14ac:dyDescent="0.25">
      <c r="A29">
        <v>29</v>
      </c>
      <c r="B29" t="e">
        <f t="shared" si="0"/>
        <v>#N/A</v>
      </c>
      <c r="D29" t="e">
        <f>IF(INDEX(DATOS3!$1:$19397,A29,MATCH("PatientID",DATOS3!$1:$1,0))=0,"",INDEX(DATOS3!$1:$19397,A29,MATCH("PatientID",DATOS3!$1:$1,0)))</f>
        <v>#N/A</v>
      </c>
      <c r="F29" t="e">
        <f>IF(INDEX(DATOS3!$1:$19397,A29,MATCH("SeriesDate",DATOS3!$1:$1,0))=0,"",INDEX(DATOS3!$1:$19397,A29,MATCH("SeriesDate",DATOS3!$1:$1,0)))</f>
        <v>#N/A</v>
      </c>
      <c r="G29" t="e">
        <f>IF(INDEX(DATOS3!$1:$19397,A29,MATCH("SeriesTime",DATOS3!$1:$1,0))=0,"",INDEX(DATOS3!$1:$19397,A29,MATCH("SeriesTime",DATOS3!$1:$1,0)))</f>
        <v>#N/A</v>
      </c>
      <c r="H29" t="e">
        <f>IF(INDEX(DATOS3!$1:$19397,A29,MATCH("StudyDescription",DATOS3!$1:$1,0))=0,"",INDEX(DATOS3!$1:$19397,A29,MATCH("StudyDescription",DATOS3!$1:$1,0)))</f>
        <v>#N/A</v>
      </c>
      <c r="I29" t="e">
        <f>IF(INDEX(DATOS3!$1:$19397,A29,MATCH("Dose_Area_Product_Total",DATOS3!$1:$1,0))=0,0,INDEX(DATOS3!$1:$19397,A29,MATCH("Dose_Area_Product_Total",DATOS3!$1:$1,0)))</f>
        <v>#N/A</v>
      </c>
      <c r="J29" t="e">
        <f>IF(INDEX(DATOS3!$1:$19397,A29,MATCH("Dose_RP_Total",DATOS3!$1:$1,0))=0,0,INDEX(DATOS3!$1:$19397,A29,MATCH("Dose_RP_Total",DATOS3!$1:$1,0)))</f>
        <v>#N/A</v>
      </c>
      <c r="K29" t="e">
        <f>IF(INDEX(DATOS3!$1:$19397,A29,MATCH("Total_Fluoro_Time",DATOS3!$1:$1,0))=0,0,INDEX(DATOS3!$1:$19397,A29,MATCH("Total_Fluoro_Time",DATOS3!$1:$1,0)))</f>
        <v>#N/A</v>
      </c>
      <c r="L29" t="e">
        <f>IF(INDEX(DATOS3!$1:$19397,A29,MATCH("Total_Acquisition_Time",DATOS3!$1:$1,0))=0,0,INDEX(DATOS3!$1:$19397,A29,MATCH("Total_Acquisition_Time",DATOS3!$1:$1,0)))</f>
        <v>#N/A</v>
      </c>
    </row>
    <row r="30" spans="1:12" x14ac:dyDescent="0.25">
      <c r="A30">
        <v>30</v>
      </c>
      <c r="B30" t="e">
        <f t="shared" si="0"/>
        <v>#N/A</v>
      </c>
      <c r="D30" t="e">
        <f>IF(INDEX(DATOS3!$1:$19397,A30,MATCH("PatientID",DATOS3!$1:$1,0))=0,"",INDEX(DATOS3!$1:$19397,A30,MATCH("PatientID",DATOS3!$1:$1,0)))</f>
        <v>#N/A</v>
      </c>
      <c r="F30" t="e">
        <f>IF(INDEX(DATOS3!$1:$19397,A30,MATCH("SeriesDate",DATOS3!$1:$1,0))=0,"",INDEX(DATOS3!$1:$19397,A30,MATCH("SeriesDate",DATOS3!$1:$1,0)))</f>
        <v>#N/A</v>
      </c>
      <c r="G30" t="e">
        <f>IF(INDEX(DATOS3!$1:$19397,A30,MATCH("SeriesTime",DATOS3!$1:$1,0))=0,"",INDEX(DATOS3!$1:$19397,A30,MATCH("SeriesTime",DATOS3!$1:$1,0)))</f>
        <v>#N/A</v>
      </c>
      <c r="H30" t="e">
        <f>IF(INDEX(DATOS3!$1:$19397,A30,MATCH("StudyDescription",DATOS3!$1:$1,0))=0,"",INDEX(DATOS3!$1:$19397,A30,MATCH("StudyDescription",DATOS3!$1:$1,0)))</f>
        <v>#N/A</v>
      </c>
      <c r="I30" t="e">
        <f>IF(INDEX(DATOS3!$1:$19397,A30,MATCH("Dose_Area_Product_Total",DATOS3!$1:$1,0))=0,0,INDEX(DATOS3!$1:$19397,A30,MATCH("Dose_Area_Product_Total",DATOS3!$1:$1,0)))</f>
        <v>#N/A</v>
      </c>
      <c r="J30" t="e">
        <f>IF(INDEX(DATOS3!$1:$19397,A30,MATCH("Dose_RP_Total",DATOS3!$1:$1,0))=0,0,INDEX(DATOS3!$1:$19397,A30,MATCH("Dose_RP_Total",DATOS3!$1:$1,0)))</f>
        <v>#N/A</v>
      </c>
      <c r="K30" t="e">
        <f>IF(INDEX(DATOS3!$1:$19397,A30,MATCH("Total_Fluoro_Time",DATOS3!$1:$1,0))=0,0,INDEX(DATOS3!$1:$19397,A30,MATCH("Total_Fluoro_Time",DATOS3!$1:$1,0)))</f>
        <v>#N/A</v>
      </c>
      <c r="L30" t="e">
        <f>IF(INDEX(DATOS3!$1:$19397,A30,MATCH("Total_Acquisition_Time",DATOS3!$1:$1,0))=0,0,INDEX(DATOS3!$1:$19397,A30,MATCH("Total_Acquisition_Time",DATOS3!$1:$1,0)))</f>
        <v>#N/A</v>
      </c>
    </row>
    <row r="31" spans="1:12" x14ac:dyDescent="0.25">
      <c r="A31">
        <v>31</v>
      </c>
      <c r="B31" t="e">
        <f t="shared" si="0"/>
        <v>#N/A</v>
      </c>
      <c r="D31" t="e">
        <f>IF(INDEX(DATOS3!$1:$19397,A31,MATCH("PatientID",DATOS3!$1:$1,0))=0,"",INDEX(DATOS3!$1:$19397,A31,MATCH("PatientID",DATOS3!$1:$1,0)))</f>
        <v>#N/A</v>
      </c>
      <c r="F31" t="e">
        <f>IF(INDEX(DATOS3!$1:$19397,A31,MATCH("SeriesDate",DATOS3!$1:$1,0))=0,"",INDEX(DATOS3!$1:$19397,A31,MATCH("SeriesDate",DATOS3!$1:$1,0)))</f>
        <v>#N/A</v>
      </c>
      <c r="G31" t="e">
        <f>IF(INDEX(DATOS3!$1:$19397,A31,MATCH("SeriesTime",DATOS3!$1:$1,0))=0,"",INDEX(DATOS3!$1:$19397,A31,MATCH("SeriesTime",DATOS3!$1:$1,0)))</f>
        <v>#N/A</v>
      </c>
      <c r="H31" t="e">
        <f>IF(INDEX(DATOS3!$1:$19397,A31,MATCH("StudyDescription",DATOS3!$1:$1,0))=0,"",INDEX(DATOS3!$1:$19397,A31,MATCH("StudyDescription",DATOS3!$1:$1,0)))</f>
        <v>#N/A</v>
      </c>
      <c r="I31" t="e">
        <f>IF(INDEX(DATOS3!$1:$19397,A31,MATCH("Dose_Area_Product_Total",DATOS3!$1:$1,0))=0,0,INDEX(DATOS3!$1:$19397,A31,MATCH("Dose_Area_Product_Total",DATOS3!$1:$1,0)))</f>
        <v>#N/A</v>
      </c>
      <c r="J31" t="e">
        <f>IF(INDEX(DATOS3!$1:$19397,A31,MATCH("Dose_RP_Total",DATOS3!$1:$1,0))=0,0,INDEX(DATOS3!$1:$19397,A31,MATCH("Dose_RP_Total",DATOS3!$1:$1,0)))</f>
        <v>#N/A</v>
      </c>
      <c r="K31" t="e">
        <f>IF(INDEX(DATOS3!$1:$19397,A31,MATCH("Total_Fluoro_Time",DATOS3!$1:$1,0))=0,0,INDEX(DATOS3!$1:$19397,A31,MATCH("Total_Fluoro_Time",DATOS3!$1:$1,0)))</f>
        <v>#N/A</v>
      </c>
      <c r="L31" t="e">
        <f>IF(INDEX(DATOS3!$1:$19397,A31,MATCH("Total_Acquisition_Time",DATOS3!$1:$1,0))=0,0,INDEX(DATOS3!$1:$19397,A31,MATCH("Total_Acquisition_Time",DATOS3!$1:$1,0)))</f>
        <v>#N/A</v>
      </c>
    </row>
    <row r="32" spans="1:12" x14ac:dyDescent="0.25">
      <c r="A32">
        <v>32</v>
      </c>
      <c r="B32" t="e">
        <f t="shared" si="0"/>
        <v>#N/A</v>
      </c>
      <c r="D32" t="e">
        <f>IF(INDEX(DATOS3!$1:$19397,A32,MATCH("PatientID",DATOS3!$1:$1,0))=0,"",INDEX(DATOS3!$1:$19397,A32,MATCH("PatientID",DATOS3!$1:$1,0)))</f>
        <v>#N/A</v>
      </c>
      <c r="F32" t="e">
        <f>IF(INDEX(DATOS3!$1:$19397,A32,MATCH("SeriesDate",DATOS3!$1:$1,0))=0,"",INDEX(DATOS3!$1:$19397,A32,MATCH("SeriesDate",DATOS3!$1:$1,0)))</f>
        <v>#N/A</v>
      </c>
      <c r="G32" t="e">
        <f>IF(INDEX(DATOS3!$1:$19397,A32,MATCH("SeriesTime",DATOS3!$1:$1,0))=0,"",INDEX(DATOS3!$1:$19397,A32,MATCH("SeriesTime",DATOS3!$1:$1,0)))</f>
        <v>#N/A</v>
      </c>
      <c r="H32" t="e">
        <f>IF(INDEX(DATOS3!$1:$19397,A32,MATCH("StudyDescription",DATOS3!$1:$1,0))=0,"",INDEX(DATOS3!$1:$19397,A32,MATCH("StudyDescription",DATOS3!$1:$1,0)))</f>
        <v>#N/A</v>
      </c>
      <c r="I32" t="e">
        <f>IF(INDEX(DATOS3!$1:$19397,A32,MATCH("Dose_Area_Product_Total",DATOS3!$1:$1,0))=0,0,INDEX(DATOS3!$1:$19397,A32,MATCH("Dose_Area_Product_Total",DATOS3!$1:$1,0)))</f>
        <v>#N/A</v>
      </c>
      <c r="J32" t="e">
        <f>IF(INDEX(DATOS3!$1:$19397,A32,MATCH("Dose_RP_Total",DATOS3!$1:$1,0))=0,0,INDEX(DATOS3!$1:$19397,A32,MATCH("Dose_RP_Total",DATOS3!$1:$1,0)))</f>
        <v>#N/A</v>
      </c>
      <c r="K32" t="e">
        <f>IF(INDEX(DATOS3!$1:$19397,A32,MATCH("Total_Fluoro_Time",DATOS3!$1:$1,0))=0,0,INDEX(DATOS3!$1:$19397,A32,MATCH("Total_Fluoro_Time",DATOS3!$1:$1,0)))</f>
        <v>#N/A</v>
      </c>
      <c r="L32" t="e">
        <f>IF(INDEX(DATOS3!$1:$19397,A32,MATCH("Total_Acquisition_Time",DATOS3!$1:$1,0))=0,0,INDEX(DATOS3!$1:$19397,A32,MATCH("Total_Acquisition_Time",DATOS3!$1:$1,0)))</f>
        <v>#N/A</v>
      </c>
    </row>
    <row r="33" spans="1:12" x14ac:dyDescent="0.25">
      <c r="A33">
        <v>33</v>
      </c>
      <c r="B33" t="e">
        <f t="shared" si="0"/>
        <v>#N/A</v>
      </c>
      <c r="D33" t="e">
        <f>IF(INDEX(DATOS3!$1:$19397,A33,MATCH("PatientID",DATOS3!$1:$1,0))=0,"",INDEX(DATOS3!$1:$19397,A33,MATCH("PatientID",DATOS3!$1:$1,0)))</f>
        <v>#N/A</v>
      </c>
      <c r="F33" t="e">
        <f>IF(INDEX(DATOS3!$1:$19397,A33,MATCH("SeriesDate",DATOS3!$1:$1,0))=0,"",INDEX(DATOS3!$1:$19397,A33,MATCH("SeriesDate",DATOS3!$1:$1,0)))</f>
        <v>#N/A</v>
      </c>
      <c r="G33" t="e">
        <f>IF(INDEX(DATOS3!$1:$19397,A33,MATCH("SeriesTime",DATOS3!$1:$1,0))=0,"",INDEX(DATOS3!$1:$19397,A33,MATCH("SeriesTime",DATOS3!$1:$1,0)))</f>
        <v>#N/A</v>
      </c>
      <c r="H33" t="e">
        <f>IF(INDEX(DATOS3!$1:$19397,A33,MATCH("StudyDescription",DATOS3!$1:$1,0))=0,"",INDEX(DATOS3!$1:$19397,A33,MATCH("StudyDescription",DATOS3!$1:$1,0)))</f>
        <v>#N/A</v>
      </c>
      <c r="I33" t="e">
        <f>IF(INDEX(DATOS3!$1:$19397,A33,MATCH("Dose_Area_Product_Total",DATOS3!$1:$1,0))=0,0,INDEX(DATOS3!$1:$19397,A33,MATCH("Dose_Area_Product_Total",DATOS3!$1:$1,0)))</f>
        <v>#N/A</v>
      </c>
      <c r="J33" t="e">
        <f>IF(INDEX(DATOS3!$1:$19397,A33,MATCH("Dose_RP_Total",DATOS3!$1:$1,0))=0,0,INDEX(DATOS3!$1:$19397,A33,MATCH("Dose_RP_Total",DATOS3!$1:$1,0)))</f>
        <v>#N/A</v>
      </c>
      <c r="K33" t="e">
        <f>IF(INDEX(DATOS3!$1:$19397,A33,MATCH("Total_Fluoro_Time",DATOS3!$1:$1,0))=0,0,INDEX(DATOS3!$1:$19397,A33,MATCH("Total_Fluoro_Time",DATOS3!$1:$1,0)))</f>
        <v>#N/A</v>
      </c>
      <c r="L33" t="e">
        <f>IF(INDEX(DATOS3!$1:$19397,A33,MATCH("Total_Acquisition_Time",DATOS3!$1:$1,0))=0,0,INDEX(DATOS3!$1:$19397,A33,MATCH("Total_Acquisition_Time",DATOS3!$1:$1,0)))</f>
        <v>#N/A</v>
      </c>
    </row>
    <row r="34" spans="1:12" x14ac:dyDescent="0.25">
      <c r="A34">
        <v>34</v>
      </c>
      <c r="B34" t="e">
        <f t="shared" si="0"/>
        <v>#N/A</v>
      </c>
      <c r="D34" t="e">
        <f>IF(INDEX(DATOS3!$1:$19397,A34,MATCH("PatientID",DATOS3!$1:$1,0))=0,"",INDEX(DATOS3!$1:$19397,A34,MATCH("PatientID",DATOS3!$1:$1,0)))</f>
        <v>#N/A</v>
      </c>
      <c r="F34" t="e">
        <f>IF(INDEX(DATOS3!$1:$19397,A34,MATCH("SeriesDate",DATOS3!$1:$1,0))=0,"",INDEX(DATOS3!$1:$19397,A34,MATCH("SeriesDate",DATOS3!$1:$1,0)))</f>
        <v>#N/A</v>
      </c>
      <c r="G34" t="e">
        <f>IF(INDEX(DATOS3!$1:$19397,A34,MATCH("SeriesTime",DATOS3!$1:$1,0))=0,"",INDEX(DATOS3!$1:$19397,A34,MATCH("SeriesTime",DATOS3!$1:$1,0)))</f>
        <v>#N/A</v>
      </c>
      <c r="H34" t="e">
        <f>IF(INDEX(DATOS3!$1:$19397,A34,MATCH("StudyDescription",DATOS3!$1:$1,0))=0,"",INDEX(DATOS3!$1:$19397,A34,MATCH("StudyDescription",DATOS3!$1:$1,0)))</f>
        <v>#N/A</v>
      </c>
      <c r="I34" t="e">
        <f>IF(INDEX(DATOS3!$1:$19397,A34,MATCH("Dose_Area_Product_Total",DATOS3!$1:$1,0))=0,0,INDEX(DATOS3!$1:$19397,A34,MATCH("Dose_Area_Product_Total",DATOS3!$1:$1,0)))</f>
        <v>#N/A</v>
      </c>
      <c r="J34" t="e">
        <f>IF(INDEX(DATOS3!$1:$19397,A34,MATCH("Dose_RP_Total",DATOS3!$1:$1,0))=0,0,INDEX(DATOS3!$1:$19397,A34,MATCH("Dose_RP_Total",DATOS3!$1:$1,0)))</f>
        <v>#N/A</v>
      </c>
      <c r="K34" t="e">
        <f>IF(INDEX(DATOS3!$1:$19397,A34,MATCH("Total_Fluoro_Time",DATOS3!$1:$1,0))=0,0,INDEX(DATOS3!$1:$19397,A34,MATCH("Total_Fluoro_Time",DATOS3!$1:$1,0)))</f>
        <v>#N/A</v>
      </c>
      <c r="L34" t="e">
        <f>IF(INDEX(DATOS3!$1:$19397,A34,MATCH("Total_Acquisition_Time",DATOS3!$1:$1,0))=0,0,INDEX(DATOS3!$1:$19397,A34,MATCH("Total_Acquisition_Time",DATOS3!$1:$1,0)))</f>
        <v>#N/A</v>
      </c>
    </row>
    <row r="35" spans="1:12" x14ac:dyDescent="0.25">
      <c r="A35">
        <v>35</v>
      </c>
      <c r="B35" t="e">
        <f t="shared" si="0"/>
        <v>#N/A</v>
      </c>
      <c r="D35" t="e">
        <f>IF(INDEX(DATOS3!$1:$19397,A35,MATCH("PatientID",DATOS3!$1:$1,0))=0,"",INDEX(DATOS3!$1:$19397,A35,MATCH("PatientID",DATOS3!$1:$1,0)))</f>
        <v>#N/A</v>
      </c>
      <c r="F35" t="e">
        <f>IF(INDEX(DATOS3!$1:$19397,A35,MATCH("SeriesDate",DATOS3!$1:$1,0))=0,"",INDEX(DATOS3!$1:$19397,A35,MATCH("SeriesDate",DATOS3!$1:$1,0)))</f>
        <v>#N/A</v>
      </c>
      <c r="G35" t="e">
        <f>IF(INDEX(DATOS3!$1:$19397,A35,MATCH("SeriesTime",DATOS3!$1:$1,0))=0,"",INDEX(DATOS3!$1:$19397,A35,MATCH("SeriesTime",DATOS3!$1:$1,0)))</f>
        <v>#N/A</v>
      </c>
      <c r="H35" t="e">
        <f>IF(INDEX(DATOS3!$1:$19397,A35,MATCH("StudyDescription",DATOS3!$1:$1,0))=0,"",INDEX(DATOS3!$1:$19397,A35,MATCH("StudyDescription",DATOS3!$1:$1,0)))</f>
        <v>#N/A</v>
      </c>
      <c r="I35" t="e">
        <f>IF(INDEX(DATOS3!$1:$19397,A35,MATCH("Dose_Area_Product_Total",DATOS3!$1:$1,0))=0,0,INDEX(DATOS3!$1:$19397,A35,MATCH("Dose_Area_Product_Total",DATOS3!$1:$1,0)))</f>
        <v>#N/A</v>
      </c>
      <c r="J35" t="e">
        <f>IF(INDEX(DATOS3!$1:$19397,A35,MATCH("Dose_RP_Total",DATOS3!$1:$1,0))=0,0,INDEX(DATOS3!$1:$19397,A35,MATCH("Dose_RP_Total",DATOS3!$1:$1,0)))</f>
        <v>#N/A</v>
      </c>
      <c r="K35" t="e">
        <f>IF(INDEX(DATOS3!$1:$19397,A35,MATCH("Total_Fluoro_Time",DATOS3!$1:$1,0))=0,0,INDEX(DATOS3!$1:$19397,A35,MATCH("Total_Fluoro_Time",DATOS3!$1:$1,0)))</f>
        <v>#N/A</v>
      </c>
      <c r="L35" t="e">
        <f>IF(INDEX(DATOS3!$1:$19397,A35,MATCH("Total_Acquisition_Time",DATOS3!$1:$1,0))=0,0,INDEX(DATOS3!$1:$19397,A35,MATCH("Total_Acquisition_Time",DATOS3!$1:$1,0)))</f>
        <v>#N/A</v>
      </c>
    </row>
    <row r="36" spans="1:12" x14ac:dyDescent="0.25">
      <c r="A36">
        <v>36</v>
      </c>
      <c r="B36" t="e">
        <f t="shared" si="0"/>
        <v>#N/A</v>
      </c>
      <c r="D36" t="e">
        <f>IF(INDEX(DATOS3!$1:$19397,A36,MATCH("PatientID",DATOS3!$1:$1,0))=0,"",INDEX(DATOS3!$1:$19397,A36,MATCH("PatientID",DATOS3!$1:$1,0)))</f>
        <v>#N/A</v>
      </c>
      <c r="F36" t="e">
        <f>IF(INDEX(DATOS3!$1:$19397,A36,MATCH("SeriesDate",DATOS3!$1:$1,0))=0,"",INDEX(DATOS3!$1:$19397,A36,MATCH("SeriesDate",DATOS3!$1:$1,0)))</f>
        <v>#N/A</v>
      </c>
      <c r="G36" t="e">
        <f>IF(INDEX(DATOS3!$1:$19397,A36,MATCH("SeriesTime",DATOS3!$1:$1,0))=0,"",INDEX(DATOS3!$1:$19397,A36,MATCH("SeriesTime",DATOS3!$1:$1,0)))</f>
        <v>#N/A</v>
      </c>
      <c r="H36" t="e">
        <f>IF(INDEX(DATOS3!$1:$19397,A36,MATCH("StudyDescription",DATOS3!$1:$1,0))=0,"",INDEX(DATOS3!$1:$19397,A36,MATCH("StudyDescription",DATOS3!$1:$1,0)))</f>
        <v>#N/A</v>
      </c>
      <c r="I36" t="e">
        <f>IF(INDEX(DATOS3!$1:$19397,A36,MATCH("Dose_Area_Product_Total",DATOS3!$1:$1,0))=0,0,INDEX(DATOS3!$1:$19397,A36,MATCH("Dose_Area_Product_Total",DATOS3!$1:$1,0)))</f>
        <v>#N/A</v>
      </c>
      <c r="J36" t="e">
        <f>IF(INDEX(DATOS3!$1:$19397,A36,MATCH("Dose_RP_Total",DATOS3!$1:$1,0))=0,0,INDEX(DATOS3!$1:$19397,A36,MATCH("Dose_RP_Total",DATOS3!$1:$1,0)))</f>
        <v>#N/A</v>
      </c>
      <c r="K36" t="e">
        <f>IF(INDEX(DATOS3!$1:$19397,A36,MATCH("Total_Fluoro_Time",DATOS3!$1:$1,0))=0,0,INDEX(DATOS3!$1:$19397,A36,MATCH("Total_Fluoro_Time",DATOS3!$1:$1,0)))</f>
        <v>#N/A</v>
      </c>
      <c r="L36" t="e">
        <f>IF(INDEX(DATOS3!$1:$19397,A36,MATCH("Total_Acquisition_Time",DATOS3!$1:$1,0))=0,0,INDEX(DATOS3!$1:$19397,A36,MATCH("Total_Acquisition_Time",DATOS3!$1:$1,0)))</f>
        <v>#N/A</v>
      </c>
    </row>
    <row r="37" spans="1:12" x14ac:dyDescent="0.25">
      <c r="A37">
        <v>37</v>
      </c>
      <c r="B37" t="e">
        <f t="shared" si="0"/>
        <v>#N/A</v>
      </c>
      <c r="D37" t="e">
        <f>IF(INDEX(DATOS3!$1:$19397,A37,MATCH("PatientID",DATOS3!$1:$1,0))=0,"",INDEX(DATOS3!$1:$19397,A37,MATCH("PatientID",DATOS3!$1:$1,0)))</f>
        <v>#N/A</v>
      </c>
      <c r="F37" t="e">
        <f>IF(INDEX(DATOS3!$1:$19397,A37,MATCH("SeriesDate",DATOS3!$1:$1,0))=0,"",INDEX(DATOS3!$1:$19397,A37,MATCH("SeriesDate",DATOS3!$1:$1,0)))</f>
        <v>#N/A</v>
      </c>
      <c r="G37" t="e">
        <f>IF(INDEX(DATOS3!$1:$19397,A37,MATCH("SeriesTime",DATOS3!$1:$1,0))=0,"",INDEX(DATOS3!$1:$19397,A37,MATCH("SeriesTime",DATOS3!$1:$1,0)))</f>
        <v>#N/A</v>
      </c>
      <c r="H37" t="e">
        <f>IF(INDEX(DATOS3!$1:$19397,A37,MATCH("StudyDescription",DATOS3!$1:$1,0))=0,"",INDEX(DATOS3!$1:$19397,A37,MATCH("StudyDescription",DATOS3!$1:$1,0)))</f>
        <v>#N/A</v>
      </c>
      <c r="I37" t="e">
        <f>IF(INDEX(DATOS3!$1:$19397,A37,MATCH("Dose_Area_Product_Total",DATOS3!$1:$1,0))=0,0,INDEX(DATOS3!$1:$19397,A37,MATCH("Dose_Area_Product_Total",DATOS3!$1:$1,0)))</f>
        <v>#N/A</v>
      </c>
      <c r="J37" t="e">
        <f>IF(INDEX(DATOS3!$1:$19397,A37,MATCH("Dose_RP_Total",DATOS3!$1:$1,0))=0,0,INDEX(DATOS3!$1:$19397,A37,MATCH("Dose_RP_Total",DATOS3!$1:$1,0)))</f>
        <v>#N/A</v>
      </c>
      <c r="K37" t="e">
        <f>IF(INDEX(DATOS3!$1:$19397,A37,MATCH("Total_Fluoro_Time",DATOS3!$1:$1,0))=0,0,INDEX(DATOS3!$1:$19397,A37,MATCH("Total_Fluoro_Time",DATOS3!$1:$1,0)))</f>
        <v>#N/A</v>
      </c>
      <c r="L37" t="e">
        <f>IF(INDEX(DATOS3!$1:$19397,A37,MATCH("Total_Acquisition_Time",DATOS3!$1:$1,0))=0,0,INDEX(DATOS3!$1:$19397,A37,MATCH("Total_Acquisition_Time",DATOS3!$1:$1,0)))</f>
        <v>#N/A</v>
      </c>
    </row>
    <row r="38" spans="1:12" x14ac:dyDescent="0.25">
      <c r="A38">
        <v>38</v>
      </c>
      <c r="B38" t="e">
        <f t="shared" si="0"/>
        <v>#N/A</v>
      </c>
      <c r="D38" t="e">
        <f>IF(INDEX(DATOS3!$1:$19397,A38,MATCH("PatientID",DATOS3!$1:$1,0))=0,"",INDEX(DATOS3!$1:$19397,A38,MATCH("PatientID",DATOS3!$1:$1,0)))</f>
        <v>#N/A</v>
      </c>
      <c r="F38" t="e">
        <f>IF(INDEX(DATOS3!$1:$19397,A38,MATCH("SeriesDate",DATOS3!$1:$1,0))=0,"",INDEX(DATOS3!$1:$19397,A38,MATCH("SeriesDate",DATOS3!$1:$1,0)))</f>
        <v>#N/A</v>
      </c>
      <c r="G38" t="e">
        <f>IF(INDEX(DATOS3!$1:$19397,A38,MATCH("SeriesTime",DATOS3!$1:$1,0))=0,"",INDEX(DATOS3!$1:$19397,A38,MATCH("SeriesTime",DATOS3!$1:$1,0)))</f>
        <v>#N/A</v>
      </c>
      <c r="H38" t="e">
        <f>IF(INDEX(DATOS3!$1:$19397,A38,MATCH("StudyDescription",DATOS3!$1:$1,0))=0,"",INDEX(DATOS3!$1:$19397,A38,MATCH("StudyDescription",DATOS3!$1:$1,0)))</f>
        <v>#N/A</v>
      </c>
      <c r="I38" t="e">
        <f>IF(INDEX(DATOS3!$1:$19397,A38,MATCH("Dose_Area_Product_Total",DATOS3!$1:$1,0))=0,0,INDEX(DATOS3!$1:$19397,A38,MATCH("Dose_Area_Product_Total",DATOS3!$1:$1,0)))</f>
        <v>#N/A</v>
      </c>
      <c r="J38" t="e">
        <f>IF(INDEX(DATOS3!$1:$19397,A38,MATCH("Dose_RP_Total",DATOS3!$1:$1,0))=0,0,INDEX(DATOS3!$1:$19397,A38,MATCH("Dose_RP_Total",DATOS3!$1:$1,0)))</f>
        <v>#N/A</v>
      </c>
      <c r="K38" t="e">
        <f>IF(INDEX(DATOS3!$1:$19397,A38,MATCH("Total_Fluoro_Time",DATOS3!$1:$1,0))=0,0,INDEX(DATOS3!$1:$19397,A38,MATCH("Total_Fluoro_Time",DATOS3!$1:$1,0)))</f>
        <v>#N/A</v>
      </c>
      <c r="L38" t="e">
        <f>IF(INDEX(DATOS3!$1:$19397,A38,MATCH("Total_Acquisition_Time",DATOS3!$1:$1,0))=0,0,INDEX(DATOS3!$1:$19397,A38,MATCH("Total_Acquisition_Time",DATOS3!$1:$1,0)))</f>
        <v>#N/A</v>
      </c>
    </row>
    <row r="39" spans="1:12" x14ac:dyDescent="0.25">
      <c r="A39">
        <v>39</v>
      </c>
      <c r="B39" t="e">
        <f t="shared" si="0"/>
        <v>#N/A</v>
      </c>
      <c r="D39" t="e">
        <f>IF(INDEX(DATOS3!$1:$19397,A39,MATCH("PatientID",DATOS3!$1:$1,0))=0,"",INDEX(DATOS3!$1:$19397,A39,MATCH("PatientID",DATOS3!$1:$1,0)))</f>
        <v>#N/A</v>
      </c>
      <c r="F39" t="e">
        <f>IF(INDEX(DATOS3!$1:$19397,A39,MATCH("SeriesDate",DATOS3!$1:$1,0))=0,"",INDEX(DATOS3!$1:$19397,A39,MATCH("SeriesDate",DATOS3!$1:$1,0)))</f>
        <v>#N/A</v>
      </c>
      <c r="G39" t="e">
        <f>IF(INDEX(DATOS3!$1:$19397,A39,MATCH("SeriesTime",DATOS3!$1:$1,0))=0,"",INDEX(DATOS3!$1:$19397,A39,MATCH("SeriesTime",DATOS3!$1:$1,0)))</f>
        <v>#N/A</v>
      </c>
      <c r="H39" t="e">
        <f>IF(INDEX(DATOS3!$1:$19397,A39,MATCH("StudyDescription",DATOS3!$1:$1,0))=0,"",INDEX(DATOS3!$1:$19397,A39,MATCH("StudyDescription",DATOS3!$1:$1,0)))</f>
        <v>#N/A</v>
      </c>
      <c r="I39" t="e">
        <f>IF(INDEX(DATOS3!$1:$19397,A39,MATCH("Dose_Area_Product_Total",DATOS3!$1:$1,0))=0,0,INDEX(DATOS3!$1:$19397,A39,MATCH("Dose_Area_Product_Total",DATOS3!$1:$1,0)))</f>
        <v>#N/A</v>
      </c>
      <c r="J39" t="e">
        <f>IF(INDEX(DATOS3!$1:$19397,A39,MATCH("Dose_RP_Total",DATOS3!$1:$1,0))=0,0,INDEX(DATOS3!$1:$19397,A39,MATCH("Dose_RP_Total",DATOS3!$1:$1,0)))</f>
        <v>#N/A</v>
      </c>
      <c r="K39" t="e">
        <f>IF(INDEX(DATOS3!$1:$19397,A39,MATCH("Total_Fluoro_Time",DATOS3!$1:$1,0))=0,0,INDEX(DATOS3!$1:$19397,A39,MATCH("Total_Fluoro_Time",DATOS3!$1:$1,0)))</f>
        <v>#N/A</v>
      </c>
      <c r="L39" t="e">
        <f>IF(INDEX(DATOS3!$1:$19397,A39,MATCH("Total_Acquisition_Time",DATOS3!$1:$1,0))=0,0,INDEX(DATOS3!$1:$19397,A39,MATCH("Total_Acquisition_Time",DATOS3!$1:$1,0)))</f>
        <v>#N/A</v>
      </c>
    </row>
    <row r="40" spans="1:12" x14ac:dyDescent="0.25">
      <c r="A40">
        <v>40</v>
      </c>
      <c r="B40" t="e">
        <f t="shared" si="0"/>
        <v>#N/A</v>
      </c>
      <c r="D40" t="e">
        <f>IF(INDEX(DATOS3!$1:$19397,A40,MATCH("PatientID",DATOS3!$1:$1,0))=0,"",INDEX(DATOS3!$1:$19397,A40,MATCH("PatientID",DATOS3!$1:$1,0)))</f>
        <v>#N/A</v>
      </c>
      <c r="F40" t="e">
        <f>IF(INDEX(DATOS3!$1:$19397,A40,MATCH("SeriesDate",DATOS3!$1:$1,0))=0,"",INDEX(DATOS3!$1:$19397,A40,MATCH("SeriesDate",DATOS3!$1:$1,0)))</f>
        <v>#N/A</v>
      </c>
      <c r="G40" t="e">
        <f>IF(INDEX(DATOS3!$1:$19397,A40,MATCH("SeriesTime",DATOS3!$1:$1,0))=0,"",INDEX(DATOS3!$1:$19397,A40,MATCH("SeriesTime",DATOS3!$1:$1,0)))</f>
        <v>#N/A</v>
      </c>
      <c r="H40" t="e">
        <f>IF(INDEX(DATOS3!$1:$19397,A40,MATCH("StudyDescription",DATOS3!$1:$1,0))=0,"",INDEX(DATOS3!$1:$19397,A40,MATCH("StudyDescription",DATOS3!$1:$1,0)))</f>
        <v>#N/A</v>
      </c>
      <c r="I40" t="e">
        <f>IF(INDEX(DATOS3!$1:$19397,A40,MATCH("Dose_Area_Product_Total",DATOS3!$1:$1,0))=0,0,INDEX(DATOS3!$1:$19397,A40,MATCH("Dose_Area_Product_Total",DATOS3!$1:$1,0)))</f>
        <v>#N/A</v>
      </c>
      <c r="J40" t="e">
        <f>IF(INDEX(DATOS3!$1:$19397,A40,MATCH("Dose_RP_Total",DATOS3!$1:$1,0))=0,0,INDEX(DATOS3!$1:$19397,A40,MATCH("Dose_RP_Total",DATOS3!$1:$1,0)))</f>
        <v>#N/A</v>
      </c>
      <c r="K40" t="e">
        <f>IF(INDEX(DATOS3!$1:$19397,A40,MATCH("Total_Fluoro_Time",DATOS3!$1:$1,0))=0,0,INDEX(DATOS3!$1:$19397,A40,MATCH("Total_Fluoro_Time",DATOS3!$1:$1,0)))</f>
        <v>#N/A</v>
      </c>
      <c r="L40" t="e">
        <f>IF(INDEX(DATOS3!$1:$19397,A40,MATCH("Total_Acquisition_Time",DATOS3!$1:$1,0))=0,0,INDEX(DATOS3!$1:$19397,A40,MATCH("Total_Acquisition_Time",DATOS3!$1:$1,0)))</f>
        <v>#N/A</v>
      </c>
    </row>
    <row r="41" spans="1:12" x14ac:dyDescent="0.25">
      <c r="A41">
        <v>41</v>
      </c>
      <c r="B41" t="e">
        <f t="shared" si="0"/>
        <v>#N/A</v>
      </c>
      <c r="D41" t="e">
        <f>IF(INDEX(DATOS3!$1:$19397,A41,MATCH("PatientID",DATOS3!$1:$1,0))=0,"",INDEX(DATOS3!$1:$19397,A41,MATCH("PatientID",DATOS3!$1:$1,0)))</f>
        <v>#N/A</v>
      </c>
      <c r="F41" t="e">
        <f>IF(INDEX(DATOS3!$1:$19397,A41,MATCH("SeriesDate",DATOS3!$1:$1,0))=0,"",INDEX(DATOS3!$1:$19397,A41,MATCH("SeriesDate",DATOS3!$1:$1,0)))</f>
        <v>#N/A</v>
      </c>
      <c r="G41" t="e">
        <f>IF(INDEX(DATOS3!$1:$19397,A41,MATCH("SeriesTime",DATOS3!$1:$1,0))=0,"",INDEX(DATOS3!$1:$19397,A41,MATCH("SeriesTime",DATOS3!$1:$1,0)))</f>
        <v>#N/A</v>
      </c>
      <c r="H41" t="e">
        <f>IF(INDEX(DATOS3!$1:$19397,A41,MATCH("StudyDescription",DATOS3!$1:$1,0))=0,"",INDEX(DATOS3!$1:$19397,A41,MATCH("StudyDescription",DATOS3!$1:$1,0)))</f>
        <v>#N/A</v>
      </c>
      <c r="I41" t="e">
        <f>IF(INDEX(DATOS3!$1:$19397,A41,MATCH("Dose_Area_Product_Total",DATOS3!$1:$1,0))=0,0,INDEX(DATOS3!$1:$19397,A41,MATCH("Dose_Area_Product_Total",DATOS3!$1:$1,0)))</f>
        <v>#N/A</v>
      </c>
      <c r="J41" t="e">
        <f>IF(INDEX(DATOS3!$1:$19397,A41,MATCH("Dose_RP_Total",DATOS3!$1:$1,0))=0,0,INDEX(DATOS3!$1:$19397,A41,MATCH("Dose_RP_Total",DATOS3!$1:$1,0)))</f>
        <v>#N/A</v>
      </c>
      <c r="K41" t="e">
        <f>IF(INDEX(DATOS3!$1:$19397,A41,MATCH("Total_Fluoro_Time",DATOS3!$1:$1,0))=0,0,INDEX(DATOS3!$1:$19397,A41,MATCH("Total_Fluoro_Time",DATOS3!$1:$1,0)))</f>
        <v>#N/A</v>
      </c>
      <c r="L41" t="e">
        <f>IF(INDEX(DATOS3!$1:$19397,A41,MATCH("Total_Acquisition_Time",DATOS3!$1:$1,0))=0,0,INDEX(DATOS3!$1:$19397,A41,MATCH("Total_Acquisition_Time",DATOS3!$1:$1,0)))</f>
        <v>#N/A</v>
      </c>
    </row>
    <row r="42" spans="1:12" x14ac:dyDescent="0.25">
      <c r="A42">
        <v>42</v>
      </c>
      <c r="B42" t="e">
        <f t="shared" si="0"/>
        <v>#N/A</v>
      </c>
      <c r="D42" t="e">
        <f>IF(INDEX(DATOS3!$1:$19397,A42,MATCH("PatientID",DATOS3!$1:$1,0))=0,"",INDEX(DATOS3!$1:$19397,A42,MATCH("PatientID",DATOS3!$1:$1,0)))</f>
        <v>#N/A</v>
      </c>
      <c r="F42" t="e">
        <f>IF(INDEX(DATOS3!$1:$19397,A42,MATCH("SeriesDate",DATOS3!$1:$1,0))=0,"",INDEX(DATOS3!$1:$19397,A42,MATCH("SeriesDate",DATOS3!$1:$1,0)))</f>
        <v>#N/A</v>
      </c>
      <c r="G42" t="e">
        <f>IF(INDEX(DATOS3!$1:$19397,A42,MATCH("SeriesTime",DATOS3!$1:$1,0))=0,"",INDEX(DATOS3!$1:$19397,A42,MATCH("SeriesTime",DATOS3!$1:$1,0)))</f>
        <v>#N/A</v>
      </c>
      <c r="H42" t="e">
        <f>IF(INDEX(DATOS3!$1:$19397,A42,MATCH("StudyDescription",DATOS3!$1:$1,0))=0,"",INDEX(DATOS3!$1:$19397,A42,MATCH("StudyDescription",DATOS3!$1:$1,0)))</f>
        <v>#N/A</v>
      </c>
      <c r="I42" t="e">
        <f>IF(INDEX(DATOS3!$1:$19397,A42,MATCH("Dose_Area_Product_Total",DATOS3!$1:$1,0))=0,0,INDEX(DATOS3!$1:$19397,A42,MATCH("Dose_Area_Product_Total",DATOS3!$1:$1,0)))</f>
        <v>#N/A</v>
      </c>
      <c r="J42" t="e">
        <f>IF(INDEX(DATOS3!$1:$19397,A42,MATCH("Dose_RP_Total",DATOS3!$1:$1,0))=0,0,INDEX(DATOS3!$1:$19397,A42,MATCH("Dose_RP_Total",DATOS3!$1:$1,0)))</f>
        <v>#N/A</v>
      </c>
      <c r="K42" t="e">
        <f>IF(INDEX(DATOS3!$1:$19397,A42,MATCH("Total_Fluoro_Time",DATOS3!$1:$1,0))=0,0,INDEX(DATOS3!$1:$19397,A42,MATCH("Total_Fluoro_Time",DATOS3!$1:$1,0)))</f>
        <v>#N/A</v>
      </c>
      <c r="L42" t="e">
        <f>IF(INDEX(DATOS3!$1:$19397,A42,MATCH("Total_Acquisition_Time",DATOS3!$1:$1,0))=0,0,INDEX(DATOS3!$1:$19397,A42,MATCH("Total_Acquisition_Time",DATOS3!$1:$1,0)))</f>
        <v>#N/A</v>
      </c>
    </row>
    <row r="43" spans="1:12" x14ac:dyDescent="0.25">
      <c r="A43">
        <v>43</v>
      </c>
      <c r="B43" t="e">
        <f t="shared" si="0"/>
        <v>#N/A</v>
      </c>
      <c r="D43" t="e">
        <f>IF(INDEX(DATOS3!$1:$19397,A43,MATCH("PatientID",DATOS3!$1:$1,0))=0,"",INDEX(DATOS3!$1:$19397,A43,MATCH("PatientID",DATOS3!$1:$1,0)))</f>
        <v>#N/A</v>
      </c>
      <c r="F43" t="e">
        <f>IF(INDEX(DATOS3!$1:$19397,A43,MATCH("SeriesDate",DATOS3!$1:$1,0))=0,"",INDEX(DATOS3!$1:$19397,A43,MATCH("SeriesDate",DATOS3!$1:$1,0)))</f>
        <v>#N/A</v>
      </c>
      <c r="G43" t="e">
        <f>IF(INDEX(DATOS3!$1:$19397,A43,MATCH("SeriesTime",DATOS3!$1:$1,0))=0,"",INDEX(DATOS3!$1:$19397,A43,MATCH("SeriesTime",DATOS3!$1:$1,0)))</f>
        <v>#N/A</v>
      </c>
      <c r="H43" t="e">
        <f>IF(INDEX(DATOS3!$1:$19397,A43,MATCH("StudyDescription",DATOS3!$1:$1,0))=0,"",INDEX(DATOS3!$1:$19397,A43,MATCH("StudyDescription",DATOS3!$1:$1,0)))</f>
        <v>#N/A</v>
      </c>
      <c r="I43" t="e">
        <f>IF(INDEX(DATOS3!$1:$19397,A43,MATCH("Dose_Area_Product_Total",DATOS3!$1:$1,0))=0,0,INDEX(DATOS3!$1:$19397,A43,MATCH("Dose_Area_Product_Total",DATOS3!$1:$1,0)))</f>
        <v>#N/A</v>
      </c>
      <c r="J43" t="e">
        <f>IF(INDEX(DATOS3!$1:$19397,A43,MATCH("Dose_RP_Total",DATOS3!$1:$1,0))=0,0,INDEX(DATOS3!$1:$19397,A43,MATCH("Dose_RP_Total",DATOS3!$1:$1,0)))</f>
        <v>#N/A</v>
      </c>
      <c r="K43" t="e">
        <f>IF(INDEX(DATOS3!$1:$19397,A43,MATCH("Total_Fluoro_Time",DATOS3!$1:$1,0))=0,0,INDEX(DATOS3!$1:$19397,A43,MATCH("Total_Fluoro_Time",DATOS3!$1:$1,0)))</f>
        <v>#N/A</v>
      </c>
      <c r="L43" t="e">
        <f>IF(INDEX(DATOS3!$1:$19397,A43,MATCH("Total_Acquisition_Time",DATOS3!$1:$1,0))=0,0,INDEX(DATOS3!$1:$19397,A43,MATCH("Total_Acquisition_Time",DATOS3!$1:$1,0)))</f>
        <v>#N/A</v>
      </c>
    </row>
    <row r="44" spans="1:12" x14ac:dyDescent="0.25">
      <c r="A44">
        <v>44</v>
      </c>
      <c r="B44" t="e">
        <f t="shared" si="0"/>
        <v>#N/A</v>
      </c>
      <c r="D44" t="e">
        <f>IF(INDEX(DATOS3!$1:$19397,A44,MATCH("PatientID",DATOS3!$1:$1,0))=0,"",INDEX(DATOS3!$1:$19397,A44,MATCH("PatientID",DATOS3!$1:$1,0)))</f>
        <v>#N/A</v>
      </c>
      <c r="F44" t="e">
        <f>IF(INDEX(DATOS3!$1:$19397,A44,MATCH("SeriesDate",DATOS3!$1:$1,0))=0,"",INDEX(DATOS3!$1:$19397,A44,MATCH("SeriesDate",DATOS3!$1:$1,0)))</f>
        <v>#N/A</v>
      </c>
      <c r="G44" t="e">
        <f>IF(INDEX(DATOS3!$1:$19397,A44,MATCH("SeriesTime",DATOS3!$1:$1,0))=0,"",INDEX(DATOS3!$1:$19397,A44,MATCH("SeriesTime",DATOS3!$1:$1,0)))</f>
        <v>#N/A</v>
      </c>
      <c r="H44" t="e">
        <f>IF(INDEX(DATOS3!$1:$19397,A44,MATCH("StudyDescription",DATOS3!$1:$1,0))=0,"",INDEX(DATOS3!$1:$19397,A44,MATCH("StudyDescription",DATOS3!$1:$1,0)))</f>
        <v>#N/A</v>
      </c>
      <c r="I44" t="e">
        <f>IF(INDEX(DATOS3!$1:$19397,A44,MATCH("Dose_Area_Product_Total",DATOS3!$1:$1,0))=0,0,INDEX(DATOS3!$1:$19397,A44,MATCH("Dose_Area_Product_Total",DATOS3!$1:$1,0)))</f>
        <v>#N/A</v>
      </c>
      <c r="J44" t="e">
        <f>IF(INDEX(DATOS3!$1:$19397,A44,MATCH("Dose_RP_Total",DATOS3!$1:$1,0))=0,0,INDEX(DATOS3!$1:$19397,A44,MATCH("Dose_RP_Total",DATOS3!$1:$1,0)))</f>
        <v>#N/A</v>
      </c>
      <c r="K44" t="e">
        <f>IF(INDEX(DATOS3!$1:$19397,A44,MATCH("Total_Fluoro_Time",DATOS3!$1:$1,0))=0,0,INDEX(DATOS3!$1:$19397,A44,MATCH("Total_Fluoro_Time",DATOS3!$1:$1,0)))</f>
        <v>#N/A</v>
      </c>
      <c r="L44" t="e">
        <f>IF(INDEX(DATOS3!$1:$19397,A44,MATCH("Total_Acquisition_Time",DATOS3!$1:$1,0))=0,0,INDEX(DATOS3!$1:$19397,A44,MATCH("Total_Acquisition_Time",DATOS3!$1:$1,0)))</f>
        <v>#N/A</v>
      </c>
    </row>
    <row r="45" spans="1:12" x14ac:dyDescent="0.25">
      <c r="A45">
        <v>45</v>
      </c>
      <c r="B45" t="e">
        <f t="shared" si="0"/>
        <v>#N/A</v>
      </c>
      <c r="D45" t="e">
        <f>IF(INDEX(DATOS3!$1:$19397,A45,MATCH("PatientID",DATOS3!$1:$1,0))=0,"",INDEX(DATOS3!$1:$19397,A45,MATCH("PatientID",DATOS3!$1:$1,0)))</f>
        <v>#N/A</v>
      </c>
      <c r="F45" t="e">
        <f>IF(INDEX(DATOS3!$1:$19397,A45,MATCH("SeriesDate",DATOS3!$1:$1,0))=0,"",INDEX(DATOS3!$1:$19397,A45,MATCH("SeriesDate",DATOS3!$1:$1,0)))</f>
        <v>#N/A</v>
      </c>
      <c r="G45" t="e">
        <f>IF(INDEX(DATOS3!$1:$19397,A45,MATCH("SeriesTime",DATOS3!$1:$1,0))=0,"",INDEX(DATOS3!$1:$19397,A45,MATCH("SeriesTime",DATOS3!$1:$1,0)))</f>
        <v>#N/A</v>
      </c>
      <c r="H45" t="e">
        <f>IF(INDEX(DATOS3!$1:$19397,A45,MATCH("StudyDescription",DATOS3!$1:$1,0))=0,"",INDEX(DATOS3!$1:$19397,A45,MATCH("StudyDescription",DATOS3!$1:$1,0)))</f>
        <v>#N/A</v>
      </c>
      <c r="I45" t="e">
        <f>IF(INDEX(DATOS3!$1:$19397,A45,MATCH("Dose_Area_Product_Total",DATOS3!$1:$1,0))=0,0,INDEX(DATOS3!$1:$19397,A45,MATCH("Dose_Area_Product_Total",DATOS3!$1:$1,0)))</f>
        <v>#N/A</v>
      </c>
      <c r="J45" t="e">
        <f>IF(INDEX(DATOS3!$1:$19397,A45,MATCH("Dose_RP_Total",DATOS3!$1:$1,0))=0,0,INDEX(DATOS3!$1:$19397,A45,MATCH("Dose_RP_Total",DATOS3!$1:$1,0)))</f>
        <v>#N/A</v>
      </c>
      <c r="K45" t="e">
        <f>IF(INDEX(DATOS3!$1:$19397,A45,MATCH("Total_Fluoro_Time",DATOS3!$1:$1,0))=0,0,INDEX(DATOS3!$1:$19397,A45,MATCH("Total_Fluoro_Time",DATOS3!$1:$1,0)))</f>
        <v>#N/A</v>
      </c>
      <c r="L45" t="e">
        <f>IF(INDEX(DATOS3!$1:$19397,A45,MATCH("Total_Acquisition_Time",DATOS3!$1:$1,0))=0,0,INDEX(DATOS3!$1:$19397,A45,MATCH("Total_Acquisition_Time",DATOS3!$1:$1,0)))</f>
        <v>#N/A</v>
      </c>
    </row>
    <row r="46" spans="1:12" x14ac:dyDescent="0.25">
      <c r="A46">
        <v>46</v>
      </c>
      <c r="B46" t="e">
        <f t="shared" si="0"/>
        <v>#N/A</v>
      </c>
      <c r="D46" t="e">
        <f>IF(INDEX(DATOS3!$1:$19397,A46,MATCH("PatientID",DATOS3!$1:$1,0))=0,"",INDEX(DATOS3!$1:$19397,A46,MATCH("PatientID",DATOS3!$1:$1,0)))</f>
        <v>#N/A</v>
      </c>
      <c r="F46" t="e">
        <f>IF(INDEX(DATOS3!$1:$19397,A46,MATCH("SeriesDate",DATOS3!$1:$1,0))=0,"",INDEX(DATOS3!$1:$19397,A46,MATCH("SeriesDate",DATOS3!$1:$1,0)))</f>
        <v>#N/A</v>
      </c>
      <c r="G46" t="e">
        <f>IF(INDEX(DATOS3!$1:$19397,A46,MATCH("SeriesTime",DATOS3!$1:$1,0))=0,"",INDEX(DATOS3!$1:$19397,A46,MATCH("SeriesTime",DATOS3!$1:$1,0)))</f>
        <v>#N/A</v>
      </c>
      <c r="H46" t="e">
        <f>IF(INDEX(DATOS3!$1:$19397,A46,MATCH("StudyDescription",DATOS3!$1:$1,0))=0,"",INDEX(DATOS3!$1:$19397,A46,MATCH("StudyDescription",DATOS3!$1:$1,0)))</f>
        <v>#N/A</v>
      </c>
      <c r="I46" t="e">
        <f>IF(INDEX(DATOS3!$1:$19397,A46,MATCH("Dose_Area_Product_Total",DATOS3!$1:$1,0))=0,0,INDEX(DATOS3!$1:$19397,A46,MATCH("Dose_Area_Product_Total",DATOS3!$1:$1,0)))</f>
        <v>#N/A</v>
      </c>
      <c r="J46" t="e">
        <f>IF(INDEX(DATOS3!$1:$19397,A46,MATCH("Dose_RP_Total",DATOS3!$1:$1,0))=0,0,INDEX(DATOS3!$1:$19397,A46,MATCH("Dose_RP_Total",DATOS3!$1:$1,0)))</f>
        <v>#N/A</v>
      </c>
      <c r="K46" t="e">
        <f>IF(INDEX(DATOS3!$1:$19397,A46,MATCH("Total_Fluoro_Time",DATOS3!$1:$1,0))=0,0,INDEX(DATOS3!$1:$19397,A46,MATCH("Total_Fluoro_Time",DATOS3!$1:$1,0)))</f>
        <v>#N/A</v>
      </c>
      <c r="L46" t="e">
        <f>IF(INDEX(DATOS3!$1:$19397,A46,MATCH("Total_Acquisition_Time",DATOS3!$1:$1,0))=0,0,INDEX(DATOS3!$1:$19397,A46,MATCH("Total_Acquisition_Time",DATOS3!$1:$1,0)))</f>
        <v>#N/A</v>
      </c>
    </row>
    <row r="47" spans="1:12" x14ac:dyDescent="0.25">
      <c r="A47">
        <v>47</v>
      </c>
      <c r="B47" t="e">
        <f t="shared" si="0"/>
        <v>#N/A</v>
      </c>
      <c r="D47" t="e">
        <f>IF(INDEX(DATOS3!$1:$19397,A47,MATCH("PatientID",DATOS3!$1:$1,0))=0,"",INDEX(DATOS3!$1:$19397,A47,MATCH("PatientID",DATOS3!$1:$1,0)))</f>
        <v>#N/A</v>
      </c>
      <c r="F47" t="e">
        <f>IF(INDEX(DATOS3!$1:$19397,A47,MATCH("SeriesDate",DATOS3!$1:$1,0))=0,"",INDEX(DATOS3!$1:$19397,A47,MATCH("SeriesDate",DATOS3!$1:$1,0)))</f>
        <v>#N/A</v>
      </c>
      <c r="G47" t="e">
        <f>IF(INDEX(DATOS3!$1:$19397,A47,MATCH("SeriesTime",DATOS3!$1:$1,0))=0,"",INDEX(DATOS3!$1:$19397,A47,MATCH("SeriesTime",DATOS3!$1:$1,0)))</f>
        <v>#N/A</v>
      </c>
      <c r="H47" t="e">
        <f>IF(INDEX(DATOS3!$1:$19397,A47,MATCH("StudyDescription",DATOS3!$1:$1,0))=0,"",INDEX(DATOS3!$1:$19397,A47,MATCH("StudyDescription",DATOS3!$1:$1,0)))</f>
        <v>#N/A</v>
      </c>
      <c r="I47" t="e">
        <f>IF(INDEX(DATOS3!$1:$19397,A47,MATCH("Dose_Area_Product_Total",DATOS3!$1:$1,0))=0,0,INDEX(DATOS3!$1:$19397,A47,MATCH("Dose_Area_Product_Total",DATOS3!$1:$1,0)))</f>
        <v>#N/A</v>
      </c>
      <c r="J47" t="e">
        <f>IF(INDEX(DATOS3!$1:$19397,A47,MATCH("Dose_RP_Total",DATOS3!$1:$1,0))=0,0,INDEX(DATOS3!$1:$19397,A47,MATCH("Dose_RP_Total",DATOS3!$1:$1,0)))</f>
        <v>#N/A</v>
      </c>
      <c r="K47" t="e">
        <f>IF(INDEX(DATOS3!$1:$19397,A47,MATCH("Total_Fluoro_Time",DATOS3!$1:$1,0))=0,0,INDEX(DATOS3!$1:$19397,A47,MATCH("Total_Fluoro_Time",DATOS3!$1:$1,0)))</f>
        <v>#N/A</v>
      </c>
      <c r="L47" t="e">
        <f>IF(INDEX(DATOS3!$1:$19397,A47,MATCH("Total_Acquisition_Time",DATOS3!$1:$1,0))=0,0,INDEX(DATOS3!$1:$19397,A47,MATCH("Total_Acquisition_Time",DATOS3!$1:$1,0)))</f>
        <v>#N/A</v>
      </c>
    </row>
    <row r="48" spans="1:12" x14ac:dyDescent="0.25">
      <c r="A48">
        <v>48</v>
      </c>
      <c r="B48" t="e">
        <f t="shared" si="0"/>
        <v>#N/A</v>
      </c>
      <c r="D48" t="e">
        <f>IF(INDEX(DATOS3!$1:$19397,A48,MATCH("PatientID",DATOS3!$1:$1,0))=0,"",INDEX(DATOS3!$1:$19397,A48,MATCH("PatientID",DATOS3!$1:$1,0)))</f>
        <v>#N/A</v>
      </c>
      <c r="F48" t="e">
        <f>IF(INDEX(DATOS3!$1:$19397,A48,MATCH("SeriesDate",DATOS3!$1:$1,0))=0,"",INDEX(DATOS3!$1:$19397,A48,MATCH("SeriesDate",DATOS3!$1:$1,0)))</f>
        <v>#N/A</v>
      </c>
      <c r="G48" t="e">
        <f>IF(INDEX(DATOS3!$1:$19397,A48,MATCH("SeriesTime",DATOS3!$1:$1,0))=0,"",INDEX(DATOS3!$1:$19397,A48,MATCH("SeriesTime",DATOS3!$1:$1,0)))</f>
        <v>#N/A</v>
      </c>
      <c r="H48" t="e">
        <f>IF(INDEX(DATOS3!$1:$19397,A48,MATCH("StudyDescription",DATOS3!$1:$1,0))=0,"",INDEX(DATOS3!$1:$19397,A48,MATCH("StudyDescription",DATOS3!$1:$1,0)))</f>
        <v>#N/A</v>
      </c>
      <c r="I48" t="e">
        <f>IF(INDEX(DATOS3!$1:$19397,A48,MATCH("Dose_Area_Product_Total",DATOS3!$1:$1,0))=0,0,INDEX(DATOS3!$1:$19397,A48,MATCH("Dose_Area_Product_Total",DATOS3!$1:$1,0)))</f>
        <v>#N/A</v>
      </c>
      <c r="J48" t="e">
        <f>IF(INDEX(DATOS3!$1:$19397,A48,MATCH("Dose_RP_Total",DATOS3!$1:$1,0))=0,0,INDEX(DATOS3!$1:$19397,A48,MATCH("Dose_RP_Total",DATOS3!$1:$1,0)))</f>
        <v>#N/A</v>
      </c>
      <c r="K48" t="e">
        <f>IF(INDEX(DATOS3!$1:$19397,A48,MATCH("Total_Fluoro_Time",DATOS3!$1:$1,0))=0,0,INDEX(DATOS3!$1:$19397,A48,MATCH("Total_Fluoro_Time",DATOS3!$1:$1,0)))</f>
        <v>#N/A</v>
      </c>
      <c r="L48" t="e">
        <f>IF(INDEX(DATOS3!$1:$19397,A48,MATCH("Total_Acquisition_Time",DATOS3!$1:$1,0))=0,0,INDEX(DATOS3!$1:$19397,A48,MATCH("Total_Acquisition_Time",DATOS3!$1:$1,0)))</f>
        <v>#N/A</v>
      </c>
    </row>
    <row r="49" spans="1:12" x14ac:dyDescent="0.25">
      <c r="A49">
        <v>49</v>
      </c>
      <c r="B49" t="e">
        <f t="shared" si="0"/>
        <v>#N/A</v>
      </c>
      <c r="D49" t="e">
        <f>IF(INDEX(DATOS3!$1:$19397,A49,MATCH("PatientID",DATOS3!$1:$1,0))=0,"",INDEX(DATOS3!$1:$19397,A49,MATCH("PatientID",DATOS3!$1:$1,0)))</f>
        <v>#N/A</v>
      </c>
      <c r="F49" t="e">
        <f>IF(INDEX(DATOS3!$1:$19397,A49,MATCH("SeriesDate",DATOS3!$1:$1,0))=0,"",INDEX(DATOS3!$1:$19397,A49,MATCH("SeriesDate",DATOS3!$1:$1,0)))</f>
        <v>#N/A</v>
      </c>
      <c r="G49" t="e">
        <f>IF(INDEX(DATOS3!$1:$19397,A49,MATCH("SeriesTime",DATOS3!$1:$1,0))=0,"",INDEX(DATOS3!$1:$19397,A49,MATCH("SeriesTime",DATOS3!$1:$1,0)))</f>
        <v>#N/A</v>
      </c>
      <c r="H49" t="e">
        <f>IF(INDEX(DATOS3!$1:$19397,A49,MATCH("StudyDescription",DATOS3!$1:$1,0))=0,"",INDEX(DATOS3!$1:$19397,A49,MATCH("StudyDescription",DATOS3!$1:$1,0)))</f>
        <v>#N/A</v>
      </c>
      <c r="I49" t="e">
        <f>IF(INDEX(DATOS3!$1:$19397,A49,MATCH("Dose_Area_Product_Total",DATOS3!$1:$1,0))=0,0,INDEX(DATOS3!$1:$19397,A49,MATCH("Dose_Area_Product_Total",DATOS3!$1:$1,0)))</f>
        <v>#N/A</v>
      </c>
      <c r="J49" t="e">
        <f>IF(INDEX(DATOS3!$1:$19397,A49,MATCH("Dose_RP_Total",DATOS3!$1:$1,0))=0,0,INDEX(DATOS3!$1:$19397,A49,MATCH("Dose_RP_Total",DATOS3!$1:$1,0)))</f>
        <v>#N/A</v>
      </c>
      <c r="K49" t="e">
        <f>IF(INDEX(DATOS3!$1:$19397,A49,MATCH("Total_Fluoro_Time",DATOS3!$1:$1,0))=0,0,INDEX(DATOS3!$1:$19397,A49,MATCH("Total_Fluoro_Time",DATOS3!$1:$1,0)))</f>
        <v>#N/A</v>
      </c>
      <c r="L49" t="e">
        <f>IF(INDEX(DATOS3!$1:$19397,A49,MATCH("Total_Acquisition_Time",DATOS3!$1:$1,0))=0,0,INDEX(DATOS3!$1:$19397,A49,MATCH("Total_Acquisition_Time",DATOS3!$1:$1,0)))</f>
        <v>#N/A</v>
      </c>
    </row>
    <row r="50" spans="1:12" x14ac:dyDescent="0.25">
      <c r="A50">
        <v>50</v>
      </c>
      <c r="B50" t="e">
        <f t="shared" si="0"/>
        <v>#N/A</v>
      </c>
      <c r="D50" t="e">
        <f>IF(INDEX(DATOS3!$1:$19397,A50,MATCH("PatientID",DATOS3!$1:$1,0))=0,"",INDEX(DATOS3!$1:$19397,A50,MATCH("PatientID",DATOS3!$1:$1,0)))</f>
        <v>#N/A</v>
      </c>
      <c r="F50" t="e">
        <f>IF(INDEX(DATOS3!$1:$19397,A50,MATCH("SeriesDate",DATOS3!$1:$1,0))=0,"",INDEX(DATOS3!$1:$19397,A50,MATCH("SeriesDate",DATOS3!$1:$1,0)))</f>
        <v>#N/A</v>
      </c>
      <c r="G50" t="e">
        <f>IF(INDEX(DATOS3!$1:$19397,A50,MATCH("SeriesTime",DATOS3!$1:$1,0))=0,"",INDEX(DATOS3!$1:$19397,A50,MATCH("SeriesTime",DATOS3!$1:$1,0)))</f>
        <v>#N/A</v>
      </c>
      <c r="H50" t="e">
        <f>IF(INDEX(DATOS3!$1:$19397,A50,MATCH("StudyDescription",DATOS3!$1:$1,0))=0,"",INDEX(DATOS3!$1:$19397,A50,MATCH("StudyDescription",DATOS3!$1:$1,0)))</f>
        <v>#N/A</v>
      </c>
      <c r="I50" t="e">
        <f>IF(INDEX(DATOS3!$1:$19397,A50,MATCH("Dose_Area_Product_Total",DATOS3!$1:$1,0))=0,0,INDEX(DATOS3!$1:$19397,A50,MATCH("Dose_Area_Product_Total",DATOS3!$1:$1,0)))</f>
        <v>#N/A</v>
      </c>
      <c r="J50" t="e">
        <f>IF(INDEX(DATOS3!$1:$19397,A50,MATCH("Dose_RP_Total",DATOS3!$1:$1,0))=0,0,INDEX(DATOS3!$1:$19397,A50,MATCH("Dose_RP_Total",DATOS3!$1:$1,0)))</f>
        <v>#N/A</v>
      </c>
      <c r="K50" t="e">
        <f>IF(INDEX(DATOS3!$1:$19397,A50,MATCH("Total_Fluoro_Time",DATOS3!$1:$1,0))=0,0,INDEX(DATOS3!$1:$19397,A50,MATCH("Total_Fluoro_Time",DATOS3!$1:$1,0)))</f>
        <v>#N/A</v>
      </c>
      <c r="L50" t="e">
        <f>IF(INDEX(DATOS3!$1:$19397,A50,MATCH("Total_Acquisition_Time",DATOS3!$1:$1,0))=0,0,INDEX(DATOS3!$1:$19397,A50,MATCH("Total_Acquisition_Time",DATOS3!$1:$1,0)))</f>
        <v>#N/A</v>
      </c>
    </row>
    <row r="51" spans="1:12" x14ac:dyDescent="0.25">
      <c r="A51">
        <v>51</v>
      </c>
      <c r="B51" t="e">
        <f t="shared" si="0"/>
        <v>#N/A</v>
      </c>
      <c r="D51" t="e">
        <f>IF(INDEX(DATOS3!$1:$19397,A51,MATCH("PatientID",DATOS3!$1:$1,0))=0,"",INDEX(DATOS3!$1:$19397,A51,MATCH("PatientID",DATOS3!$1:$1,0)))</f>
        <v>#N/A</v>
      </c>
      <c r="F51" t="e">
        <f>IF(INDEX(DATOS3!$1:$19397,A51,MATCH("SeriesDate",DATOS3!$1:$1,0))=0,"",INDEX(DATOS3!$1:$19397,A51,MATCH("SeriesDate",DATOS3!$1:$1,0)))</f>
        <v>#N/A</v>
      </c>
      <c r="G51" t="e">
        <f>IF(INDEX(DATOS3!$1:$19397,A51,MATCH("SeriesTime",DATOS3!$1:$1,0))=0,"",INDEX(DATOS3!$1:$19397,A51,MATCH("SeriesTime",DATOS3!$1:$1,0)))</f>
        <v>#N/A</v>
      </c>
      <c r="H51" t="e">
        <f>IF(INDEX(DATOS3!$1:$19397,A51,MATCH("StudyDescription",DATOS3!$1:$1,0))=0,"",INDEX(DATOS3!$1:$19397,A51,MATCH("StudyDescription",DATOS3!$1:$1,0)))</f>
        <v>#N/A</v>
      </c>
      <c r="I51" t="e">
        <f>IF(INDEX(DATOS3!$1:$19397,A51,MATCH("Dose_Area_Product_Total",DATOS3!$1:$1,0))=0,0,INDEX(DATOS3!$1:$19397,A51,MATCH("Dose_Area_Product_Total",DATOS3!$1:$1,0)))</f>
        <v>#N/A</v>
      </c>
      <c r="J51" t="e">
        <f>IF(INDEX(DATOS3!$1:$19397,A51,MATCH("Dose_RP_Total",DATOS3!$1:$1,0))=0,0,INDEX(DATOS3!$1:$19397,A51,MATCH("Dose_RP_Total",DATOS3!$1:$1,0)))</f>
        <v>#N/A</v>
      </c>
      <c r="K51" t="e">
        <f>IF(INDEX(DATOS3!$1:$19397,A51,MATCH("Total_Fluoro_Time",DATOS3!$1:$1,0))=0,0,INDEX(DATOS3!$1:$19397,A51,MATCH("Total_Fluoro_Time",DATOS3!$1:$1,0)))</f>
        <v>#N/A</v>
      </c>
      <c r="L51" t="e">
        <f>IF(INDEX(DATOS3!$1:$19397,A51,MATCH("Total_Acquisition_Time",DATOS3!$1:$1,0))=0,0,INDEX(DATOS3!$1:$19397,A51,MATCH("Total_Acquisition_Time",DATOS3!$1:$1,0)))</f>
        <v>#N/A</v>
      </c>
    </row>
    <row r="52" spans="1:12" x14ac:dyDescent="0.25">
      <c r="A52">
        <v>52</v>
      </c>
      <c r="B52" t="e">
        <f t="shared" si="0"/>
        <v>#N/A</v>
      </c>
      <c r="D52" t="e">
        <f>IF(INDEX(DATOS3!$1:$19397,A52,MATCH("PatientID",DATOS3!$1:$1,0))=0,"",INDEX(DATOS3!$1:$19397,A52,MATCH("PatientID",DATOS3!$1:$1,0)))</f>
        <v>#N/A</v>
      </c>
      <c r="F52" t="e">
        <f>IF(INDEX(DATOS3!$1:$19397,A52,MATCH("SeriesDate",DATOS3!$1:$1,0))=0,"",INDEX(DATOS3!$1:$19397,A52,MATCH("SeriesDate",DATOS3!$1:$1,0)))</f>
        <v>#N/A</v>
      </c>
      <c r="G52" t="e">
        <f>IF(INDEX(DATOS3!$1:$19397,A52,MATCH("SeriesTime",DATOS3!$1:$1,0))=0,"",INDEX(DATOS3!$1:$19397,A52,MATCH("SeriesTime",DATOS3!$1:$1,0)))</f>
        <v>#N/A</v>
      </c>
      <c r="H52" t="e">
        <f>IF(INDEX(DATOS3!$1:$19397,A52,MATCH("StudyDescription",DATOS3!$1:$1,0))=0,"",INDEX(DATOS3!$1:$19397,A52,MATCH("StudyDescription",DATOS3!$1:$1,0)))</f>
        <v>#N/A</v>
      </c>
      <c r="I52" t="e">
        <f>IF(INDEX(DATOS3!$1:$19397,A52,MATCH("Dose_Area_Product_Total",DATOS3!$1:$1,0))=0,0,INDEX(DATOS3!$1:$19397,A52,MATCH("Dose_Area_Product_Total",DATOS3!$1:$1,0)))</f>
        <v>#N/A</v>
      </c>
      <c r="J52" t="e">
        <f>IF(INDEX(DATOS3!$1:$19397,A52,MATCH("Dose_RP_Total",DATOS3!$1:$1,0))=0,0,INDEX(DATOS3!$1:$19397,A52,MATCH("Dose_RP_Total",DATOS3!$1:$1,0)))</f>
        <v>#N/A</v>
      </c>
      <c r="K52" t="e">
        <f>IF(INDEX(DATOS3!$1:$19397,A52,MATCH("Total_Fluoro_Time",DATOS3!$1:$1,0))=0,0,INDEX(DATOS3!$1:$19397,A52,MATCH("Total_Fluoro_Time",DATOS3!$1:$1,0)))</f>
        <v>#N/A</v>
      </c>
      <c r="L52" t="e">
        <f>IF(INDEX(DATOS3!$1:$19397,A52,MATCH("Total_Acquisition_Time",DATOS3!$1:$1,0))=0,0,INDEX(DATOS3!$1:$19397,A52,MATCH("Total_Acquisition_Time",DATOS3!$1:$1,0)))</f>
        <v>#N/A</v>
      </c>
    </row>
    <row r="53" spans="1:12" x14ac:dyDescent="0.25">
      <c r="A53">
        <v>53</v>
      </c>
      <c r="B53" t="e">
        <f t="shared" si="0"/>
        <v>#N/A</v>
      </c>
      <c r="D53" t="e">
        <f>IF(INDEX(DATOS3!$1:$19397,A53,MATCH("PatientID",DATOS3!$1:$1,0))=0,"",INDEX(DATOS3!$1:$19397,A53,MATCH("PatientID",DATOS3!$1:$1,0)))</f>
        <v>#N/A</v>
      </c>
      <c r="F53" t="e">
        <f>IF(INDEX(DATOS3!$1:$19397,A53,MATCH("SeriesDate",DATOS3!$1:$1,0))=0,"",INDEX(DATOS3!$1:$19397,A53,MATCH("SeriesDate",DATOS3!$1:$1,0)))</f>
        <v>#N/A</v>
      </c>
      <c r="G53" t="e">
        <f>IF(INDEX(DATOS3!$1:$19397,A53,MATCH("SeriesTime",DATOS3!$1:$1,0))=0,"",INDEX(DATOS3!$1:$19397,A53,MATCH("SeriesTime",DATOS3!$1:$1,0)))</f>
        <v>#N/A</v>
      </c>
      <c r="H53" t="e">
        <f>IF(INDEX(DATOS3!$1:$19397,A53,MATCH("StudyDescription",DATOS3!$1:$1,0))=0,"",INDEX(DATOS3!$1:$19397,A53,MATCH("StudyDescription",DATOS3!$1:$1,0)))</f>
        <v>#N/A</v>
      </c>
      <c r="I53" t="e">
        <f>IF(INDEX(DATOS3!$1:$19397,A53,MATCH("Dose_Area_Product_Total",DATOS3!$1:$1,0))=0,0,INDEX(DATOS3!$1:$19397,A53,MATCH("Dose_Area_Product_Total",DATOS3!$1:$1,0)))</f>
        <v>#N/A</v>
      </c>
      <c r="J53" t="e">
        <f>IF(INDEX(DATOS3!$1:$19397,A53,MATCH("Dose_RP_Total",DATOS3!$1:$1,0))=0,0,INDEX(DATOS3!$1:$19397,A53,MATCH("Dose_RP_Total",DATOS3!$1:$1,0)))</f>
        <v>#N/A</v>
      </c>
      <c r="K53" t="e">
        <f>IF(INDEX(DATOS3!$1:$19397,A53,MATCH("Total_Fluoro_Time",DATOS3!$1:$1,0))=0,0,INDEX(DATOS3!$1:$19397,A53,MATCH("Total_Fluoro_Time",DATOS3!$1:$1,0)))</f>
        <v>#N/A</v>
      </c>
      <c r="L53" t="e">
        <f>IF(INDEX(DATOS3!$1:$19397,A53,MATCH("Total_Acquisition_Time",DATOS3!$1:$1,0))=0,0,INDEX(DATOS3!$1:$19397,A53,MATCH("Total_Acquisition_Time",DATOS3!$1:$1,0)))</f>
        <v>#N/A</v>
      </c>
    </row>
    <row r="54" spans="1:12" x14ac:dyDescent="0.25">
      <c r="A54">
        <v>54</v>
      </c>
      <c r="B54" t="e">
        <f t="shared" si="0"/>
        <v>#N/A</v>
      </c>
      <c r="D54" t="e">
        <f>IF(INDEX(DATOS3!$1:$19397,A54,MATCH("PatientID",DATOS3!$1:$1,0))=0,"",INDEX(DATOS3!$1:$19397,A54,MATCH("PatientID",DATOS3!$1:$1,0)))</f>
        <v>#N/A</v>
      </c>
      <c r="F54" t="e">
        <f>IF(INDEX(DATOS3!$1:$19397,A54,MATCH("SeriesDate",DATOS3!$1:$1,0))=0,"",INDEX(DATOS3!$1:$19397,A54,MATCH("SeriesDate",DATOS3!$1:$1,0)))</f>
        <v>#N/A</v>
      </c>
      <c r="G54" t="e">
        <f>IF(INDEX(DATOS3!$1:$19397,A54,MATCH("SeriesTime",DATOS3!$1:$1,0))=0,"",INDEX(DATOS3!$1:$19397,A54,MATCH("SeriesTime",DATOS3!$1:$1,0)))</f>
        <v>#N/A</v>
      </c>
      <c r="H54" t="e">
        <f>IF(INDEX(DATOS3!$1:$19397,A54,MATCH("StudyDescription",DATOS3!$1:$1,0))=0,"",INDEX(DATOS3!$1:$19397,A54,MATCH("StudyDescription",DATOS3!$1:$1,0)))</f>
        <v>#N/A</v>
      </c>
      <c r="I54" t="e">
        <f>IF(INDEX(DATOS3!$1:$19397,A54,MATCH("Dose_Area_Product_Total",DATOS3!$1:$1,0))=0,0,INDEX(DATOS3!$1:$19397,A54,MATCH("Dose_Area_Product_Total",DATOS3!$1:$1,0)))</f>
        <v>#N/A</v>
      </c>
      <c r="J54" t="e">
        <f>IF(INDEX(DATOS3!$1:$19397,A54,MATCH("Dose_RP_Total",DATOS3!$1:$1,0))=0,0,INDEX(DATOS3!$1:$19397,A54,MATCH("Dose_RP_Total",DATOS3!$1:$1,0)))</f>
        <v>#N/A</v>
      </c>
      <c r="K54" t="e">
        <f>IF(INDEX(DATOS3!$1:$19397,A54,MATCH("Total_Fluoro_Time",DATOS3!$1:$1,0))=0,0,INDEX(DATOS3!$1:$19397,A54,MATCH("Total_Fluoro_Time",DATOS3!$1:$1,0)))</f>
        <v>#N/A</v>
      </c>
      <c r="L54" t="e">
        <f>IF(INDEX(DATOS3!$1:$19397,A54,MATCH("Total_Acquisition_Time",DATOS3!$1:$1,0))=0,0,INDEX(DATOS3!$1:$19397,A54,MATCH("Total_Acquisition_Time",DATOS3!$1:$1,0)))</f>
        <v>#N/A</v>
      </c>
    </row>
    <row r="55" spans="1:12" x14ac:dyDescent="0.25">
      <c r="A55">
        <v>55</v>
      </c>
      <c r="B55" t="e">
        <f t="shared" si="0"/>
        <v>#N/A</v>
      </c>
      <c r="D55" t="e">
        <f>IF(INDEX(DATOS3!$1:$19397,A55,MATCH("PatientID",DATOS3!$1:$1,0))=0,"",INDEX(DATOS3!$1:$19397,A55,MATCH("PatientID",DATOS3!$1:$1,0)))</f>
        <v>#N/A</v>
      </c>
      <c r="F55" t="e">
        <f>IF(INDEX(DATOS3!$1:$19397,A55,MATCH("SeriesDate",DATOS3!$1:$1,0))=0,"",INDEX(DATOS3!$1:$19397,A55,MATCH("SeriesDate",DATOS3!$1:$1,0)))</f>
        <v>#N/A</v>
      </c>
      <c r="G55" t="e">
        <f>IF(INDEX(DATOS3!$1:$19397,A55,MATCH("SeriesTime",DATOS3!$1:$1,0))=0,"",INDEX(DATOS3!$1:$19397,A55,MATCH("SeriesTime",DATOS3!$1:$1,0)))</f>
        <v>#N/A</v>
      </c>
      <c r="H55" t="e">
        <f>IF(INDEX(DATOS3!$1:$19397,A55,MATCH("StudyDescription",DATOS3!$1:$1,0))=0,"",INDEX(DATOS3!$1:$19397,A55,MATCH("StudyDescription",DATOS3!$1:$1,0)))</f>
        <v>#N/A</v>
      </c>
      <c r="I55" t="e">
        <f>IF(INDEX(DATOS3!$1:$19397,A55,MATCH("Dose_Area_Product_Total",DATOS3!$1:$1,0))=0,0,INDEX(DATOS3!$1:$19397,A55,MATCH("Dose_Area_Product_Total",DATOS3!$1:$1,0)))</f>
        <v>#N/A</v>
      </c>
      <c r="J55" t="e">
        <f>IF(INDEX(DATOS3!$1:$19397,A55,MATCH("Dose_RP_Total",DATOS3!$1:$1,0))=0,0,INDEX(DATOS3!$1:$19397,A55,MATCH("Dose_RP_Total",DATOS3!$1:$1,0)))</f>
        <v>#N/A</v>
      </c>
      <c r="K55" t="e">
        <f>IF(INDEX(DATOS3!$1:$19397,A55,MATCH("Total_Fluoro_Time",DATOS3!$1:$1,0))=0,0,INDEX(DATOS3!$1:$19397,A55,MATCH("Total_Fluoro_Time",DATOS3!$1:$1,0)))</f>
        <v>#N/A</v>
      </c>
      <c r="L55" t="e">
        <f>IF(INDEX(DATOS3!$1:$19397,A55,MATCH("Total_Acquisition_Time",DATOS3!$1:$1,0))=0,0,INDEX(DATOS3!$1:$19397,A55,MATCH("Total_Acquisition_Time",DATOS3!$1:$1,0)))</f>
        <v>#N/A</v>
      </c>
    </row>
    <row r="56" spans="1:12" x14ac:dyDescent="0.25">
      <c r="A56">
        <v>56</v>
      </c>
      <c r="B56" t="e">
        <f t="shared" si="0"/>
        <v>#N/A</v>
      </c>
      <c r="D56" t="e">
        <f>IF(INDEX(DATOS3!$1:$19397,A56,MATCH("PatientID",DATOS3!$1:$1,0))=0,"",INDEX(DATOS3!$1:$19397,A56,MATCH("PatientID",DATOS3!$1:$1,0)))</f>
        <v>#N/A</v>
      </c>
      <c r="F56" t="e">
        <f>IF(INDEX(DATOS3!$1:$19397,A56,MATCH("SeriesDate",DATOS3!$1:$1,0))=0,"",INDEX(DATOS3!$1:$19397,A56,MATCH("SeriesDate",DATOS3!$1:$1,0)))</f>
        <v>#N/A</v>
      </c>
      <c r="G56" t="e">
        <f>IF(INDEX(DATOS3!$1:$19397,A56,MATCH("SeriesTime",DATOS3!$1:$1,0))=0,"",INDEX(DATOS3!$1:$19397,A56,MATCH("SeriesTime",DATOS3!$1:$1,0)))</f>
        <v>#N/A</v>
      </c>
      <c r="H56" t="e">
        <f>IF(INDEX(DATOS3!$1:$19397,A56,MATCH("StudyDescription",DATOS3!$1:$1,0))=0,"",INDEX(DATOS3!$1:$19397,A56,MATCH("StudyDescription",DATOS3!$1:$1,0)))</f>
        <v>#N/A</v>
      </c>
      <c r="I56" t="e">
        <f>IF(INDEX(DATOS3!$1:$19397,A56,MATCH("Dose_Area_Product_Total",DATOS3!$1:$1,0))=0,0,INDEX(DATOS3!$1:$19397,A56,MATCH("Dose_Area_Product_Total",DATOS3!$1:$1,0)))</f>
        <v>#N/A</v>
      </c>
      <c r="J56" t="e">
        <f>IF(INDEX(DATOS3!$1:$19397,A56,MATCH("Dose_RP_Total",DATOS3!$1:$1,0))=0,0,INDEX(DATOS3!$1:$19397,A56,MATCH("Dose_RP_Total",DATOS3!$1:$1,0)))</f>
        <v>#N/A</v>
      </c>
      <c r="K56" t="e">
        <f>IF(INDEX(DATOS3!$1:$19397,A56,MATCH("Total_Fluoro_Time",DATOS3!$1:$1,0))=0,0,INDEX(DATOS3!$1:$19397,A56,MATCH("Total_Fluoro_Time",DATOS3!$1:$1,0)))</f>
        <v>#N/A</v>
      </c>
      <c r="L56" t="e">
        <f>IF(INDEX(DATOS3!$1:$19397,A56,MATCH("Total_Acquisition_Time",DATOS3!$1:$1,0))=0,0,INDEX(DATOS3!$1:$19397,A56,MATCH("Total_Acquisition_Time",DATOS3!$1:$1,0)))</f>
        <v>#N/A</v>
      </c>
    </row>
    <row r="57" spans="1:12" x14ac:dyDescent="0.25">
      <c r="A57">
        <v>57</v>
      </c>
      <c r="B57" t="e">
        <f t="shared" si="0"/>
        <v>#N/A</v>
      </c>
      <c r="D57" t="e">
        <f>IF(INDEX(DATOS3!$1:$19397,A57,MATCH("PatientID",DATOS3!$1:$1,0))=0,"",INDEX(DATOS3!$1:$19397,A57,MATCH("PatientID",DATOS3!$1:$1,0)))</f>
        <v>#N/A</v>
      </c>
      <c r="F57" t="e">
        <f>IF(INDEX(DATOS3!$1:$19397,A57,MATCH("SeriesDate",DATOS3!$1:$1,0))=0,"",INDEX(DATOS3!$1:$19397,A57,MATCH("SeriesDate",DATOS3!$1:$1,0)))</f>
        <v>#N/A</v>
      </c>
      <c r="G57" t="e">
        <f>IF(INDEX(DATOS3!$1:$19397,A57,MATCH("SeriesTime",DATOS3!$1:$1,0))=0,"",INDEX(DATOS3!$1:$19397,A57,MATCH("SeriesTime",DATOS3!$1:$1,0)))</f>
        <v>#N/A</v>
      </c>
      <c r="H57" t="e">
        <f>IF(INDEX(DATOS3!$1:$19397,A57,MATCH("StudyDescription",DATOS3!$1:$1,0))=0,"",INDEX(DATOS3!$1:$19397,A57,MATCH("StudyDescription",DATOS3!$1:$1,0)))</f>
        <v>#N/A</v>
      </c>
      <c r="I57" t="e">
        <f>IF(INDEX(DATOS3!$1:$19397,A57,MATCH("Dose_Area_Product_Total",DATOS3!$1:$1,0))=0,0,INDEX(DATOS3!$1:$19397,A57,MATCH("Dose_Area_Product_Total",DATOS3!$1:$1,0)))</f>
        <v>#N/A</v>
      </c>
      <c r="J57" t="e">
        <f>IF(INDEX(DATOS3!$1:$19397,A57,MATCH("Dose_RP_Total",DATOS3!$1:$1,0))=0,0,INDEX(DATOS3!$1:$19397,A57,MATCH("Dose_RP_Total",DATOS3!$1:$1,0)))</f>
        <v>#N/A</v>
      </c>
      <c r="K57" t="e">
        <f>IF(INDEX(DATOS3!$1:$19397,A57,MATCH("Total_Fluoro_Time",DATOS3!$1:$1,0))=0,0,INDEX(DATOS3!$1:$19397,A57,MATCH("Total_Fluoro_Time",DATOS3!$1:$1,0)))</f>
        <v>#N/A</v>
      </c>
      <c r="L57" t="e">
        <f>IF(INDEX(DATOS3!$1:$19397,A57,MATCH("Total_Acquisition_Time",DATOS3!$1:$1,0))=0,0,INDEX(DATOS3!$1:$19397,A57,MATCH("Total_Acquisition_Time",DATOS3!$1:$1,0)))</f>
        <v>#N/A</v>
      </c>
    </row>
    <row r="58" spans="1:12" x14ac:dyDescent="0.25">
      <c r="A58">
        <v>58</v>
      </c>
      <c r="B58" t="e">
        <f t="shared" si="0"/>
        <v>#N/A</v>
      </c>
      <c r="D58" t="e">
        <f>IF(INDEX(DATOS3!$1:$19397,A58,MATCH("PatientID",DATOS3!$1:$1,0))=0,"",INDEX(DATOS3!$1:$19397,A58,MATCH("PatientID",DATOS3!$1:$1,0)))</f>
        <v>#N/A</v>
      </c>
      <c r="F58" t="e">
        <f>IF(INDEX(DATOS3!$1:$19397,A58,MATCH("SeriesDate",DATOS3!$1:$1,0))=0,"",INDEX(DATOS3!$1:$19397,A58,MATCH("SeriesDate",DATOS3!$1:$1,0)))</f>
        <v>#N/A</v>
      </c>
      <c r="G58" t="e">
        <f>IF(INDEX(DATOS3!$1:$19397,A58,MATCH("SeriesTime",DATOS3!$1:$1,0))=0,"",INDEX(DATOS3!$1:$19397,A58,MATCH("SeriesTime",DATOS3!$1:$1,0)))</f>
        <v>#N/A</v>
      </c>
      <c r="H58" t="e">
        <f>IF(INDEX(DATOS3!$1:$19397,A58,MATCH("StudyDescription",DATOS3!$1:$1,0))=0,"",INDEX(DATOS3!$1:$19397,A58,MATCH("StudyDescription",DATOS3!$1:$1,0)))</f>
        <v>#N/A</v>
      </c>
      <c r="I58" t="e">
        <f>IF(INDEX(DATOS3!$1:$19397,A58,MATCH("Dose_Area_Product_Total",DATOS3!$1:$1,0))=0,0,INDEX(DATOS3!$1:$19397,A58,MATCH("Dose_Area_Product_Total",DATOS3!$1:$1,0)))</f>
        <v>#N/A</v>
      </c>
      <c r="J58" t="e">
        <f>IF(INDEX(DATOS3!$1:$19397,A58,MATCH("Dose_RP_Total",DATOS3!$1:$1,0))=0,0,INDEX(DATOS3!$1:$19397,A58,MATCH("Dose_RP_Total",DATOS3!$1:$1,0)))</f>
        <v>#N/A</v>
      </c>
      <c r="K58" t="e">
        <f>IF(INDEX(DATOS3!$1:$19397,A58,MATCH("Total_Fluoro_Time",DATOS3!$1:$1,0))=0,0,INDEX(DATOS3!$1:$19397,A58,MATCH("Total_Fluoro_Time",DATOS3!$1:$1,0)))</f>
        <v>#N/A</v>
      </c>
      <c r="L58" t="e">
        <f>IF(INDEX(DATOS3!$1:$19397,A58,MATCH("Total_Acquisition_Time",DATOS3!$1:$1,0))=0,0,INDEX(DATOS3!$1:$19397,A58,MATCH("Total_Acquisition_Time",DATOS3!$1:$1,0)))</f>
        <v>#N/A</v>
      </c>
    </row>
    <row r="59" spans="1:12" x14ac:dyDescent="0.25">
      <c r="A59">
        <v>59</v>
      </c>
      <c r="B59" t="e">
        <f t="shared" si="0"/>
        <v>#N/A</v>
      </c>
      <c r="D59" t="e">
        <f>IF(INDEX(DATOS3!$1:$19397,A59,MATCH("PatientID",DATOS3!$1:$1,0))=0,"",INDEX(DATOS3!$1:$19397,A59,MATCH("PatientID",DATOS3!$1:$1,0)))</f>
        <v>#N/A</v>
      </c>
      <c r="F59" t="e">
        <f>IF(INDEX(DATOS3!$1:$19397,A59,MATCH("SeriesDate",DATOS3!$1:$1,0))=0,"",INDEX(DATOS3!$1:$19397,A59,MATCH("SeriesDate",DATOS3!$1:$1,0)))</f>
        <v>#N/A</v>
      </c>
      <c r="G59" t="e">
        <f>IF(INDEX(DATOS3!$1:$19397,A59,MATCH("SeriesTime",DATOS3!$1:$1,0))=0,"",INDEX(DATOS3!$1:$19397,A59,MATCH("SeriesTime",DATOS3!$1:$1,0)))</f>
        <v>#N/A</v>
      </c>
      <c r="H59" t="e">
        <f>IF(INDEX(DATOS3!$1:$19397,A59,MATCH("StudyDescription",DATOS3!$1:$1,0))=0,"",INDEX(DATOS3!$1:$19397,A59,MATCH("StudyDescription",DATOS3!$1:$1,0)))</f>
        <v>#N/A</v>
      </c>
      <c r="I59" t="e">
        <f>IF(INDEX(DATOS3!$1:$19397,A59,MATCH("Dose_Area_Product_Total",DATOS3!$1:$1,0))=0,0,INDEX(DATOS3!$1:$19397,A59,MATCH("Dose_Area_Product_Total",DATOS3!$1:$1,0)))</f>
        <v>#N/A</v>
      </c>
      <c r="J59" t="e">
        <f>IF(INDEX(DATOS3!$1:$19397,A59,MATCH("Dose_RP_Total",DATOS3!$1:$1,0))=0,0,INDEX(DATOS3!$1:$19397,A59,MATCH("Dose_RP_Total",DATOS3!$1:$1,0)))</f>
        <v>#N/A</v>
      </c>
      <c r="K59" t="e">
        <f>IF(INDEX(DATOS3!$1:$19397,A59,MATCH("Total_Fluoro_Time",DATOS3!$1:$1,0))=0,0,INDEX(DATOS3!$1:$19397,A59,MATCH("Total_Fluoro_Time",DATOS3!$1:$1,0)))</f>
        <v>#N/A</v>
      </c>
      <c r="L59" t="e">
        <f>IF(INDEX(DATOS3!$1:$19397,A59,MATCH("Total_Acquisition_Time",DATOS3!$1:$1,0))=0,0,INDEX(DATOS3!$1:$19397,A59,MATCH("Total_Acquisition_Time",DATOS3!$1:$1,0)))</f>
        <v>#N/A</v>
      </c>
    </row>
    <row r="60" spans="1:12" x14ac:dyDescent="0.25">
      <c r="A60">
        <v>60</v>
      </c>
      <c r="B60" t="e">
        <f t="shared" si="0"/>
        <v>#N/A</v>
      </c>
      <c r="D60" t="e">
        <f>IF(INDEX(DATOS3!$1:$19397,A60,MATCH("PatientID",DATOS3!$1:$1,0))=0,"",INDEX(DATOS3!$1:$19397,A60,MATCH("PatientID",DATOS3!$1:$1,0)))</f>
        <v>#N/A</v>
      </c>
      <c r="F60" t="e">
        <f>IF(INDEX(DATOS3!$1:$19397,A60,MATCH("SeriesDate",DATOS3!$1:$1,0))=0,"",INDEX(DATOS3!$1:$19397,A60,MATCH("SeriesDate",DATOS3!$1:$1,0)))</f>
        <v>#N/A</v>
      </c>
      <c r="G60" t="e">
        <f>IF(INDEX(DATOS3!$1:$19397,A60,MATCH("SeriesTime",DATOS3!$1:$1,0))=0,"",INDEX(DATOS3!$1:$19397,A60,MATCH("SeriesTime",DATOS3!$1:$1,0)))</f>
        <v>#N/A</v>
      </c>
      <c r="H60" t="e">
        <f>IF(INDEX(DATOS3!$1:$19397,A60,MATCH("StudyDescription",DATOS3!$1:$1,0))=0,"",INDEX(DATOS3!$1:$19397,A60,MATCH("StudyDescription",DATOS3!$1:$1,0)))</f>
        <v>#N/A</v>
      </c>
      <c r="I60" t="e">
        <f>IF(INDEX(DATOS3!$1:$19397,A60,MATCH("Dose_Area_Product_Total",DATOS3!$1:$1,0))=0,0,INDEX(DATOS3!$1:$19397,A60,MATCH("Dose_Area_Product_Total",DATOS3!$1:$1,0)))</f>
        <v>#N/A</v>
      </c>
      <c r="J60" t="e">
        <f>IF(INDEX(DATOS3!$1:$19397,A60,MATCH("Dose_RP_Total",DATOS3!$1:$1,0))=0,0,INDEX(DATOS3!$1:$19397,A60,MATCH("Dose_RP_Total",DATOS3!$1:$1,0)))</f>
        <v>#N/A</v>
      </c>
      <c r="K60" t="e">
        <f>IF(INDEX(DATOS3!$1:$19397,A60,MATCH("Total_Fluoro_Time",DATOS3!$1:$1,0))=0,0,INDEX(DATOS3!$1:$19397,A60,MATCH("Total_Fluoro_Time",DATOS3!$1:$1,0)))</f>
        <v>#N/A</v>
      </c>
      <c r="L60" t="e">
        <f>IF(INDEX(DATOS3!$1:$19397,A60,MATCH("Total_Acquisition_Time",DATOS3!$1:$1,0))=0,0,INDEX(DATOS3!$1:$19397,A60,MATCH("Total_Acquisition_Time",DATOS3!$1:$1,0)))</f>
        <v>#N/A</v>
      </c>
    </row>
    <row r="61" spans="1:12" x14ac:dyDescent="0.25">
      <c r="A61">
        <v>61</v>
      </c>
      <c r="B61" t="e">
        <f t="shared" si="0"/>
        <v>#N/A</v>
      </c>
      <c r="D61" t="e">
        <f>IF(INDEX(DATOS3!$1:$19397,A61,MATCH("PatientID",DATOS3!$1:$1,0))=0,"",INDEX(DATOS3!$1:$19397,A61,MATCH("PatientID",DATOS3!$1:$1,0)))</f>
        <v>#N/A</v>
      </c>
      <c r="F61" t="e">
        <f>IF(INDEX(DATOS3!$1:$19397,A61,MATCH("SeriesDate",DATOS3!$1:$1,0))=0,"",INDEX(DATOS3!$1:$19397,A61,MATCH("SeriesDate",DATOS3!$1:$1,0)))</f>
        <v>#N/A</v>
      </c>
      <c r="G61" t="e">
        <f>IF(INDEX(DATOS3!$1:$19397,A61,MATCH("SeriesTime",DATOS3!$1:$1,0))=0,"",INDEX(DATOS3!$1:$19397,A61,MATCH("SeriesTime",DATOS3!$1:$1,0)))</f>
        <v>#N/A</v>
      </c>
      <c r="H61" t="e">
        <f>IF(INDEX(DATOS3!$1:$19397,A61,MATCH("StudyDescription",DATOS3!$1:$1,0))=0,"",INDEX(DATOS3!$1:$19397,A61,MATCH("StudyDescription",DATOS3!$1:$1,0)))</f>
        <v>#N/A</v>
      </c>
      <c r="I61" t="e">
        <f>IF(INDEX(DATOS3!$1:$19397,A61,MATCH("Dose_Area_Product_Total",DATOS3!$1:$1,0))=0,0,INDEX(DATOS3!$1:$19397,A61,MATCH("Dose_Area_Product_Total",DATOS3!$1:$1,0)))</f>
        <v>#N/A</v>
      </c>
      <c r="J61" t="e">
        <f>IF(INDEX(DATOS3!$1:$19397,A61,MATCH("Dose_RP_Total",DATOS3!$1:$1,0))=0,0,INDEX(DATOS3!$1:$19397,A61,MATCH("Dose_RP_Total",DATOS3!$1:$1,0)))</f>
        <v>#N/A</v>
      </c>
      <c r="K61" t="e">
        <f>IF(INDEX(DATOS3!$1:$19397,A61,MATCH("Total_Fluoro_Time",DATOS3!$1:$1,0))=0,0,INDEX(DATOS3!$1:$19397,A61,MATCH("Total_Fluoro_Time",DATOS3!$1:$1,0)))</f>
        <v>#N/A</v>
      </c>
      <c r="L61" t="e">
        <f>IF(INDEX(DATOS3!$1:$19397,A61,MATCH("Total_Acquisition_Time",DATOS3!$1:$1,0))=0,0,INDEX(DATOS3!$1:$19397,A61,MATCH("Total_Acquisition_Time",DATOS3!$1:$1,0)))</f>
        <v>#N/A</v>
      </c>
    </row>
    <row r="62" spans="1:12" x14ac:dyDescent="0.25">
      <c r="A62">
        <v>62</v>
      </c>
      <c r="B62" t="e">
        <f t="shared" si="0"/>
        <v>#N/A</v>
      </c>
      <c r="D62" t="e">
        <f>IF(INDEX(DATOS3!$1:$19397,A62,MATCH("PatientID",DATOS3!$1:$1,0))=0,"",INDEX(DATOS3!$1:$19397,A62,MATCH("PatientID",DATOS3!$1:$1,0)))</f>
        <v>#N/A</v>
      </c>
      <c r="F62" t="e">
        <f>IF(INDEX(DATOS3!$1:$19397,A62,MATCH("SeriesDate",DATOS3!$1:$1,0))=0,"",INDEX(DATOS3!$1:$19397,A62,MATCH("SeriesDate",DATOS3!$1:$1,0)))</f>
        <v>#N/A</v>
      </c>
      <c r="G62" t="e">
        <f>IF(INDEX(DATOS3!$1:$19397,A62,MATCH("SeriesTime",DATOS3!$1:$1,0))=0,"",INDEX(DATOS3!$1:$19397,A62,MATCH("SeriesTime",DATOS3!$1:$1,0)))</f>
        <v>#N/A</v>
      </c>
      <c r="H62" t="e">
        <f>IF(INDEX(DATOS3!$1:$19397,A62,MATCH("StudyDescription",DATOS3!$1:$1,0))=0,"",INDEX(DATOS3!$1:$19397,A62,MATCH("StudyDescription",DATOS3!$1:$1,0)))</f>
        <v>#N/A</v>
      </c>
      <c r="I62" t="e">
        <f>IF(INDEX(DATOS3!$1:$19397,A62,MATCH("Dose_Area_Product_Total",DATOS3!$1:$1,0))=0,0,INDEX(DATOS3!$1:$19397,A62,MATCH("Dose_Area_Product_Total",DATOS3!$1:$1,0)))</f>
        <v>#N/A</v>
      </c>
      <c r="J62" t="e">
        <f>IF(INDEX(DATOS3!$1:$19397,A62,MATCH("Dose_RP_Total",DATOS3!$1:$1,0))=0,0,INDEX(DATOS3!$1:$19397,A62,MATCH("Dose_RP_Total",DATOS3!$1:$1,0)))</f>
        <v>#N/A</v>
      </c>
      <c r="K62" t="e">
        <f>IF(INDEX(DATOS3!$1:$19397,A62,MATCH("Total_Fluoro_Time",DATOS3!$1:$1,0))=0,0,INDEX(DATOS3!$1:$19397,A62,MATCH("Total_Fluoro_Time",DATOS3!$1:$1,0)))</f>
        <v>#N/A</v>
      </c>
      <c r="L62" t="e">
        <f>IF(INDEX(DATOS3!$1:$19397,A62,MATCH("Total_Acquisition_Time",DATOS3!$1:$1,0))=0,0,INDEX(DATOS3!$1:$19397,A62,MATCH("Total_Acquisition_Time",DATOS3!$1:$1,0)))</f>
        <v>#N/A</v>
      </c>
    </row>
    <row r="63" spans="1:12" x14ac:dyDescent="0.25">
      <c r="A63">
        <v>63</v>
      </c>
      <c r="B63" t="e">
        <f t="shared" si="0"/>
        <v>#N/A</v>
      </c>
      <c r="D63" t="e">
        <f>IF(INDEX(DATOS3!$1:$19397,A63,MATCH("PatientID",DATOS3!$1:$1,0))=0,"",INDEX(DATOS3!$1:$19397,A63,MATCH("PatientID",DATOS3!$1:$1,0)))</f>
        <v>#N/A</v>
      </c>
      <c r="F63" t="e">
        <f>IF(INDEX(DATOS3!$1:$19397,A63,MATCH("SeriesDate",DATOS3!$1:$1,0))=0,"",INDEX(DATOS3!$1:$19397,A63,MATCH("SeriesDate",DATOS3!$1:$1,0)))</f>
        <v>#N/A</v>
      </c>
      <c r="G63" t="e">
        <f>IF(INDEX(DATOS3!$1:$19397,A63,MATCH("SeriesTime",DATOS3!$1:$1,0))=0,"",INDEX(DATOS3!$1:$19397,A63,MATCH("SeriesTime",DATOS3!$1:$1,0)))</f>
        <v>#N/A</v>
      </c>
      <c r="H63" t="e">
        <f>IF(INDEX(DATOS3!$1:$19397,A63,MATCH("StudyDescription",DATOS3!$1:$1,0))=0,"",INDEX(DATOS3!$1:$19397,A63,MATCH("StudyDescription",DATOS3!$1:$1,0)))</f>
        <v>#N/A</v>
      </c>
      <c r="I63" t="e">
        <f>IF(INDEX(DATOS3!$1:$19397,A63,MATCH("Dose_Area_Product_Total",DATOS3!$1:$1,0))=0,0,INDEX(DATOS3!$1:$19397,A63,MATCH("Dose_Area_Product_Total",DATOS3!$1:$1,0)))</f>
        <v>#N/A</v>
      </c>
      <c r="J63" t="e">
        <f>IF(INDEX(DATOS3!$1:$19397,A63,MATCH("Dose_RP_Total",DATOS3!$1:$1,0))=0,0,INDEX(DATOS3!$1:$19397,A63,MATCH("Dose_RP_Total",DATOS3!$1:$1,0)))</f>
        <v>#N/A</v>
      </c>
      <c r="K63" t="e">
        <f>IF(INDEX(DATOS3!$1:$19397,A63,MATCH("Total_Fluoro_Time",DATOS3!$1:$1,0))=0,0,INDEX(DATOS3!$1:$19397,A63,MATCH("Total_Fluoro_Time",DATOS3!$1:$1,0)))</f>
        <v>#N/A</v>
      </c>
      <c r="L63" t="e">
        <f>IF(INDEX(DATOS3!$1:$19397,A63,MATCH("Total_Acquisition_Time",DATOS3!$1:$1,0))=0,0,INDEX(DATOS3!$1:$19397,A63,MATCH("Total_Acquisition_Time",DATOS3!$1:$1,0)))</f>
        <v>#N/A</v>
      </c>
    </row>
    <row r="64" spans="1:12" x14ac:dyDescent="0.25">
      <c r="A64">
        <v>64</v>
      </c>
      <c r="B64" t="e">
        <f t="shared" si="0"/>
        <v>#N/A</v>
      </c>
      <c r="D64" t="e">
        <f>IF(INDEX(DATOS3!$1:$19397,A64,MATCH("PatientID",DATOS3!$1:$1,0))=0,"",INDEX(DATOS3!$1:$19397,A64,MATCH("PatientID",DATOS3!$1:$1,0)))</f>
        <v>#N/A</v>
      </c>
      <c r="F64" t="e">
        <f>IF(INDEX(DATOS3!$1:$19397,A64,MATCH("SeriesDate",DATOS3!$1:$1,0))=0,"",INDEX(DATOS3!$1:$19397,A64,MATCH("SeriesDate",DATOS3!$1:$1,0)))</f>
        <v>#N/A</v>
      </c>
      <c r="G64" t="e">
        <f>IF(INDEX(DATOS3!$1:$19397,A64,MATCH("SeriesTime",DATOS3!$1:$1,0))=0,"",INDEX(DATOS3!$1:$19397,A64,MATCH("SeriesTime",DATOS3!$1:$1,0)))</f>
        <v>#N/A</v>
      </c>
      <c r="H64" t="e">
        <f>IF(INDEX(DATOS3!$1:$19397,A64,MATCH("StudyDescription",DATOS3!$1:$1,0))=0,"",INDEX(DATOS3!$1:$19397,A64,MATCH("StudyDescription",DATOS3!$1:$1,0)))</f>
        <v>#N/A</v>
      </c>
      <c r="I64" t="e">
        <f>IF(INDEX(DATOS3!$1:$19397,A64,MATCH("Dose_Area_Product_Total",DATOS3!$1:$1,0))=0,0,INDEX(DATOS3!$1:$19397,A64,MATCH("Dose_Area_Product_Total",DATOS3!$1:$1,0)))</f>
        <v>#N/A</v>
      </c>
      <c r="J64" t="e">
        <f>IF(INDEX(DATOS3!$1:$19397,A64,MATCH("Dose_RP_Total",DATOS3!$1:$1,0))=0,0,INDEX(DATOS3!$1:$19397,A64,MATCH("Dose_RP_Total",DATOS3!$1:$1,0)))</f>
        <v>#N/A</v>
      </c>
      <c r="K64" t="e">
        <f>IF(INDEX(DATOS3!$1:$19397,A64,MATCH("Total_Fluoro_Time",DATOS3!$1:$1,0))=0,0,INDEX(DATOS3!$1:$19397,A64,MATCH("Total_Fluoro_Time",DATOS3!$1:$1,0)))</f>
        <v>#N/A</v>
      </c>
      <c r="L64" t="e">
        <f>IF(INDEX(DATOS3!$1:$19397,A64,MATCH("Total_Acquisition_Time",DATOS3!$1:$1,0))=0,0,INDEX(DATOS3!$1:$19397,A64,MATCH("Total_Acquisition_Time",DATOS3!$1:$1,0)))</f>
        <v>#N/A</v>
      </c>
    </row>
    <row r="65" spans="1:12" x14ac:dyDescent="0.25">
      <c r="A65">
        <v>65</v>
      </c>
      <c r="B65" t="e">
        <f t="shared" si="0"/>
        <v>#N/A</v>
      </c>
      <c r="D65" t="e">
        <f>IF(INDEX(DATOS3!$1:$19397,A65,MATCH("PatientID",DATOS3!$1:$1,0))=0,"",INDEX(DATOS3!$1:$19397,A65,MATCH("PatientID",DATOS3!$1:$1,0)))</f>
        <v>#N/A</v>
      </c>
      <c r="F65" t="e">
        <f>IF(INDEX(DATOS3!$1:$19397,A65,MATCH("SeriesDate",DATOS3!$1:$1,0))=0,"",INDEX(DATOS3!$1:$19397,A65,MATCH("SeriesDate",DATOS3!$1:$1,0)))</f>
        <v>#N/A</v>
      </c>
      <c r="G65" t="e">
        <f>IF(INDEX(DATOS3!$1:$19397,A65,MATCH("SeriesTime",DATOS3!$1:$1,0))=0,"",INDEX(DATOS3!$1:$19397,A65,MATCH("SeriesTime",DATOS3!$1:$1,0)))</f>
        <v>#N/A</v>
      </c>
      <c r="H65" t="e">
        <f>IF(INDEX(DATOS3!$1:$19397,A65,MATCH("StudyDescription",DATOS3!$1:$1,0))=0,"",INDEX(DATOS3!$1:$19397,A65,MATCH("StudyDescription",DATOS3!$1:$1,0)))</f>
        <v>#N/A</v>
      </c>
      <c r="I65" t="e">
        <f>IF(INDEX(DATOS3!$1:$19397,A65,MATCH("Dose_Area_Product_Total",DATOS3!$1:$1,0))=0,0,INDEX(DATOS3!$1:$19397,A65,MATCH("Dose_Area_Product_Total",DATOS3!$1:$1,0)))</f>
        <v>#N/A</v>
      </c>
      <c r="J65" t="e">
        <f>IF(INDEX(DATOS3!$1:$19397,A65,MATCH("Dose_RP_Total",DATOS3!$1:$1,0))=0,0,INDEX(DATOS3!$1:$19397,A65,MATCH("Dose_RP_Total",DATOS3!$1:$1,0)))</f>
        <v>#N/A</v>
      </c>
      <c r="K65" t="e">
        <f>IF(INDEX(DATOS3!$1:$19397,A65,MATCH("Total_Fluoro_Time",DATOS3!$1:$1,0))=0,0,INDEX(DATOS3!$1:$19397,A65,MATCH("Total_Fluoro_Time",DATOS3!$1:$1,0)))</f>
        <v>#N/A</v>
      </c>
      <c r="L65" t="e">
        <f>IF(INDEX(DATOS3!$1:$19397,A65,MATCH("Total_Acquisition_Time",DATOS3!$1:$1,0))=0,0,INDEX(DATOS3!$1:$19397,A65,MATCH("Total_Acquisition_Time",DATOS3!$1:$1,0)))</f>
        <v>#N/A</v>
      </c>
    </row>
    <row r="66" spans="1:12" x14ac:dyDescent="0.25">
      <c r="A66">
        <v>66</v>
      </c>
      <c r="B66" t="e">
        <f t="shared" si="0"/>
        <v>#N/A</v>
      </c>
      <c r="D66" t="e">
        <f>IF(INDEX(DATOS3!$1:$19397,A66,MATCH("PatientID",DATOS3!$1:$1,0))=0,"",INDEX(DATOS3!$1:$19397,A66,MATCH("PatientID",DATOS3!$1:$1,0)))</f>
        <v>#N/A</v>
      </c>
      <c r="F66" t="e">
        <f>IF(INDEX(DATOS3!$1:$19397,A66,MATCH("SeriesDate",DATOS3!$1:$1,0))=0,"",INDEX(DATOS3!$1:$19397,A66,MATCH("SeriesDate",DATOS3!$1:$1,0)))</f>
        <v>#N/A</v>
      </c>
      <c r="G66" t="e">
        <f>IF(INDEX(DATOS3!$1:$19397,A66,MATCH("SeriesTime",DATOS3!$1:$1,0))=0,"",INDEX(DATOS3!$1:$19397,A66,MATCH("SeriesTime",DATOS3!$1:$1,0)))</f>
        <v>#N/A</v>
      </c>
      <c r="H66" t="e">
        <f>IF(INDEX(DATOS3!$1:$19397,A66,MATCH("StudyDescription",DATOS3!$1:$1,0))=0,"",INDEX(DATOS3!$1:$19397,A66,MATCH("StudyDescription",DATOS3!$1:$1,0)))</f>
        <v>#N/A</v>
      </c>
      <c r="I66" t="e">
        <f>IF(INDEX(DATOS3!$1:$19397,A66,MATCH("Dose_Area_Product_Total",DATOS3!$1:$1,0))=0,0,INDEX(DATOS3!$1:$19397,A66,MATCH("Dose_Area_Product_Total",DATOS3!$1:$1,0)))</f>
        <v>#N/A</v>
      </c>
      <c r="J66" t="e">
        <f>IF(INDEX(DATOS3!$1:$19397,A66,MATCH("Dose_RP_Total",DATOS3!$1:$1,0))=0,0,INDEX(DATOS3!$1:$19397,A66,MATCH("Dose_RP_Total",DATOS3!$1:$1,0)))</f>
        <v>#N/A</v>
      </c>
      <c r="K66" t="e">
        <f>IF(INDEX(DATOS3!$1:$19397,A66,MATCH("Total_Fluoro_Time",DATOS3!$1:$1,0))=0,0,INDEX(DATOS3!$1:$19397,A66,MATCH("Total_Fluoro_Time",DATOS3!$1:$1,0)))</f>
        <v>#N/A</v>
      </c>
      <c r="L66" t="e">
        <f>IF(INDEX(DATOS3!$1:$19397,A66,MATCH("Total_Acquisition_Time",DATOS3!$1:$1,0))=0,0,INDEX(DATOS3!$1:$19397,A66,MATCH("Total_Acquisition_Time",DATOS3!$1:$1,0)))</f>
        <v>#N/A</v>
      </c>
    </row>
    <row r="67" spans="1:12" x14ac:dyDescent="0.25">
      <c r="A67">
        <v>67</v>
      </c>
      <c r="B67" t="e">
        <f t="shared" ref="B67:B130" si="1">IF(D67="","","HIBRIDO")</f>
        <v>#N/A</v>
      </c>
      <c r="D67" t="e">
        <f>IF(INDEX(DATOS3!$1:$19397,A67,MATCH("PatientID",DATOS3!$1:$1,0))=0,"",INDEX(DATOS3!$1:$19397,A67,MATCH("PatientID",DATOS3!$1:$1,0)))</f>
        <v>#N/A</v>
      </c>
      <c r="F67" t="e">
        <f>IF(INDEX(DATOS3!$1:$19397,A67,MATCH("SeriesDate",DATOS3!$1:$1,0))=0,"",INDEX(DATOS3!$1:$19397,A67,MATCH("SeriesDate",DATOS3!$1:$1,0)))</f>
        <v>#N/A</v>
      </c>
      <c r="G67" t="e">
        <f>IF(INDEX(DATOS3!$1:$19397,A67,MATCH("SeriesTime",DATOS3!$1:$1,0))=0,"",INDEX(DATOS3!$1:$19397,A67,MATCH("SeriesTime",DATOS3!$1:$1,0)))</f>
        <v>#N/A</v>
      </c>
      <c r="H67" t="e">
        <f>IF(INDEX(DATOS3!$1:$19397,A67,MATCH("StudyDescription",DATOS3!$1:$1,0))=0,"",INDEX(DATOS3!$1:$19397,A67,MATCH("StudyDescription",DATOS3!$1:$1,0)))</f>
        <v>#N/A</v>
      </c>
      <c r="I67" t="e">
        <f>IF(INDEX(DATOS3!$1:$19397,A67,MATCH("Dose_Area_Product_Total",DATOS3!$1:$1,0))=0,0,INDEX(DATOS3!$1:$19397,A67,MATCH("Dose_Area_Product_Total",DATOS3!$1:$1,0)))</f>
        <v>#N/A</v>
      </c>
      <c r="J67" t="e">
        <f>IF(INDEX(DATOS3!$1:$19397,A67,MATCH("Dose_RP_Total",DATOS3!$1:$1,0))=0,0,INDEX(DATOS3!$1:$19397,A67,MATCH("Dose_RP_Total",DATOS3!$1:$1,0)))</f>
        <v>#N/A</v>
      </c>
      <c r="K67" t="e">
        <f>IF(INDEX(DATOS3!$1:$19397,A67,MATCH("Total_Fluoro_Time",DATOS3!$1:$1,0))=0,0,INDEX(DATOS3!$1:$19397,A67,MATCH("Total_Fluoro_Time",DATOS3!$1:$1,0)))</f>
        <v>#N/A</v>
      </c>
      <c r="L67" t="e">
        <f>IF(INDEX(DATOS3!$1:$19397,A67,MATCH("Total_Acquisition_Time",DATOS3!$1:$1,0))=0,0,INDEX(DATOS3!$1:$19397,A67,MATCH("Total_Acquisition_Time",DATOS3!$1:$1,0)))</f>
        <v>#N/A</v>
      </c>
    </row>
    <row r="68" spans="1:12" x14ac:dyDescent="0.25">
      <c r="A68">
        <v>68</v>
      </c>
      <c r="B68" t="e">
        <f t="shared" si="1"/>
        <v>#N/A</v>
      </c>
      <c r="D68" t="e">
        <f>IF(INDEX(DATOS3!$1:$19397,A68,MATCH("PatientID",DATOS3!$1:$1,0))=0,"",INDEX(DATOS3!$1:$19397,A68,MATCH("PatientID",DATOS3!$1:$1,0)))</f>
        <v>#N/A</v>
      </c>
      <c r="F68" t="e">
        <f>IF(INDEX(DATOS3!$1:$19397,A68,MATCH("SeriesDate",DATOS3!$1:$1,0))=0,"",INDEX(DATOS3!$1:$19397,A68,MATCH("SeriesDate",DATOS3!$1:$1,0)))</f>
        <v>#N/A</v>
      </c>
      <c r="G68" t="e">
        <f>IF(INDEX(DATOS3!$1:$19397,A68,MATCH("SeriesTime",DATOS3!$1:$1,0))=0,"",INDEX(DATOS3!$1:$19397,A68,MATCH("SeriesTime",DATOS3!$1:$1,0)))</f>
        <v>#N/A</v>
      </c>
      <c r="H68" t="e">
        <f>IF(INDEX(DATOS3!$1:$19397,A68,MATCH("StudyDescription",DATOS3!$1:$1,0))=0,"",INDEX(DATOS3!$1:$19397,A68,MATCH("StudyDescription",DATOS3!$1:$1,0)))</f>
        <v>#N/A</v>
      </c>
      <c r="I68" t="e">
        <f>IF(INDEX(DATOS3!$1:$19397,A68,MATCH("Dose_Area_Product_Total",DATOS3!$1:$1,0))=0,0,INDEX(DATOS3!$1:$19397,A68,MATCH("Dose_Area_Product_Total",DATOS3!$1:$1,0)))</f>
        <v>#N/A</v>
      </c>
      <c r="J68" t="e">
        <f>IF(INDEX(DATOS3!$1:$19397,A68,MATCH("Dose_RP_Total",DATOS3!$1:$1,0))=0,0,INDEX(DATOS3!$1:$19397,A68,MATCH("Dose_RP_Total",DATOS3!$1:$1,0)))</f>
        <v>#N/A</v>
      </c>
      <c r="K68" t="e">
        <f>IF(INDEX(DATOS3!$1:$19397,A68,MATCH("Total_Fluoro_Time",DATOS3!$1:$1,0))=0,0,INDEX(DATOS3!$1:$19397,A68,MATCH("Total_Fluoro_Time",DATOS3!$1:$1,0)))</f>
        <v>#N/A</v>
      </c>
      <c r="L68" t="e">
        <f>IF(INDEX(DATOS3!$1:$19397,A68,MATCH("Total_Acquisition_Time",DATOS3!$1:$1,0))=0,0,INDEX(DATOS3!$1:$19397,A68,MATCH("Total_Acquisition_Time",DATOS3!$1:$1,0)))</f>
        <v>#N/A</v>
      </c>
    </row>
    <row r="69" spans="1:12" x14ac:dyDescent="0.25">
      <c r="A69">
        <v>69</v>
      </c>
      <c r="B69" t="e">
        <f t="shared" si="1"/>
        <v>#N/A</v>
      </c>
      <c r="D69" t="e">
        <f>IF(INDEX(DATOS3!$1:$19397,A69,MATCH("PatientID",DATOS3!$1:$1,0))=0,"",INDEX(DATOS3!$1:$19397,A69,MATCH("PatientID",DATOS3!$1:$1,0)))</f>
        <v>#N/A</v>
      </c>
      <c r="F69" t="e">
        <f>IF(INDEX(DATOS3!$1:$19397,A69,MATCH("SeriesDate",DATOS3!$1:$1,0))=0,"",INDEX(DATOS3!$1:$19397,A69,MATCH("SeriesDate",DATOS3!$1:$1,0)))</f>
        <v>#N/A</v>
      </c>
      <c r="G69" t="e">
        <f>IF(INDEX(DATOS3!$1:$19397,A69,MATCH("SeriesTime",DATOS3!$1:$1,0))=0,"",INDEX(DATOS3!$1:$19397,A69,MATCH("SeriesTime",DATOS3!$1:$1,0)))</f>
        <v>#N/A</v>
      </c>
      <c r="H69" t="e">
        <f>IF(INDEX(DATOS3!$1:$19397,A69,MATCH("StudyDescription",DATOS3!$1:$1,0))=0,"",INDEX(DATOS3!$1:$19397,A69,MATCH("StudyDescription",DATOS3!$1:$1,0)))</f>
        <v>#N/A</v>
      </c>
      <c r="I69" t="e">
        <f>IF(INDEX(DATOS3!$1:$19397,A69,MATCH("Dose_Area_Product_Total",DATOS3!$1:$1,0))=0,0,INDEX(DATOS3!$1:$19397,A69,MATCH("Dose_Area_Product_Total",DATOS3!$1:$1,0)))</f>
        <v>#N/A</v>
      </c>
      <c r="J69" t="e">
        <f>IF(INDEX(DATOS3!$1:$19397,A69,MATCH("Dose_RP_Total",DATOS3!$1:$1,0))=0,0,INDEX(DATOS3!$1:$19397,A69,MATCH("Dose_RP_Total",DATOS3!$1:$1,0)))</f>
        <v>#N/A</v>
      </c>
      <c r="K69" t="e">
        <f>IF(INDEX(DATOS3!$1:$19397,A69,MATCH("Total_Fluoro_Time",DATOS3!$1:$1,0))=0,0,INDEX(DATOS3!$1:$19397,A69,MATCH("Total_Fluoro_Time",DATOS3!$1:$1,0)))</f>
        <v>#N/A</v>
      </c>
      <c r="L69" t="e">
        <f>IF(INDEX(DATOS3!$1:$19397,A69,MATCH("Total_Acquisition_Time",DATOS3!$1:$1,0))=0,0,INDEX(DATOS3!$1:$19397,A69,MATCH("Total_Acquisition_Time",DATOS3!$1:$1,0)))</f>
        <v>#N/A</v>
      </c>
    </row>
    <row r="70" spans="1:12" x14ac:dyDescent="0.25">
      <c r="A70">
        <v>70</v>
      </c>
      <c r="B70" t="e">
        <f t="shared" si="1"/>
        <v>#N/A</v>
      </c>
      <c r="D70" t="e">
        <f>IF(INDEX(DATOS3!$1:$19397,A70,MATCH("PatientID",DATOS3!$1:$1,0))=0,"",INDEX(DATOS3!$1:$19397,A70,MATCH("PatientID",DATOS3!$1:$1,0)))</f>
        <v>#N/A</v>
      </c>
      <c r="F70" t="e">
        <f>IF(INDEX(DATOS3!$1:$19397,A70,MATCH("SeriesDate",DATOS3!$1:$1,0))=0,"",INDEX(DATOS3!$1:$19397,A70,MATCH("SeriesDate",DATOS3!$1:$1,0)))</f>
        <v>#N/A</v>
      </c>
      <c r="G70" t="e">
        <f>IF(INDEX(DATOS3!$1:$19397,A70,MATCH("SeriesTime",DATOS3!$1:$1,0))=0,"",INDEX(DATOS3!$1:$19397,A70,MATCH("SeriesTime",DATOS3!$1:$1,0)))</f>
        <v>#N/A</v>
      </c>
      <c r="H70" t="e">
        <f>IF(INDEX(DATOS3!$1:$19397,A70,MATCH("StudyDescription",DATOS3!$1:$1,0))=0,"",INDEX(DATOS3!$1:$19397,A70,MATCH("StudyDescription",DATOS3!$1:$1,0)))</f>
        <v>#N/A</v>
      </c>
      <c r="I70" t="e">
        <f>IF(INDEX(DATOS3!$1:$19397,A70,MATCH("Dose_Area_Product_Total",DATOS3!$1:$1,0))=0,0,INDEX(DATOS3!$1:$19397,A70,MATCH("Dose_Area_Product_Total",DATOS3!$1:$1,0)))</f>
        <v>#N/A</v>
      </c>
      <c r="J70" t="e">
        <f>IF(INDEX(DATOS3!$1:$19397,A70,MATCH("Dose_RP_Total",DATOS3!$1:$1,0))=0,0,INDEX(DATOS3!$1:$19397,A70,MATCH("Dose_RP_Total",DATOS3!$1:$1,0)))</f>
        <v>#N/A</v>
      </c>
      <c r="K70" t="e">
        <f>IF(INDEX(DATOS3!$1:$19397,A70,MATCH("Total_Fluoro_Time",DATOS3!$1:$1,0))=0,0,INDEX(DATOS3!$1:$19397,A70,MATCH("Total_Fluoro_Time",DATOS3!$1:$1,0)))</f>
        <v>#N/A</v>
      </c>
      <c r="L70" t="e">
        <f>IF(INDEX(DATOS3!$1:$19397,A70,MATCH("Total_Acquisition_Time",DATOS3!$1:$1,0))=0,0,INDEX(DATOS3!$1:$19397,A70,MATCH("Total_Acquisition_Time",DATOS3!$1:$1,0)))</f>
        <v>#N/A</v>
      </c>
    </row>
    <row r="71" spans="1:12" x14ac:dyDescent="0.25">
      <c r="A71">
        <v>71</v>
      </c>
      <c r="B71" t="e">
        <f t="shared" si="1"/>
        <v>#N/A</v>
      </c>
      <c r="D71" t="e">
        <f>IF(INDEX(DATOS3!$1:$19397,A71,MATCH("PatientID",DATOS3!$1:$1,0))=0,"",INDEX(DATOS3!$1:$19397,A71,MATCH("PatientID",DATOS3!$1:$1,0)))</f>
        <v>#N/A</v>
      </c>
      <c r="F71" t="e">
        <f>IF(INDEX(DATOS3!$1:$19397,A71,MATCH("SeriesDate",DATOS3!$1:$1,0))=0,"",INDEX(DATOS3!$1:$19397,A71,MATCH("SeriesDate",DATOS3!$1:$1,0)))</f>
        <v>#N/A</v>
      </c>
      <c r="G71" t="e">
        <f>IF(INDEX(DATOS3!$1:$19397,A71,MATCH("SeriesTime",DATOS3!$1:$1,0))=0,"",INDEX(DATOS3!$1:$19397,A71,MATCH("SeriesTime",DATOS3!$1:$1,0)))</f>
        <v>#N/A</v>
      </c>
      <c r="H71" t="e">
        <f>IF(INDEX(DATOS3!$1:$19397,A71,MATCH("StudyDescription",DATOS3!$1:$1,0))=0,"",INDEX(DATOS3!$1:$19397,A71,MATCH("StudyDescription",DATOS3!$1:$1,0)))</f>
        <v>#N/A</v>
      </c>
      <c r="I71" t="e">
        <f>IF(INDEX(DATOS3!$1:$19397,A71,MATCH("Dose_Area_Product_Total",DATOS3!$1:$1,0))=0,0,INDEX(DATOS3!$1:$19397,A71,MATCH("Dose_Area_Product_Total",DATOS3!$1:$1,0)))</f>
        <v>#N/A</v>
      </c>
      <c r="J71" t="e">
        <f>IF(INDEX(DATOS3!$1:$19397,A71,MATCH("Dose_RP_Total",DATOS3!$1:$1,0))=0,0,INDEX(DATOS3!$1:$19397,A71,MATCH("Dose_RP_Total",DATOS3!$1:$1,0)))</f>
        <v>#N/A</v>
      </c>
      <c r="K71" t="e">
        <f>IF(INDEX(DATOS3!$1:$19397,A71,MATCH("Total_Fluoro_Time",DATOS3!$1:$1,0))=0,0,INDEX(DATOS3!$1:$19397,A71,MATCH("Total_Fluoro_Time",DATOS3!$1:$1,0)))</f>
        <v>#N/A</v>
      </c>
      <c r="L71" t="e">
        <f>IF(INDEX(DATOS3!$1:$19397,A71,MATCH("Total_Acquisition_Time",DATOS3!$1:$1,0))=0,0,INDEX(DATOS3!$1:$19397,A71,MATCH("Total_Acquisition_Time",DATOS3!$1:$1,0)))</f>
        <v>#N/A</v>
      </c>
    </row>
    <row r="72" spans="1:12" x14ac:dyDescent="0.25">
      <c r="A72">
        <v>72</v>
      </c>
      <c r="B72" t="e">
        <f t="shared" si="1"/>
        <v>#N/A</v>
      </c>
      <c r="D72" t="e">
        <f>IF(INDEX(DATOS3!$1:$19397,A72,MATCH("PatientID",DATOS3!$1:$1,0))=0,"",INDEX(DATOS3!$1:$19397,A72,MATCH("PatientID",DATOS3!$1:$1,0)))</f>
        <v>#N/A</v>
      </c>
      <c r="F72" t="e">
        <f>IF(INDEX(DATOS3!$1:$19397,A72,MATCH("SeriesDate",DATOS3!$1:$1,0))=0,"",INDEX(DATOS3!$1:$19397,A72,MATCH("SeriesDate",DATOS3!$1:$1,0)))</f>
        <v>#N/A</v>
      </c>
      <c r="G72" t="e">
        <f>IF(INDEX(DATOS3!$1:$19397,A72,MATCH("SeriesTime",DATOS3!$1:$1,0))=0,"",INDEX(DATOS3!$1:$19397,A72,MATCH("SeriesTime",DATOS3!$1:$1,0)))</f>
        <v>#N/A</v>
      </c>
      <c r="H72" t="e">
        <f>IF(INDEX(DATOS3!$1:$19397,A72,MATCH("StudyDescription",DATOS3!$1:$1,0))=0,"",INDEX(DATOS3!$1:$19397,A72,MATCH("StudyDescription",DATOS3!$1:$1,0)))</f>
        <v>#N/A</v>
      </c>
      <c r="I72" t="e">
        <f>IF(INDEX(DATOS3!$1:$19397,A72,MATCH("Dose_Area_Product_Total",DATOS3!$1:$1,0))=0,0,INDEX(DATOS3!$1:$19397,A72,MATCH("Dose_Area_Product_Total",DATOS3!$1:$1,0)))</f>
        <v>#N/A</v>
      </c>
      <c r="J72" t="e">
        <f>IF(INDEX(DATOS3!$1:$19397,A72,MATCH("Dose_RP_Total",DATOS3!$1:$1,0))=0,0,INDEX(DATOS3!$1:$19397,A72,MATCH("Dose_RP_Total",DATOS3!$1:$1,0)))</f>
        <v>#N/A</v>
      </c>
      <c r="K72" t="e">
        <f>IF(INDEX(DATOS3!$1:$19397,A72,MATCH("Total_Fluoro_Time",DATOS3!$1:$1,0))=0,0,INDEX(DATOS3!$1:$19397,A72,MATCH("Total_Fluoro_Time",DATOS3!$1:$1,0)))</f>
        <v>#N/A</v>
      </c>
      <c r="L72" t="e">
        <f>IF(INDEX(DATOS3!$1:$19397,A72,MATCH("Total_Acquisition_Time",DATOS3!$1:$1,0))=0,0,INDEX(DATOS3!$1:$19397,A72,MATCH("Total_Acquisition_Time",DATOS3!$1:$1,0)))</f>
        <v>#N/A</v>
      </c>
    </row>
    <row r="73" spans="1:12" x14ac:dyDescent="0.25">
      <c r="A73">
        <v>73</v>
      </c>
      <c r="B73" t="e">
        <f t="shared" si="1"/>
        <v>#N/A</v>
      </c>
      <c r="D73" t="e">
        <f>IF(INDEX(DATOS3!$1:$19397,A73,MATCH("PatientID",DATOS3!$1:$1,0))=0,"",INDEX(DATOS3!$1:$19397,A73,MATCH("PatientID",DATOS3!$1:$1,0)))</f>
        <v>#N/A</v>
      </c>
      <c r="F73" t="e">
        <f>IF(INDEX(DATOS3!$1:$19397,A73,MATCH("SeriesDate",DATOS3!$1:$1,0))=0,"",INDEX(DATOS3!$1:$19397,A73,MATCH("SeriesDate",DATOS3!$1:$1,0)))</f>
        <v>#N/A</v>
      </c>
      <c r="G73" t="e">
        <f>IF(INDEX(DATOS3!$1:$19397,A73,MATCH("SeriesTime",DATOS3!$1:$1,0))=0,"",INDEX(DATOS3!$1:$19397,A73,MATCH("SeriesTime",DATOS3!$1:$1,0)))</f>
        <v>#N/A</v>
      </c>
      <c r="H73" t="e">
        <f>IF(INDEX(DATOS3!$1:$19397,A73,MATCH("StudyDescription",DATOS3!$1:$1,0))=0,"",INDEX(DATOS3!$1:$19397,A73,MATCH("StudyDescription",DATOS3!$1:$1,0)))</f>
        <v>#N/A</v>
      </c>
      <c r="I73" t="e">
        <f>IF(INDEX(DATOS3!$1:$19397,A73,MATCH("Dose_Area_Product_Total",DATOS3!$1:$1,0))=0,0,INDEX(DATOS3!$1:$19397,A73,MATCH("Dose_Area_Product_Total",DATOS3!$1:$1,0)))</f>
        <v>#N/A</v>
      </c>
      <c r="J73" t="e">
        <f>IF(INDEX(DATOS3!$1:$19397,A73,MATCH("Dose_RP_Total",DATOS3!$1:$1,0))=0,0,INDEX(DATOS3!$1:$19397,A73,MATCH("Dose_RP_Total",DATOS3!$1:$1,0)))</f>
        <v>#N/A</v>
      </c>
      <c r="K73" t="e">
        <f>IF(INDEX(DATOS3!$1:$19397,A73,MATCH("Total_Fluoro_Time",DATOS3!$1:$1,0))=0,0,INDEX(DATOS3!$1:$19397,A73,MATCH("Total_Fluoro_Time",DATOS3!$1:$1,0)))</f>
        <v>#N/A</v>
      </c>
      <c r="L73" t="e">
        <f>IF(INDEX(DATOS3!$1:$19397,A73,MATCH("Total_Acquisition_Time",DATOS3!$1:$1,0))=0,0,INDEX(DATOS3!$1:$19397,A73,MATCH("Total_Acquisition_Time",DATOS3!$1:$1,0)))</f>
        <v>#N/A</v>
      </c>
    </row>
    <row r="74" spans="1:12" x14ac:dyDescent="0.25">
      <c r="A74">
        <v>74</v>
      </c>
      <c r="B74" t="e">
        <f t="shared" si="1"/>
        <v>#N/A</v>
      </c>
      <c r="D74" t="e">
        <f>IF(INDEX(DATOS3!$1:$19397,A74,MATCH("PatientID",DATOS3!$1:$1,0))=0,"",INDEX(DATOS3!$1:$19397,A74,MATCH("PatientID",DATOS3!$1:$1,0)))</f>
        <v>#N/A</v>
      </c>
      <c r="F74" t="e">
        <f>IF(INDEX(DATOS3!$1:$19397,A74,MATCH("SeriesDate",DATOS3!$1:$1,0))=0,"",INDEX(DATOS3!$1:$19397,A74,MATCH("SeriesDate",DATOS3!$1:$1,0)))</f>
        <v>#N/A</v>
      </c>
      <c r="G74" t="e">
        <f>IF(INDEX(DATOS3!$1:$19397,A74,MATCH("SeriesTime",DATOS3!$1:$1,0))=0,"",INDEX(DATOS3!$1:$19397,A74,MATCH("SeriesTime",DATOS3!$1:$1,0)))</f>
        <v>#N/A</v>
      </c>
      <c r="H74" t="e">
        <f>IF(INDEX(DATOS3!$1:$19397,A74,MATCH("StudyDescription",DATOS3!$1:$1,0))=0,"",INDEX(DATOS3!$1:$19397,A74,MATCH("StudyDescription",DATOS3!$1:$1,0)))</f>
        <v>#N/A</v>
      </c>
      <c r="I74" t="e">
        <f>IF(INDEX(DATOS3!$1:$19397,A74,MATCH("Dose_Area_Product_Total",DATOS3!$1:$1,0))=0,0,INDEX(DATOS3!$1:$19397,A74,MATCH("Dose_Area_Product_Total",DATOS3!$1:$1,0)))</f>
        <v>#N/A</v>
      </c>
      <c r="J74" t="e">
        <f>IF(INDEX(DATOS3!$1:$19397,A74,MATCH("Dose_RP_Total",DATOS3!$1:$1,0))=0,0,INDEX(DATOS3!$1:$19397,A74,MATCH("Dose_RP_Total",DATOS3!$1:$1,0)))</f>
        <v>#N/A</v>
      </c>
      <c r="K74" t="e">
        <f>IF(INDEX(DATOS3!$1:$19397,A74,MATCH("Total_Fluoro_Time",DATOS3!$1:$1,0))=0,0,INDEX(DATOS3!$1:$19397,A74,MATCH("Total_Fluoro_Time",DATOS3!$1:$1,0)))</f>
        <v>#N/A</v>
      </c>
      <c r="L74" t="e">
        <f>IF(INDEX(DATOS3!$1:$19397,A74,MATCH("Total_Acquisition_Time",DATOS3!$1:$1,0))=0,0,INDEX(DATOS3!$1:$19397,A74,MATCH("Total_Acquisition_Time",DATOS3!$1:$1,0)))</f>
        <v>#N/A</v>
      </c>
    </row>
    <row r="75" spans="1:12" x14ac:dyDescent="0.25">
      <c r="A75">
        <v>75</v>
      </c>
      <c r="B75" t="e">
        <f t="shared" si="1"/>
        <v>#N/A</v>
      </c>
      <c r="D75" t="e">
        <f>IF(INDEX(DATOS3!$1:$19397,A75,MATCH("PatientID",DATOS3!$1:$1,0))=0,"",INDEX(DATOS3!$1:$19397,A75,MATCH("PatientID",DATOS3!$1:$1,0)))</f>
        <v>#N/A</v>
      </c>
      <c r="F75" t="e">
        <f>IF(INDEX(DATOS3!$1:$19397,A75,MATCH("SeriesDate",DATOS3!$1:$1,0))=0,"",INDEX(DATOS3!$1:$19397,A75,MATCH("SeriesDate",DATOS3!$1:$1,0)))</f>
        <v>#N/A</v>
      </c>
      <c r="G75" t="e">
        <f>IF(INDEX(DATOS3!$1:$19397,A75,MATCH("SeriesTime",DATOS3!$1:$1,0))=0,"",INDEX(DATOS3!$1:$19397,A75,MATCH("SeriesTime",DATOS3!$1:$1,0)))</f>
        <v>#N/A</v>
      </c>
      <c r="H75" t="e">
        <f>IF(INDEX(DATOS3!$1:$19397,A75,MATCH("StudyDescription",DATOS3!$1:$1,0))=0,"",INDEX(DATOS3!$1:$19397,A75,MATCH("StudyDescription",DATOS3!$1:$1,0)))</f>
        <v>#N/A</v>
      </c>
      <c r="I75" t="e">
        <f>IF(INDEX(DATOS3!$1:$19397,A75,MATCH("Dose_Area_Product_Total",DATOS3!$1:$1,0))=0,0,INDEX(DATOS3!$1:$19397,A75,MATCH("Dose_Area_Product_Total",DATOS3!$1:$1,0)))</f>
        <v>#N/A</v>
      </c>
      <c r="J75" t="e">
        <f>IF(INDEX(DATOS3!$1:$19397,A75,MATCH("Dose_RP_Total",DATOS3!$1:$1,0))=0,0,INDEX(DATOS3!$1:$19397,A75,MATCH("Dose_RP_Total",DATOS3!$1:$1,0)))</f>
        <v>#N/A</v>
      </c>
      <c r="K75" t="e">
        <f>IF(INDEX(DATOS3!$1:$19397,A75,MATCH("Total_Fluoro_Time",DATOS3!$1:$1,0))=0,0,INDEX(DATOS3!$1:$19397,A75,MATCH("Total_Fluoro_Time",DATOS3!$1:$1,0)))</f>
        <v>#N/A</v>
      </c>
      <c r="L75" t="e">
        <f>IF(INDEX(DATOS3!$1:$19397,A75,MATCH("Total_Acquisition_Time",DATOS3!$1:$1,0))=0,0,INDEX(DATOS3!$1:$19397,A75,MATCH("Total_Acquisition_Time",DATOS3!$1:$1,0)))</f>
        <v>#N/A</v>
      </c>
    </row>
    <row r="76" spans="1:12" x14ac:dyDescent="0.25">
      <c r="A76">
        <v>76</v>
      </c>
      <c r="B76" t="e">
        <f t="shared" si="1"/>
        <v>#N/A</v>
      </c>
      <c r="D76" t="e">
        <f>IF(INDEX(DATOS3!$1:$19397,A76,MATCH("PatientID",DATOS3!$1:$1,0))=0,"",INDEX(DATOS3!$1:$19397,A76,MATCH("PatientID",DATOS3!$1:$1,0)))</f>
        <v>#N/A</v>
      </c>
      <c r="F76" t="e">
        <f>IF(INDEX(DATOS3!$1:$19397,A76,MATCH("SeriesDate",DATOS3!$1:$1,0))=0,"",INDEX(DATOS3!$1:$19397,A76,MATCH("SeriesDate",DATOS3!$1:$1,0)))</f>
        <v>#N/A</v>
      </c>
      <c r="G76" t="e">
        <f>IF(INDEX(DATOS3!$1:$19397,A76,MATCH("SeriesTime",DATOS3!$1:$1,0))=0,"",INDEX(DATOS3!$1:$19397,A76,MATCH("SeriesTime",DATOS3!$1:$1,0)))</f>
        <v>#N/A</v>
      </c>
      <c r="H76" t="e">
        <f>IF(INDEX(DATOS3!$1:$19397,A76,MATCH("StudyDescription",DATOS3!$1:$1,0))=0,"",INDEX(DATOS3!$1:$19397,A76,MATCH("StudyDescription",DATOS3!$1:$1,0)))</f>
        <v>#N/A</v>
      </c>
      <c r="I76" t="e">
        <f>IF(INDEX(DATOS3!$1:$19397,A76,MATCH("Dose_Area_Product_Total",DATOS3!$1:$1,0))=0,0,INDEX(DATOS3!$1:$19397,A76,MATCH("Dose_Area_Product_Total",DATOS3!$1:$1,0)))</f>
        <v>#N/A</v>
      </c>
      <c r="J76" t="e">
        <f>IF(INDEX(DATOS3!$1:$19397,A76,MATCH("Dose_RP_Total",DATOS3!$1:$1,0))=0,0,INDEX(DATOS3!$1:$19397,A76,MATCH("Dose_RP_Total",DATOS3!$1:$1,0)))</f>
        <v>#N/A</v>
      </c>
      <c r="K76" t="e">
        <f>IF(INDEX(DATOS3!$1:$19397,A76,MATCH("Total_Fluoro_Time",DATOS3!$1:$1,0))=0,0,INDEX(DATOS3!$1:$19397,A76,MATCH("Total_Fluoro_Time",DATOS3!$1:$1,0)))</f>
        <v>#N/A</v>
      </c>
      <c r="L76" t="e">
        <f>IF(INDEX(DATOS3!$1:$19397,A76,MATCH("Total_Acquisition_Time",DATOS3!$1:$1,0))=0,0,INDEX(DATOS3!$1:$19397,A76,MATCH("Total_Acquisition_Time",DATOS3!$1:$1,0)))</f>
        <v>#N/A</v>
      </c>
    </row>
    <row r="77" spans="1:12" x14ac:dyDescent="0.25">
      <c r="A77">
        <v>77</v>
      </c>
      <c r="B77" t="e">
        <f t="shared" si="1"/>
        <v>#N/A</v>
      </c>
      <c r="D77" t="e">
        <f>IF(INDEX(DATOS3!$1:$19397,A77,MATCH("PatientID",DATOS3!$1:$1,0))=0,"",INDEX(DATOS3!$1:$19397,A77,MATCH("PatientID",DATOS3!$1:$1,0)))</f>
        <v>#N/A</v>
      </c>
      <c r="F77" t="e">
        <f>IF(INDEX(DATOS3!$1:$19397,A77,MATCH("SeriesDate",DATOS3!$1:$1,0))=0,"",INDEX(DATOS3!$1:$19397,A77,MATCH("SeriesDate",DATOS3!$1:$1,0)))</f>
        <v>#N/A</v>
      </c>
      <c r="G77" t="e">
        <f>IF(INDEX(DATOS3!$1:$19397,A77,MATCH("SeriesTime",DATOS3!$1:$1,0))=0,"",INDEX(DATOS3!$1:$19397,A77,MATCH("SeriesTime",DATOS3!$1:$1,0)))</f>
        <v>#N/A</v>
      </c>
      <c r="H77" t="e">
        <f>IF(INDEX(DATOS3!$1:$19397,A77,MATCH("StudyDescription",DATOS3!$1:$1,0))=0,"",INDEX(DATOS3!$1:$19397,A77,MATCH("StudyDescription",DATOS3!$1:$1,0)))</f>
        <v>#N/A</v>
      </c>
      <c r="I77" t="e">
        <f>IF(INDEX(DATOS3!$1:$19397,A77,MATCH("Dose_Area_Product_Total",DATOS3!$1:$1,0))=0,0,INDEX(DATOS3!$1:$19397,A77,MATCH("Dose_Area_Product_Total",DATOS3!$1:$1,0)))</f>
        <v>#N/A</v>
      </c>
      <c r="J77" t="e">
        <f>IF(INDEX(DATOS3!$1:$19397,A77,MATCH("Dose_RP_Total",DATOS3!$1:$1,0))=0,0,INDEX(DATOS3!$1:$19397,A77,MATCH("Dose_RP_Total",DATOS3!$1:$1,0)))</f>
        <v>#N/A</v>
      </c>
      <c r="K77" t="e">
        <f>IF(INDEX(DATOS3!$1:$19397,A77,MATCH("Total_Fluoro_Time",DATOS3!$1:$1,0))=0,0,INDEX(DATOS3!$1:$19397,A77,MATCH("Total_Fluoro_Time",DATOS3!$1:$1,0)))</f>
        <v>#N/A</v>
      </c>
      <c r="L77" t="e">
        <f>IF(INDEX(DATOS3!$1:$19397,A77,MATCH("Total_Acquisition_Time",DATOS3!$1:$1,0))=0,0,INDEX(DATOS3!$1:$19397,A77,MATCH("Total_Acquisition_Time",DATOS3!$1:$1,0)))</f>
        <v>#N/A</v>
      </c>
    </row>
    <row r="78" spans="1:12" x14ac:dyDescent="0.25">
      <c r="A78">
        <v>78</v>
      </c>
      <c r="B78" t="e">
        <f t="shared" si="1"/>
        <v>#N/A</v>
      </c>
      <c r="D78" t="e">
        <f>IF(INDEX(DATOS3!$1:$19397,A78,MATCH("PatientID",DATOS3!$1:$1,0))=0,"",INDEX(DATOS3!$1:$19397,A78,MATCH("PatientID",DATOS3!$1:$1,0)))</f>
        <v>#N/A</v>
      </c>
      <c r="F78" t="e">
        <f>IF(INDEX(DATOS3!$1:$19397,A78,MATCH("SeriesDate",DATOS3!$1:$1,0))=0,"",INDEX(DATOS3!$1:$19397,A78,MATCH("SeriesDate",DATOS3!$1:$1,0)))</f>
        <v>#N/A</v>
      </c>
      <c r="G78" t="e">
        <f>IF(INDEX(DATOS3!$1:$19397,A78,MATCH("SeriesTime",DATOS3!$1:$1,0))=0,"",INDEX(DATOS3!$1:$19397,A78,MATCH("SeriesTime",DATOS3!$1:$1,0)))</f>
        <v>#N/A</v>
      </c>
      <c r="H78" t="e">
        <f>IF(INDEX(DATOS3!$1:$19397,A78,MATCH("StudyDescription",DATOS3!$1:$1,0))=0,"",INDEX(DATOS3!$1:$19397,A78,MATCH("StudyDescription",DATOS3!$1:$1,0)))</f>
        <v>#N/A</v>
      </c>
      <c r="I78" t="e">
        <f>IF(INDEX(DATOS3!$1:$19397,A78,MATCH("Dose_Area_Product_Total",DATOS3!$1:$1,0))=0,0,INDEX(DATOS3!$1:$19397,A78,MATCH("Dose_Area_Product_Total",DATOS3!$1:$1,0)))</f>
        <v>#N/A</v>
      </c>
      <c r="J78" t="e">
        <f>IF(INDEX(DATOS3!$1:$19397,A78,MATCH("Dose_RP_Total",DATOS3!$1:$1,0))=0,0,INDEX(DATOS3!$1:$19397,A78,MATCH("Dose_RP_Total",DATOS3!$1:$1,0)))</f>
        <v>#N/A</v>
      </c>
      <c r="K78" t="e">
        <f>IF(INDEX(DATOS3!$1:$19397,A78,MATCH("Total_Fluoro_Time",DATOS3!$1:$1,0))=0,0,INDEX(DATOS3!$1:$19397,A78,MATCH("Total_Fluoro_Time",DATOS3!$1:$1,0)))</f>
        <v>#N/A</v>
      </c>
      <c r="L78" t="e">
        <f>IF(INDEX(DATOS3!$1:$19397,A78,MATCH("Total_Acquisition_Time",DATOS3!$1:$1,0))=0,0,INDEX(DATOS3!$1:$19397,A78,MATCH("Total_Acquisition_Time",DATOS3!$1:$1,0)))</f>
        <v>#N/A</v>
      </c>
    </row>
    <row r="79" spans="1:12" x14ac:dyDescent="0.25">
      <c r="A79">
        <v>79</v>
      </c>
      <c r="B79" t="e">
        <f t="shared" si="1"/>
        <v>#N/A</v>
      </c>
      <c r="D79" t="e">
        <f>IF(INDEX(DATOS3!$1:$19397,A79,MATCH("PatientID",DATOS3!$1:$1,0))=0,"",INDEX(DATOS3!$1:$19397,A79,MATCH("PatientID",DATOS3!$1:$1,0)))</f>
        <v>#N/A</v>
      </c>
      <c r="F79" t="e">
        <f>IF(INDEX(DATOS3!$1:$19397,A79,MATCH("SeriesDate",DATOS3!$1:$1,0))=0,"",INDEX(DATOS3!$1:$19397,A79,MATCH("SeriesDate",DATOS3!$1:$1,0)))</f>
        <v>#N/A</v>
      </c>
      <c r="G79" t="e">
        <f>IF(INDEX(DATOS3!$1:$19397,A79,MATCH("SeriesTime",DATOS3!$1:$1,0))=0,"",INDEX(DATOS3!$1:$19397,A79,MATCH("SeriesTime",DATOS3!$1:$1,0)))</f>
        <v>#N/A</v>
      </c>
      <c r="H79" t="e">
        <f>IF(INDEX(DATOS3!$1:$19397,A79,MATCH("StudyDescription",DATOS3!$1:$1,0))=0,"",INDEX(DATOS3!$1:$19397,A79,MATCH("StudyDescription",DATOS3!$1:$1,0)))</f>
        <v>#N/A</v>
      </c>
      <c r="I79" t="e">
        <f>IF(INDEX(DATOS3!$1:$19397,A79,MATCH("Dose_Area_Product_Total",DATOS3!$1:$1,0))=0,0,INDEX(DATOS3!$1:$19397,A79,MATCH("Dose_Area_Product_Total",DATOS3!$1:$1,0)))</f>
        <v>#N/A</v>
      </c>
      <c r="J79" t="e">
        <f>IF(INDEX(DATOS3!$1:$19397,A79,MATCH("Dose_RP_Total",DATOS3!$1:$1,0))=0,0,INDEX(DATOS3!$1:$19397,A79,MATCH("Dose_RP_Total",DATOS3!$1:$1,0)))</f>
        <v>#N/A</v>
      </c>
      <c r="K79" t="e">
        <f>IF(INDEX(DATOS3!$1:$19397,A79,MATCH("Total_Fluoro_Time",DATOS3!$1:$1,0))=0,0,INDEX(DATOS3!$1:$19397,A79,MATCH("Total_Fluoro_Time",DATOS3!$1:$1,0)))</f>
        <v>#N/A</v>
      </c>
      <c r="L79" t="e">
        <f>IF(INDEX(DATOS3!$1:$19397,A79,MATCH("Total_Acquisition_Time",DATOS3!$1:$1,0))=0,0,INDEX(DATOS3!$1:$19397,A79,MATCH("Total_Acquisition_Time",DATOS3!$1:$1,0)))</f>
        <v>#N/A</v>
      </c>
    </row>
    <row r="80" spans="1:12" x14ac:dyDescent="0.25">
      <c r="A80">
        <v>80</v>
      </c>
      <c r="B80" t="e">
        <f t="shared" si="1"/>
        <v>#N/A</v>
      </c>
      <c r="D80" t="e">
        <f>IF(INDEX(DATOS3!$1:$19397,A80,MATCH("PatientID",DATOS3!$1:$1,0))=0,"",INDEX(DATOS3!$1:$19397,A80,MATCH("PatientID",DATOS3!$1:$1,0)))</f>
        <v>#N/A</v>
      </c>
      <c r="F80" t="e">
        <f>IF(INDEX(DATOS3!$1:$19397,A80,MATCH("SeriesDate",DATOS3!$1:$1,0))=0,"",INDEX(DATOS3!$1:$19397,A80,MATCH("SeriesDate",DATOS3!$1:$1,0)))</f>
        <v>#N/A</v>
      </c>
      <c r="G80" t="e">
        <f>IF(INDEX(DATOS3!$1:$19397,A80,MATCH("SeriesTime",DATOS3!$1:$1,0))=0,"",INDEX(DATOS3!$1:$19397,A80,MATCH("SeriesTime",DATOS3!$1:$1,0)))</f>
        <v>#N/A</v>
      </c>
      <c r="H80" t="e">
        <f>IF(INDEX(DATOS3!$1:$19397,A80,MATCH("StudyDescription",DATOS3!$1:$1,0))=0,"",INDEX(DATOS3!$1:$19397,A80,MATCH("StudyDescription",DATOS3!$1:$1,0)))</f>
        <v>#N/A</v>
      </c>
      <c r="I80" t="e">
        <f>IF(INDEX(DATOS3!$1:$19397,A80,MATCH("Dose_Area_Product_Total",DATOS3!$1:$1,0))=0,0,INDEX(DATOS3!$1:$19397,A80,MATCH("Dose_Area_Product_Total",DATOS3!$1:$1,0)))</f>
        <v>#N/A</v>
      </c>
      <c r="J80" t="e">
        <f>IF(INDEX(DATOS3!$1:$19397,A80,MATCH("Dose_RP_Total",DATOS3!$1:$1,0))=0,0,INDEX(DATOS3!$1:$19397,A80,MATCH("Dose_RP_Total",DATOS3!$1:$1,0)))</f>
        <v>#N/A</v>
      </c>
      <c r="K80" t="e">
        <f>IF(INDEX(DATOS3!$1:$19397,A80,MATCH("Total_Fluoro_Time",DATOS3!$1:$1,0))=0,0,INDEX(DATOS3!$1:$19397,A80,MATCH("Total_Fluoro_Time",DATOS3!$1:$1,0)))</f>
        <v>#N/A</v>
      </c>
      <c r="L80" t="e">
        <f>IF(INDEX(DATOS3!$1:$19397,A80,MATCH("Total_Acquisition_Time",DATOS3!$1:$1,0))=0,0,INDEX(DATOS3!$1:$19397,A80,MATCH("Total_Acquisition_Time",DATOS3!$1:$1,0)))</f>
        <v>#N/A</v>
      </c>
    </row>
    <row r="81" spans="1:12" x14ac:dyDescent="0.25">
      <c r="A81">
        <v>81</v>
      </c>
      <c r="B81" t="e">
        <f t="shared" si="1"/>
        <v>#N/A</v>
      </c>
      <c r="D81" t="e">
        <f>IF(INDEX(DATOS3!$1:$19397,A81,MATCH("PatientID",DATOS3!$1:$1,0))=0,"",INDEX(DATOS3!$1:$19397,A81,MATCH("PatientID",DATOS3!$1:$1,0)))</f>
        <v>#N/A</v>
      </c>
      <c r="F81" t="e">
        <f>IF(INDEX(DATOS3!$1:$19397,A81,MATCH("SeriesDate",DATOS3!$1:$1,0))=0,"",INDEX(DATOS3!$1:$19397,A81,MATCH("SeriesDate",DATOS3!$1:$1,0)))</f>
        <v>#N/A</v>
      </c>
      <c r="G81" t="e">
        <f>IF(INDEX(DATOS3!$1:$19397,A81,MATCH("SeriesTime",DATOS3!$1:$1,0))=0,"",INDEX(DATOS3!$1:$19397,A81,MATCH("SeriesTime",DATOS3!$1:$1,0)))</f>
        <v>#N/A</v>
      </c>
      <c r="H81" t="e">
        <f>IF(INDEX(DATOS3!$1:$19397,A81,MATCH("StudyDescription",DATOS3!$1:$1,0))=0,"",INDEX(DATOS3!$1:$19397,A81,MATCH("StudyDescription",DATOS3!$1:$1,0)))</f>
        <v>#N/A</v>
      </c>
      <c r="I81" t="e">
        <f>IF(INDEX(DATOS3!$1:$19397,A81,MATCH("Dose_Area_Product_Total",DATOS3!$1:$1,0))=0,0,INDEX(DATOS3!$1:$19397,A81,MATCH("Dose_Area_Product_Total",DATOS3!$1:$1,0)))</f>
        <v>#N/A</v>
      </c>
      <c r="J81" t="e">
        <f>IF(INDEX(DATOS3!$1:$19397,A81,MATCH("Dose_RP_Total",DATOS3!$1:$1,0))=0,0,INDEX(DATOS3!$1:$19397,A81,MATCH("Dose_RP_Total",DATOS3!$1:$1,0)))</f>
        <v>#N/A</v>
      </c>
      <c r="K81" t="e">
        <f>IF(INDEX(DATOS3!$1:$19397,A81,MATCH("Total_Fluoro_Time",DATOS3!$1:$1,0))=0,0,INDEX(DATOS3!$1:$19397,A81,MATCH("Total_Fluoro_Time",DATOS3!$1:$1,0)))</f>
        <v>#N/A</v>
      </c>
      <c r="L81" t="e">
        <f>IF(INDEX(DATOS3!$1:$19397,A81,MATCH("Total_Acquisition_Time",DATOS3!$1:$1,0))=0,0,INDEX(DATOS3!$1:$19397,A81,MATCH("Total_Acquisition_Time",DATOS3!$1:$1,0)))</f>
        <v>#N/A</v>
      </c>
    </row>
    <row r="82" spans="1:12" x14ac:dyDescent="0.25">
      <c r="A82">
        <v>82</v>
      </c>
      <c r="B82" t="e">
        <f t="shared" si="1"/>
        <v>#N/A</v>
      </c>
      <c r="D82" t="e">
        <f>IF(INDEX(DATOS3!$1:$19397,A82,MATCH("PatientID",DATOS3!$1:$1,0))=0,"",INDEX(DATOS3!$1:$19397,A82,MATCH("PatientID",DATOS3!$1:$1,0)))</f>
        <v>#N/A</v>
      </c>
      <c r="F82" t="e">
        <f>IF(INDEX(DATOS3!$1:$19397,A82,MATCH("SeriesDate",DATOS3!$1:$1,0))=0,"",INDEX(DATOS3!$1:$19397,A82,MATCH("SeriesDate",DATOS3!$1:$1,0)))</f>
        <v>#N/A</v>
      </c>
      <c r="G82" t="e">
        <f>IF(INDEX(DATOS3!$1:$19397,A82,MATCH("SeriesTime",DATOS3!$1:$1,0))=0,"",INDEX(DATOS3!$1:$19397,A82,MATCH("SeriesTime",DATOS3!$1:$1,0)))</f>
        <v>#N/A</v>
      </c>
      <c r="H82" t="e">
        <f>IF(INDEX(DATOS3!$1:$19397,A82,MATCH("StudyDescription",DATOS3!$1:$1,0))=0,"",INDEX(DATOS3!$1:$19397,A82,MATCH("StudyDescription",DATOS3!$1:$1,0)))</f>
        <v>#N/A</v>
      </c>
      <c r="I82" t="e">
        <f>IF(INDEX(DATOS3!$1:$19397,A82,MATCH("Dose_Area_Product_Total",DATOS3!$1:$1,0))=0,0,INDEX(DATOS3!$1:$19397,A82,MATCH("Dose_Area_Product_Total",DATOS3!$1:$1,0)))</f>
        <v>#N/A</v>
      </c>
      <c r="J82" t="e">
        <f>IF(INDEX(DATOS3!$1:$19397,A82,MATCH("Dose_RP_Total",DATOS3!$1:$1,0))=0,0,INDEX(DATOS3!$1:$19397,A82,MATCH("Dose_RP_Total",DATOS3!$1:$1,0)))</f>
        <v>#N/A</v>
      </c>
      <c r="K82" t="e">
        <f>IF(INDEX(DATOS3!$1:$19397,A82,MATCH("Total_Fluoro_Time",DATOS3!$1:$1,0))=0,0,INDEX(DATOS3!$1:$19397,A82,MATCH("Total_Fluoro_Time",DATOS3!$1:$1,0)))</f>
        <v>#N/A</v>
      </c>
      <c r="L82" t="e">
        <f>IF(INDEX(DATOS3!$1:$19397,A82,MATCH("Total_Acquisition_Time",DATOS3!$1:$1,0))=0,0,INDEX(DATOS3!$1:$19397,A82,MATCH("Total_Acquisition_Time",DATOS3!$1:$1,0)))</f>
        <v>#N/A</v>
      </c>
    </row>
    <row r="83" spans="1:12" x14ac:dyDescent="0.25">
      <c r="A83">
        <v>83</v>
      </c>
      <c r="B83" t="e">
        <f t="shared" si="1"/>
        <v>#N/A</v>
      </c>
      <c r="D83" t="e">
        <f>IF(INDEX(DATOS3!$1:$19397,A83,MATCH("PatientID",DATOS3!$1:$1,0))=0,"",INDEX(DATOS3!$1:$19397,A83,MATCH("PatientID",DATOS3!$1:$1,0)))</f>
        <v>#N/A</v>
      </c>
      <c r="F83" t="e">
        <f>IF(INDEX(DATOS3!$1:$19397,A83,MATCH("SeriesDate",DATOS3!$1:$1,0))=0,"",INDEX(DATOS3!$1:$19397,A83,MATCH("SeriesDate",DATOS3!$1:$1,0)))</f>
        <v>#N/A</v>
      </c>
      <c r="G83" t="e">
        <f>IF(INDEX(DATOS3!$1:$19397,A83,MATCH("SeriesTime",DATOS3!$1:$1,0))=0,"",INDEX(DATOS3!$1:$19397,A83,MATCH("SeriesTime",DATOS3!$1:$1,0)))</f>
        <v>#N/A</v>
      </c>
      <c r="H83" t="e">
        <f>IF(INDEX(DATOS3!$1:$19397,A83,MATCH("StudyDescription",DATOS3!$1:$1,0))=0,"",INDEX(DATOS3!$1:$19397,A83,MATCH("StudyDescription",DATOS3!$1:$1,0)))</f>
        <v>#N/A</v>
      </c>
      <c r="I83" t="e">
        <f>IF(INDEX(DATOS3!$1:$19397,A83,MATCH("Dose_Area_Product_Total",DATOS3!$1:$1,0))=0,0,INDEX(DATOS3!$1:$19397,A83,MATCH("Dose_Area_Product_Total",DATOS3!$1:$1,0)))</f>
        <v>#N/A</v>
      </c>
      <c r="J83" t="e">
        <f>IF(INDEX(DATOS3!$1:$19397,A83,MATCH("Dose_RP_Total",DATOS3!$1:$1,0))=0,0,INDEX(DATOS3!$1:$19397,A83,MATCH("Dose_RP_Total",DATOS3!$1:$1,0)))</f>
        <v>#N/A</v>
      </c>
      <c r="K83" t="e">
        <f>IF(INDEX(DATOS3!$1:$19397,A83,MATCH("Total_Fluoro_Time",DATOS3!$1:$1,0))=0,0,INDEX(DATOS3!$1:$19397,A83,MATCH("Total_Fluoro_Time",DATOS3!$1:$1,0)))</f>
        <v>#N/A</v>
      </c>
      <c r="L83" t="e">
        <f>IF(INDEX(DATOS3!$1:$19397,A83,MATCH("Total_Acquisition_Time",DATOS3!$1:$1,0))=0,0,INDEX(DATOS3!$1:$19397,A83,MATCH("Total_Acquisition_Time",DATOS3!$1:$1,0)))</f>
        <v>#N/A</v>
      </c>
    </row>
    <row r="84" spans="1:12" x14ac:dyDescent="0.25">
      <c r="A84">
        <v>84</v>
      </c>
      <c r="B84" t="e">
        <f t="shared" si="1"/>
        <v>#N/A</v>
      </c>
      <c r="D84" t="e">
        <f>IF(INDEX(DATOS3!$1:$19397,A84,MATCH("PatientID",DATOS3!$1:$1,0))=0,"",INDEX(DATOS3!$1:$19397,A84,MATCH("PatientID",DATOS3!$1:$1,0)))</f>
        <v>#N/A</v>
      </c>
      <c r="F84" t="e">
        <f>IF(INDEX(DATOS3!$1:$19397,A84,MATCH("SeriesDate",DATOS3!$1:$1,0))=0,"",INDEX(DATOS3!$1:$19397,A84,MATCH("SeriesDate",DATOS3!$1:$1,0)))</f>
        <v>#N/A</v>
      </c>
      <c r="G84" t="e">
        <f>IF(INDEX(DATOS3!$1:$19397,A84,MATCH("SeriesTime",DATOS3!$1:$1,0))=0,"",INDEX(DATOS3!$1:$19397,A84,MATCH("SeriesTime",DATOS3!$1:$1,0)))</f>
        <v>#N/A</v>
      </c>
      <c r="H84" t="e">
        <f>IF(INDEX(DATOS3!$1:$19397,A84,MATCH("StudyDescription",DATOS3!$1:$1,0))=0,"",INDEX(DATOS3!$1:$19397,A84,MATCH("StudyDescription",DATOS3!$1:$1,0)))</f>
        <v>#N/A</v>
      </c>
      <c r="I84" t="e">
        <f>IF(INDEX(DATOS3!$1:$19397,A84,MATCH("Dose_Area_Product_Total",DATOS3!$1:$1,0))=0,0,INDEX(DATOS3!$1:$19397,A84,MATCH("Dose_Area_Product_Total",DATOS3!$1:$1,0)))</f>
        <v>#N/A</v>
      </c>
      <c r="J84" t="e">
        <f>IF(INDEX(DATOS3!$1:$19397,A84,MATCH("Dose_RP_Total",DATOS3!$1:$1,0))=0,0,INDEX(DATOS3!$1:$19397,A84,MATCH("Dose_RP_Total",DATOS3!$1:$1,0)))</f>
        <v>#N/A</v>
      </c>
      <c r="K84" t="e">
        <f>IF(INDEX(DATOS3!$1:$19397,A84,MATCH("Total_Fluoro_Time",DATOS3!$1:$1,0))=0,0,INDEX(DATOS3!$1:$19397,A84,MATCH("Total_Fluoro_Time",DATOS3!$1:$1,0)))</f>
        <v>#N/A</v>
      </c>
      <c r="L84" t="e">
        <f>IF(INDEX(DATOS3!$1:$19397,A84,MATCH("Total_Acquisition_Time",DATOS3!$1:$1,0))=0,0,INDEX(DATOS3!$1:$19397,A84,MATCH("Total_Acquisition_Time",DATOS3!$1:$1,0)))</f>
        <v>#N/A</v>
      </c>
    </row>
    <row r="85" spans="1:12" x14ac:dyDescent="0.25">
      <c r="A85">
        <v>85</v>
      </c>
      <c r="B85" t="e">
        <f t="shared" si="1"/>
        <v>#N/A</v>
      </c>
      <c r="D85" t="e">
        <f>IF(INDEX(DATOS3!$1:$19397,A85,MATCH("PatientID",DATOS3!$1:$1,0))=0,"",INDEX(DATOS3!$1:$19397,A85,MATCH("PatientID",DATOS3!$1:$1,0)))</f>
        <v>#N/A</v>
      </c>
      <c r="F85" t="e">
        <f>IF(INDEX(DATOS3!$1:$19397,A85,MATCH("SeriesDate",DATOS3!$1:$1,0))=0,"",INDEX(DATOS3!$1:$19397,A85,MATCH("SeriesDate",DATOS3!$1:$1,0)))</f>
        <v>#N/A</v>
      </c>
      <c r="G85" t="e">
        <f>IF(INDEX(DATOS3!$1:$19397,A85,MATCH("SeriesTime",DATOS3!$1:$1,0))=0,"",INDEX(DATOS3!$1:$19397,A85,MATCH("SeriesTime",DATOS3!$1:$1,0)))</f>
        <v>#N/A</v>
      </c>
      <c r="H85" t="e">
        <f>IF(INDEX(DATOS3!$1:$19397,A85,MATCH("StudyDescription",DATOS3!$1:$1,0))=0,"",INDEX(DATOS3!$1:$19397,A85,MATCH("StudyDescription",DATOS3!$1:$1,0)))</f>
        <v>#N/A</v>
      </c>
      <c r="I85" t="e">
        <f>IF(INDEX(DATOS3!$1:$19397,A85,MATCH("Dose_Area_Product_Total",DATOS3!$1:$1,0))=0,0,INDEX(DATOS3!$1:$19397,A85,MATCH("Dose_Area_Product_Total",DATOS3!$1:$1,0)))</f>
        <v>#N/A</v>
      </c>
      <c r="J85" t="e">
        <f>IF(INDEX(DATOS3!$1:$19397,A85,MATCH("Dose_RP_Total",DATOS3!$1:$1,0))=0,0,INDEX(DATOS3!$1:$19397,A85,MATCH("Dose_RP_Total",DATOS3!$1:$1,0)))</f>
        <v>#N/A</v>
      </c>
      <c r="K85" t="e">
        <f>IF(INDEX(DATOS3!$1:$19397,A85,MATCH("Total_Fluoro_Time",DATOS3!$1:$1,0))=0,0,INDEX(DATOS3!$1:$19397,A85,MATCH("Total_Fluoro_Time",DATOS3!$1:$1,0)))</f>
        <v>#N/A</v>
      </c>
      <c r="L85" t="e">
        <f>IF(INDEX(DATOS3!$1:$19397,A85,MATCH("Total_Acquisition_Time",DATOS3!$1:$1,0))=0,0,INDEX(DATOS3!$1:$19397,A85,MATCH("Total_Acquisition_Time",DATOS3!$1:$1,0)))</f>
        <v>#N/A</v>
      </c>
    </row>
    <row r="86" spans="1:12" x14ac:dyDescent="0.25">
      <c r="A86">
        <v>86</v>
      </c>
      <c r="B86" t="e">
        <f t="shared" si="1"/>
        <v>#N/A</v>
      </c>
      <c r="D86" t="e">
        <f>IF(INDEX(DATOS3!$1:$19397,A86,MATCH("PatientID",DATOS3!$1:$1,0))=0,"",INDEX(DATOS3!$1:$19397,A86,MATCH("PatientID",DATOS3!$1:$1,0)))</f>
        <v>#N/A</v>
      </c>
      <c r="F86" t="e">
        <f>IF(INDEX(DATOS3!$1:$19397,A86,MATCH("SeriesDate",DATOS3!$1:$1,0))=0,"",INDEX(DATOS3!$1:$19397,A86,MATCH("SeriesDate",DATOS3!$1:$1,0)))</f>
        <v>#N/A</v>
      </c>
      <c r="G86" t="e">
        <f>IF(INDEX(DATOS3!$1:$19397,A86,MATCH("SeriesTime",DATOS3!$1:$1,0))=0,"",INDEX(DATOS3!$1:$19397,A86,MATCH("SeriesTime",DATOS3!$1:$1,0)))</f>
        <v>#N/A</v>
      </c>
      <c r="H86" t="e">
        <f>IF(INDEX(DATOS3!$1:$19397,A86,MATCH("StudyDescription",DATOS3!$1:$1,0))=0,"",INDEX(DATOS3!$1:$19397,A86,MATCH("StudyDescription",DATOS3!$1:$1,0)))</f>
        <v>#N/A</v>
      </c>
      <c r="I86" t="e">
        <f>IF(INDEX(DATOS3!$1:$19397,A86,MATCH("Dose_Area_Product_Total",DATOS3!$1:$1,0))=0,0,INDEX(DATOS3!$1:$19397,A86,MATCH("Dose_Area_Product_Total",DATOS3!$1:$1,0)))</f>
        <v>#N/A</v>
      </c>
      <c r="J86" t="e">
        <f>IF(INDEX(DATOS3!$1:$19397,A86,MATCH("Dose_RP_Total",DATOS3!$1:$1,0))=0,0,INDEX(DATOS3!$1:$19397,A86,MATCH("Dose_RP_Total",DATOS3!$1:$1,0)))</f>
        <v>#N/A</v>
      </c>
      <c r="K86" t="e">
        <f>IF(INDEX(DATOS3!$1:$19397,A86,MATCH("Total_Fluoro_Time",DATOS3!$1:$1,0))=0,0,INDEX(DATOS3!$1:$19397,A86,MATCH("Total_Fluoro_Time",DATOS3!$1:$1,0)))</f>
        <v>#N/A</v>
      </c>
      <c r="L86" t="e">
        <f>IF(INDEX(DATOS3!$1:$19397,A86,MATCH("Total_Acquisition_Time",DATOS3!$1:$1,0))=0,0,INDEX(DATOS3!$1:$19397,A86,MATCH("Total_Acquisition_Time",DATOS3!$1:$1,0)))</f>
        <v>#N/A</v>
      </c>
    </row>
    <row r="87" spans="1:12" x14ac:dyDescent="0.25">
      <c r="A87">
        <v>87</v>
      </c>
      <c r="B87" t="e">
        <f t="shared" si="1"/>
        <v>#N/A</v>
      </c>
      <c r="D87" t="e">
        <f>IF(INDEX(DATOS3!$1:$19397,A87,MATCH("PatientID",DATOS3!$1:$1,0))=0,"",INDEX(DATOS3!$1:$19397,A87,MATCH("PatientID",DATOS3!$1:$1,0)))</f>
        <v>#N/A</v>
      </c>
      <c r="F87" t="e">
        <f>IF(INDEX(DATOS3!$1:$19397,A87,MATCH("SeriesDate",DATOS3!$1:$1,0))=0,"",INDEX(DATOS3!$1:$19397,A87,MATCH("SeriesDate",DATOS3!$1:$1,0)))</f>
        <v>#N/A</v>
      </c>
      <c r="G87" t="e">
        <f>IF(INDEX(DATOS3!$1:$19397,A87,MATCH("SeriesTime",DATOS3!$1:$1,0))=0,"",INDEX(DATOS3!$1:$19397,A87,MATCH("SeriesTime",DATOS3!$1:$1,0)))</f>
        <v>#N/A</v>
      </c>
      <c r="H87" t="e">
        <f>IF(INDEX(DATOS3!$1:$19397,A87,MATCH("StudyDescription",DATOS3!$1:$1,0))=0,"",INDEX(DATOS3!$1:$19397,A87,MATCH("StudyDescription",DATOS3!$1:$1,0)))</f>
        <v>#N/A</v>
      </c>
      <c r="I87" t="e">
        <f>IF(INDEX(DATOS3!$1:$19397,A87,MATCH("Dose_Area_Product_Total",DATOS3!$1:$1,0))=0,0,INDEX(DATOS3!$1:$19397,A87,MATCH("Dose_Area_Product_Total",DATOS3!$1:$1,0)))</f>
        <v>#N/A</v>
      </c>
      <c r="J87" t="e">
        <f>IF(INDEX(DATOS3!$1:$19397,A87,MATCH("Dose_RP_Total",DATOS3!$1:$1,0))=0,0,INDEX(DATOS3!$1:$19397,A87,MATCH("Dose_RP_Total",DATOS3!$1:$1,0)))</f>
        <v>#N/A</v>
      </c>
      <c r="K87" t="e">
        <f>IF(INDEX(DATOS3!$1:$19397,A87,MATCH("Total_Fluoro_Time",DATOS3!$1:$1,0))=0,0,INDEX(DATOS3!$1:$19397,A87,MATCH("Total_Fluoro_Time",DATOS3!$1:$1,0)))</f>
        <v>#N/A</v>
      </c>
      <c r="L87" t="e">
        <f>IF(INDEX(DATOS3!$1:$19397,A87,MATCH("Total_Acquisition_Time",DATOS3!$1:$1,0))=0,0,INDEX(DATOS3!$1:$19397,A87,MATCH("Total_Acquisition_Time",DATOS3!$1:$1,0)))</f>
        <v>#N/A</v>
      </c>
    </row>
    <row r="88" spans="1:12" x14ac:dyDescent="0.25">
      <c r="A88">
        <v>88</v>
      </c>
      <c r="B88" t="e">
        <f t="shared" si="1"/>
        <v>#N/A</v>
      </c>
      <c r="D88" t="e">
        <f>IF(INDEX(DATOS3!$1:$19397,A88,MATCH("PatientID",DATOS3!$1:$1,0))=0,"",INDEX(DATOS3!$1:$19397,A88,MATCH("PatientID",DATOS3!$1:$1,0)))</f>
        <v>#N/A</v>
      </c>
      <c r="F88" t="e">
        <f>IF(INDEX(DATOS3!$1:$19397,A88,MATCH("SeriesDate",DATOS3!$1:$1,0))=0,"",INDEX(DATOS3!$1:$19397,A88,MATCH("SeriesDate",DATOS3!$1:$1,0)))</f>
        <v>#N/A</v>
      </c>
      <c r="G88" t="e">
        <f>IF(INDEX(DATOS3!$1:$19397,A88,MATCH("SeriesTime",DATOS3!$1:$1,0))=0,"",INDEX(DATOS3!$1:$19397,A88,MATCH("SeriesTime",DATOS3!$1:$1,0)))</f>
        <v>#N/A</v>
      </c>
      <c r="H88" t="e">
        <f>IF(INDEX(DATOS3!$1:$19397,A88,MATCH("StudyDescription",DATOS3!$1:$1,0))=0,"",INDEX(DATOS3!$1:$19397,A88,MATCH("StudyDescription",DATOS3!$1:$1,0)))</f>
        <v>#N/A</v>
      </c>
      <c r="I88" t="e">
        <f>IF(INDEX(DATOS3!$1:$19397,A88,MATCH("Dose_Area_Product_Total",DATOS3!$1:$1,0))=0,0,INDEX(DATOS3!$1:$19397,A88,MATCH("Dose_Area_Product_Total",DATOS3!$1:$1,0)))</f>
        <v>#N/A</v>
      </c>
      <c r="J88" t="e">
        <f>IF(INDEX(DATOS3!$1:$19397,A88,MATCH("Dose_RP_Total",DATOS3!$1:$1,0))=0,0,INDEX(DATOS3!$1:$19397,A88,MATCH("Dose_RP_Total",DATOS3!$1:$1,0)))</f>
        <v>#N/A</v>
      </c>
      <c r="K88" t="e">
        <f>IF(INDEX(DATOS3!$1:$19397,A88,MATCH("Total_Fluoro_Time",DATOS3!$1:$1,0))=0,0,INDEX(DATOS3!$1:$19397,A88,MATCH("Total_Fluoro_Time",DATOS3!$1:$1,0)))</f>
        <v>#N/A</v>
      </c>
      <c r="L88" t="e">
        <f>IF(INDEX(DATOS3!$1:$19397,A88,MATCH("Total_Acquisition_Time",DATOS3!$1:$1,0))=0,0,INDEX(DATOS3!$1:$19397,A88,MATCH("Total_Acquisition_Time",DATOS3!$1:$1,0)))</f>
        <v>#N/A</v>
      </c>
    </row>
    <row r="89" spans="1:12" x14ac:dyDescent="0.25">
      <c r="A89">
        <v>89</v>
      </c>
      <c r="B89" t="e">
        <f t="shared" si="1"/>
        <v>#N/A</v>
      </c>
      <c r="D89" t="e">
        <f>IF(INDEX(DATOS3!$1:$19397,A89,MATCH("PatientID",DATOS3!$1:$1,0))=0,"",INDEX(DATOS3!$1:$19397,A89,MATCH("PatientID",DATOS3!$1:$1,0)))</f>
        <v>#N/A</v>
      </c>
      <c r="F89" t="e">
        <f>IF(INDEX(DATOS3!$1:$19397,A89,MATCH("SeriesDate",DATOS3!$1:$1,0))=0,"",INDEX(DATOS3!$1:$19397,A89,MATCH("SeriesDate",DATOS3!$1:$1,0)))</f>
        <v>#N/A</v>
      </c>
      <c r="G89" t="e">
        <f>IF(INDEX(DATOS3!$1:$19397,A89,MATCH("SeriesTime",DATOS3!$1:$1,0))=0,"",INDEX(DATOS3!$1:$19397,A89,MATCH("SeriesTime",DATOS3!$1:$1,0)))</f>
        <v>#N/A</v>
      </c>
      <c r="H89" t="e">
        <f>IF(INDEX(DATOS3!$1:$19397,A89,MATCH("StudyDescription",DATOS3!$1:$1,0))=0,"",INDEX(DATOS3!$1:$19397,A89,MATCH("StudyDescription",DATOS3!$1:$1,0)))</f>
        <v>#N/A</v>
      </c>
      <c r="I89" t="e">
        <f>IF(INDEX(DATOS3!$1:$19397,A89,MATCH("Dose_Area_Product_Total",DATOS3!$1:$1,0))=0,0,INDEX(DATOS3!$1:$19397,A89,MATCH("Dose_Area_Product_Total",DATOS3!$1:$1,0)))</f>
        <v>#N/A</v>
      </c>
      <c r="J89" t="e">
        <f>IF(INDEX(DATOS3!$1:$19397,A89,MATCH("Dose_RP_Total",DATOS3!$1:$1,0))=0,0,INDEX(DATOS3!$1:$19397,A89,MATCH("Dose_RP_Total",DATOS3!$1:$1,0)))</f>
        <v>#N/A</v>
      </c>
      <c r="K89" t="e">
        <f>IF(INDEX(DATOS3!$1:$19397,A89,MATCH("Total_Fluoro_Time",DATOS3!$1:$1,0))=0,0,INDEX(DATOS3!$1:$19397,A89,MATCH("Total_Fluoro_Time",DATOS3!$1:$1,0)))</f>
        <v>#N/A</v>
      </c>
      <c r="L89" t="e">
        <f>IF(INDEX(DATOS3!$1:$19397,A89,MATCH("Total_Acquisition_Time",DATOS3!$1:$1,0))=0,0,INDEX(DATOS3!$1:$19397,A89,MATCH("Total_Acquisition_Time",DATOS3!$1:$1,0)))</f>
        <v>#N/A</v>
      </c>
    </row>
    <row r="90" spans="1:12" x14ac:dyDescent="0.25">
      <c r="A90">
        <v>90</v>
      </c>
      <c r="B90" t="e">
        <f t="shared" si="1"/>
        <v>#N/A</v>
      </c>
      <c r="D90" t="e">
        <f>IF(INDEX(DATOS3!$1:$19397,A90,MATCH("PatientID",DATOS3!$1:$1,0))=0,"",INDEX(DATOS3!$1:$19397,A90,MATCH("PatientID",DATOS3!$1:$1,0)))</f>
        <v>#N/A</v>
      </c>
      <c r="F90" t="e">
        <f>IF(INDEX(DATOS3!$1:$19397,A90,MATCH("SeriesDate",DATOS3!$1:$1,0))=0,"",INDEX(DATOS3!$1:$19397,A90,MATCH("SeriesDate",DATOS3!$1:$1,0)))</f>
        <v>#N/A</v>
      </c>
      <c r="G90" t="e">
        <f>IF(INDEX(DATOS3!$1:$19397,A90,MATCH("SeriesTime",DATOS3!$1:$1,0))=0,"",INDEX(DATOS3!$1:$19397,A90,MATCH("SeriesTime",DATOS3!$1:$1,0)))</f>
        <v>#N/A</v>
      </c>
      <c r="H90" t="e">
        <f>IF(INDEX(DATOS3!$1:$19397,A90,MATCH("StudyDescription",DATOS3!$1:$1,0))=0,"",INDEX(DATOS3!$1:$19397,A90,MATCH("StudyDescription",DATOS3!$1:$1,0)))</f>
        <v>#N/A</v>
      </c>
      <c r="I90" t="e">
        <f>IF(INDEX(DATOS3!$1:$19397,A90,MATCH("Dose_Area_Product_Total",DATOS3!$1:$1,0))=0,0,INDEX(DATOS3!$1:$19397,A90,MATCH("Dose_Area_Product_Total",DATOS3!$1:$1,0)))</f>
        <v>#N/A</v>
      </c>
      <c r="J90" t="e">
        <f>IF(INDEX(DATOS3!$1:$19397,A90,MATCH("Dose_RP_Total",DATOS3!$1:$1,0))=0,0,INDEX(DATOS3!$1:$19397,A90,MATCH("Dose_RP_Total",DATOS3!$1:$1,0)))</f>
        <v>#N/A</v>
      </c>
      <c r="K90" t="e">
        <f>IF(INDEX(DATOS3!$1:$19397,A90,MATCH("Total_Fluoro_Time",DATOS3!$1:$1,0))=0,0,INDEX(DATOS3!$1:$19397,A90,MATCH("Total_Fluoro_Time",DATOS3!$1:$1,0)))</f>
        <v>#N/A</v>
      </c>
      <c r="L90" t="e">
        <f>IF(INDEX(DATOS3!$1:$19397,A90,MATCH("Total_Acquisition_Time",DATOS3!$1:$1,0))=0,0,INDEX(DATOS3!$1:$19397,A90,MATCH("Total_Acquisition_Time",DATOS3!$1:$1,0)))</f>
        <v>#N/A</v>
      </c>
    </row>
    <row r="91" spans="1:12" x14ac:dyDescent="0.25">
      <c r="A91">
        <v>91</v>
      </c>
      <c r="B91" t="e">
        <f t="shared" si="1"/>
        <v>#N/A</v>
      </c>
      <c r="D91" t="e">
        <f>IF(INDEX(DATOS3!$1:$19397,A91,MATCH("PatientID",DATOS3!$1:$1,0))=0,"",INDEX(DATOS3!$1:$19397,A91,MATCH("PatientID",DATOS3!$1:$1,0)))</f>
        <v>#N/A</v>
      </c>
      <c r="F91" t="e">
        <f>IF(INDEX(DATOS3!$1:$19397,A91,MATCH("SeriesDate",DATOS3!$1:$1,0))=0,"",INDEX(DATOS3!$1:$19397,A91,MATCH("SeriesDate",DATOS3!$1:$1,0)))</f>
        <v>#N/A</v>
      </c>
      <c r="G91" t="e">
        <f>IF(INDEX(DATOS3!$1:$19397,A91,MATCH("SeriesTime",DATOS3!$1:$1,0))=0,"",INDEX(DATOS3!$1:$19397,A91,MATCH("SeriesTime",DATOS3!$1:$1,0)))</f>
        <v>#N/A</v>
      </c>
      <c r="H91" t="e">
        <f>IF(INDEX(DATOS3!$1:$19397,A91,MATCH("StudyDescription",DATOS3!$1:$1,0))=0,"",INDEX(DATOS3!$1:$19397,A91,MATCH("StudyDescription",DATOS3!$1:$1,0)))</f>
        <v>#N/A</v>
      </c>
      <c r="I91" t="e">
        <f>IF(INDEX(DATOS3!$1:$19397,A91,MATCH("Dose_Area_Product_Total",DATOS3!$1:$1,0))=0,0,INDEX(DATOS3!$1:$19397,A91,MATCH("Dose_Area_Product_Total",DATOS3!$1:$1,0)))</f>
        <v>#N/A</v>
      </c>
      <c r="J91" t="e">
        <f>IF(INDEX(DATOS3!$1:$19397,A91,MATCH("Dose_RP_Total",DATOS3!$1:$1,0))=0,0,INDEX(DATOS3!$1:$19397,A91,MATCH("Dose_RP_Total",DATOS3!$1:$1,0)))</f>
        <v>#N/A</v>
      </c>
      <c r="K91" t="e">
        <f>IF(INDEX(DATOS3!$1:$19397,A91,MATCH("Total_Fluoro_Time",DATOS3!$1:$1,0))=0,0,INDEX(DATOS3!$1:$19397,A91,MATCH("Total_Fluoro_Time",DATOS3!$1:$1,0)))</f>
        <v>#N/A</v>
      </c>
      <c r="L91" t="e">
        <f>IF(INDEX(DATOS3!$1:$19397,A91,MATCH("Total_Acquisition_Time",DATOS3!$1:$1,0))=0,0,INDEX(DATOS3!$1:$19397,A91,MATCH("Total_Acquisition_Time",DATOS3!$1:$1,0)))</f>
        <v>#N/A</v>
      </c>
    </row>
    <row r="92" spans="1:12" x14ac:dyDescent="0.25">
      <c r="A92">
        <v>92</v>
      </c>
      <c r="B92" t="e">
        <f t="shared" si="1"/>
        <v>#N/A</v>
      </c>
      <c r="D92" t="e">
        <f>IF(INDEX(DATOS3!$1:$19397,A92,MATCH("PatientID",DATOS3!$1:$1,0))=0,"",INDEX(DATOS3!$1:$19397,A92,MATCH("PatientID",DATOS3!$1:$1,0)))</f>
        <v>#N/A</v>
      </c>
      <c r="F92" t="e">
        <f>IF(INDEX(DATOS3!$1:$19397,A92,MATCH("SeriesDate",DATOS3!$1:$1,0))=0,"",INDEX(DATOS3!$1:$19397,A92,MATCH("SeriesDate",DATOS3!$1:$1,0)))</f>
        <v>#N/A</v>
      </c>
      <c r="G92" t="e">
        <f>IF(INDEX(DATOS3!$1:$19397,A92,MATCH("SeriesTime",DATOS3!$1:$1,0))=0,"",INDEX(DATOS3!$1:$19397,A92,MATCH("SeriesTime",DATOS3!$1:$1,0)))</f>
        <v>#N/A</v>
      </c>
      <c r="H92" t="e">
        <f>IF(INDEX(DATOS3!$1:$19397,A92,MATCH("StudyDescription",DATOS3!$1:$1,0))=0,"",INDEX(DATOS3!$1:$19397,A92,MATCH("StudyDescription",DATOS3!$1:$1,0)))</f>
        <v>#N/A</v>
      </c>
      <c r="I92" t="e">
        <f>IF(INDEX(DATOS3!$1:$19397,A92,MATCH("Dose_Area_Product_Total",DATOS3!$1:$1,0))=0,0,INDEX(DATOS3!$1:$19397,A92,MATCH("Dose_Area_Product_Total",DATOS3!$1:$1,0)))</f>
        <v>#N/A</v>
      </c>
      <c r="J92" t="e">
        <f>IF(INDEX(DATOS3!$1:$19397,A92,MATCH("Dose_RP_Total",DATOS3!$1:$1,0))=0,0,INDEX(DATOS3!$1:$19397,A92,MATCH("Dose_RP_Total",DATOS3!$1:$1,0)))</f>
        <v>#N/A</v>
      </c>
      <c r="K92" t="e">
        <f>IF(INDEX(DATOS3!$1:$19397,A92,MATCH("Total_Fluoro_Time",DATOS3!$1:$1,0))=0,0,INDEX(DATOS3!$1:$19397,A92,MATCH("Total_Fluoro_Time",DATOS3!$1:$1,0)))</f>
        <v>#N/A</v>
      </c>
      <c r="L92" t="e">
        <f>IF(INDEX(DATOS3!$1:$19397,A92,MATCH("Total_Acquisition_Time",DATOS3!$1:$1,0))=0,0,INDEX(DATOS3!$1:$19397,A92,MATCH("Total_Acquisition_Time",DATOS3!$1:$1,0)))</f>
        <v>#N/A</v>
      </c>
    </row>
    <row r="93" spans="1:12" x14ac:dyDescent="0.25">
      <c r="A93">
        <v>93</v>
      </c>
      <c r="B93" t="e">
        <f t="shared" si="1"/>
        <v>#N/A</v>
      </c>
      <c r="D93" t="e">
        <f>IF(INDEX(DATOS3!$1:$19397,A93,MATCH("PatientID",DATOS3!$1:$1,0))=0,"",INDEX(DATOS3!$1:$19397,A93,MATCH("PatientID",DATOS3!$1:$1,0)))</f>
        <v>#N/A</v>
      </c>
      <c r="F93" t="e">
        <f>IF(INDEX(DATOS3!$1:$19397,A93,MATCH("SeriesDate",DATOS3!$1:$1,0))=0,"",INDEX(DATOS3!$1:$19397,A93,MATCH("SeriesDate",DATOS3!$1:$1,0)))</f>
        <v>#N/A</v>
      </c>
      <c r="G93" t="e">
        <f>IF(INDEX(DATOS3!$1:$19397,A93,MATCH("SeriesTime",DATOS3!$1:$1,0))=0,"",INDEX(DATOS3!$1:$19397,A93,MATCH("SeriesTime",DATOS3!$1:$1,0)))</f>
        <v>#N/A</v>
      </c>
      <c r="H93" t="e">
        <f>IF(INDEX(DATOS3!$1:$19397,A93,MATCH("StudyDescription",DATOS3!$1:$1,0))=0,"",INDEX(DATOS3!$1:$19397,A93,MATCH("StudyDescription",DATOS3!$1:$1,0)))</f>
        <v>#N/A</v>
      </c>
      <c r="I93" t="e">
        <f>IF(INDEX(DATOS3!$1:$19397,A93,MATCH("Dose_Area_Product_Total",DATOS3!$1:$1,0))=0,0,INDEX(DATOS3!$1:$19397,A93,MATCH("Dose_Area_Product_Total",DATOS3!$1:$1,0)))</f>
        <v>#N/A</v>
      </c>
      <c r="J93" t="e">
        <f>IF(INDEX(DATOS3!$1:$19397,A93,MATCH("Dose_RP_Total",DATOS3!$1:$1,0))=0,0,INDEX(DATOS3!$1:$19397,A93,MATCH("Dose_RP_Total",DATOS3!$1:$1,0)))</f>
        <v>#N/A</v>
      </c>
      <c r="K93" t="e">
        <f>IF(INDEX(DATOS3!$1:$19397,A93,MATCH("Total_Fluoro_Time",DATOS3!$1:$1,0))=0,0,INDEX(DATOS3!$1:$19397,A93,MATCH("Total_Fluoro_Time",DATOS3!$1:$1,0)))</f>
        <v>#N/A</v>
      </c>
      <c r="L93" t="e">
        <f>IF(INDEX(DATOS3!$1:$19397,A93,MATCH("Total_Acquisition_Time",DATOS3!$1:$1,0))=0,0,INDEX(DATOS3!$1:$19397,A93,MATCH("Total_Acquisition_Time",DATOS3!$1:$1,0)))</f>
        <v>#N/A</v>
      </c>
    </row>
    <row r="94" spans="1:12" x14ac:dyDescent="0.25">
      <c r="A94">
        <v>94</v>
      </c>
      <c r="B94" t="e">
        <f t="shared" si="1"/>
        <v>#N/A</v>
      </c>
      <c r="D94" t="e">
        <f>IF(INDEX(DATOS3!$1:$19397,A94,MATCH("PatientID",DATOS3!$1:$1,0))=0,"",INDEX(DATOS3!$1:$19397,A94,MATCH("PatientID",DATOS3!$1:$1,0)))</f>
        <v>#N/A</v>
      </c>
      <c r="F94" t="e">
        <f>IF(INDEX(DATOS3!$1:$19397,A94,MATCH("SeriesDate",DATOS3!$1:$1,0))=0,"",INDEX(DATOS3!$1:$19397,A94,MATCH("SeriesDate",DATOS3!$1:$1,0)))</f>
        <v>#N/A</v>
      </c>
      <c r="G94" t="e">
        <f>IF(INDEX(DATOS3!$1:$19397,A94,MATCH("SeriesTime",DATOS3!$1:$1,0))=0,"",INDEX(DATOS3!$1:$19397,A94,MATCH("SeriesTime",DATOS3!$1:$1,0)))</f>
        <v>#N/A</v>
      </c>
      <c r="H94" t="e">
        <f>IF(INDEX(DATOS3!$1:$19397,A94,MATCH("StudyDescription",DATOS3!$1:$1,0))=0,"",INDEX(DATOS3!$1:$19397,A94,MATCH("StudyDescription",DATOS3!$1:$1,0)))</f>
        <v>#N/A</v>
      </c>
      <c r="I94" t="e">
        <f>IF(INDEX(DATOS3!$1:$19397,A94,MATCH("Dose_Area_Product_Total",DATOS3!$1:$1,0))=0,0,INDEX(DATOS3!$1:$19397,A94,MATCH("Dose_Area_Product_Total",DATOS3!$1:$1,0)))</f>
        <v>#N/A</v>
      </c>
      <c r="J94" t="e">
        <f>IF(INDEX(DATOS3!$1:$19397,A94,MATCH("Dose_RP_Total",DATOS3!$1:$1,0))=0,0,INDEX(DATOS3!$1:$19397,A94,MATCH("Dose_RP_Total",DATOS3!$1:$1,0)))</f>
        <v>#N/A</v>
      </c>
      <c r="K94" t="e">
        <f>IF(INDEX(DATOS3!$1:$19397,A94,MATCH("Total_Fluoro_Time",DATOS3!$1:$1,0))=0,0,INDEX(DATOS3!$1:$19397,A94,MATCH("Total_Fluoro_Time",DATOS3!$1:$1,0)))</f>
        <v>#N/A</v>
      </c>
      <c r="L94" t="e">
        <f>IF(INDEX(DATOS3!$1:$19397,A94,MATCH("Total_Acquisition_Time",DATOS3!$1:$1,0))=0,0,INDEX(DATOS3!$1:$19397,A94,MATCH("Total_Acquisition_Time",DATOS3!$1:$1,0)))</f>
        <v>#N/A</v>
      </c>
    </row>
    <row r="95" spans="1:12" x14ac:dyDescent="0.25">
      <c r="A95">
        <v>95</v>
      </c>
      <c r="B95" t="e">
        <f t="shared" si="1"/>
        <v>#N/A</v>
      </c>
      <c r="D95" t="e">
        <f>IF(INDEX(DATOS3!$1:$19397,A95,MATCH("PatientID",DATOS3!$1:$1,0))=0,"",INDEX(DATOS3!$1:$19397,A95,MATCH("PatientID",DATOS3!$1:$1,0)))</f>
        <v>#N/A</v>
      </c>
      <c r="F95" t="e">
        <f>IF(INDEX(DATOS3!$1:$19397,A95,MATCH("SeriesDate",DATOS3!$1:$1,0))=0,"",INDEX(DATOS3!$1:$19397,A95,MATCH("SeriesDate",DATOS3!$1:$1,0)))</f>
        <v>#N/A</v>
      </c>
      <c r="G95" t="e">
        <f>IF(INDEX(DATOS3!$1:$19397,A95,MATCH("SeriesTime",DATOS3!$1:$1,0))=0,"",INDEX(DATOS3!$1:$19397,A95,MATCH("SeriesTime",DATOS3!$1:$1,0)))</f>
        <v>#N/A</v>
      </c>
      <c r="H95" t="e">
        <f>IF(INDEX(DATOS3!$1:$19397,A95,MATCH("StudyDescription",DATOS3!$1:$1,0))=0,"",INDEX(DATOS3!$1:$19397,A95,MATCH("StudyDescription",DATOS3!$1:$1,0)))</f>
        <v>#N/A</v>
      </c>
      <c r="I95" t="e">
        <f>IF(INDEX(DATOS3!$1:$19397,A95,MATCH("Dose_Area_Product_Total",DATOS3!$1:$1,0))=0,0,INDEX(DATOS3!$1:$19397,A95,MATCH("Dose_Area_Product_Total",DATOS3!$1:$1,0)))</f>
        <v>#N/A</v>
      </c>
      <c r="J95" t="e">
        <f>IF(INDEX(DATOS3!$1:$19397,A95,MATCH("Dose_RP_Total",DATOS3!$1:$1,0))=0,0,INDEX(DATOS3!$1:$19397,A95,MATCH("Dose_RP_Total",DATOS3!$1:$1,0)))</f>
        <v>#N/A</v>
      </c>
      <c r="K95" t="e">
        <f>IF(INDEX(DATOS3!$1:$19397,A95,MATCH("Total_Fluoro_Time",DATOS3!$1:$1,0))=0,0,INDEX(DATOS3!$1:$19397,A95,MATCH("Total_Fluoro_Time",DATOS3!$1:$1,0)))</f>
        <v>#N/A</v>
      </c>
      <c r="L95" t="e">
        <f>IF(INDEX(DATOS3!$1:$19397,A95,MATCH("Total_Acquisition_Time",DATOS3!$1:$1,0))=0,0,INDEX(DATOS3!$1:$19397,A95,MATCH("Total_Acquisition_Time",DATOS3!$1:$1,0)))</f>
        <v>#N/A</v>
      </c>
    </row>
    <row r="96" spans="1:12" x14ac:dyDescent="0.25">
      <c r="A96">
        <v>96</v>
      </c>
      <c r="B96" t="e">
        <f t="shared" si="1"/>
        <v>#N/A</v>
      </c>
      <c r="D96" t="e">
        <f>IF(INDEX(DATOS3!$1:$19397,A96,MATCH("PatientID",DATOS3!$1:$1,0))=0,"",INDEX(DATOS3!$1:$19397,A96,MATCH("PatientID",DATOS3!$1:$1,0)))</f>
        <v>#N/A</v>
      </c>
      <c r="F96" t="e">
        <f>IF(INDEX(DATOS3!$1:$19397,A96,MATCH("SeriesDate",DATOS3!$1:$1,0))=0,"",INDEX(DATOS3!$1:$19397,A96,MATCH("SeriesDate",DATOS3!$1:$1,0)))</f>
        <v>#N/A</v>
      </c>
      <c r="G96" t="e">
        <f>IF(INDEX(DATOS3!$1:$19397,A96,MATCH("SeriesTime",DATOS3!$1:$1,0))=0,"",INDEX(DATOS3!$1:$19397,A96,MATCH("SeriesTime",DATOS3!$1:$1,0)))</f>
        <v>#N/A</v>
      </c>
      <c r="H96" t="e">
        <f>IF(INDEX(DATOS3!$1:$19397,A96,MATCH("StudyDescription",DATOS3!$1:$1,0))=0,"",INDEX(DATOS3!$1:$19397,A96,MATCH("StudyDescription",DATOS3!$1:$1,0)))</f>
        <v>#N/A</v>
      </c>
      <c r="I96" t="e">
        <f>IF(INDEX(DATOS3!$1:$19397,A96,MATCH("Dose_Area_Product_Total",DATOS3!$1:$1,0))=0,0,INDEX(DATOS3!$1:$19397,A96,MATCH("Dose_Area_Product_Total",DATOS3!$1:$1,0)))</f>
        <v>#N/A</v>
      </c>
      <c r="J96" t="e">
        <f>IF(INDEX(DATOS3!$1:$19397,A96,MATCH("Dose_RP_Total",DATOS3!$1:$1,0))=0,0,INDEX(DATOS3!$1:$19397,A96,MATCH("Dose_RP_Total",DATOS3!$1:$1,0)))</f>
        <v>#N/A</v>
      </c>
      <c r="K96" t="e">
        <f>IF(INDEX(DATOS3!$1:$19397,A96,MATCH("Total_Fluoro_Time",DATOS3!$1:$1,0))=0,0,INDEX(DATOS3!$1:$19397,A96,MATCH("Total_Fluoro_Time",DATOS3!$1:$1,0)))</f>
        <v>#N/A</v>
      </c>
      <c r="L96" t="e">
        <f>IF(INDEX(DATOS3!$1:$19397,A96,MATCH("Total_Acquisition_Time",DATOS3!$1:$1,0))=0,0,INDEX(DATOS3!$1:$19397,A96,MATCH("Total_Acquisition_Time",DATOS3!$1:$1,0)))</f>
        <v>#N/A</v>
      </c>
    </row>
    <row r="97" spans="1:12" x14ac:dyDescent="0.25">
      <c r="A97">
        <v>97</v>
      </c>
      <c r="B97" t="e">
        <f t="shared" si="1"/>
        <v>#N/A</v>
      </c>
      <c r="D97" t="e">
        <f>IF(INDEX(DATOS3!$1:$19397,A97,MATCH("PatientID",DATOS3!$1:$1,0))=0,"",INDEX(DATOS3!$1:$19397,A97,MATCH("PatientID",DATOS3!$1:$1,0)))</f>
        <v>#N/A</v>
      </c>
      <c r="F97" t="e">
        <f>IF(INDEX(DATOS3!$1:$19397,A97,MATCH("SeriesDate",DATOS3!$1:$1,0))=0,"",INDEX(DATOS3!$1:$19397,A97,MATCH("SeriesDate",DATOS3!$1:$1,0)))</f>
        <v>#N/A</v>
      </c>
      <c r="G97" t="e">
        <f>IF(INDEX(DATOS3!$1:$19397,A97,MATCH("SeriesTime",DATOS3!$1:$1,0))=0,"",INDEX(DATOS3!$1:$19397,A97,MATCH("SeriesTime",DATOS3!$1:$1,0)))</f>
        <v>#N/A</v>
      </c>
      <c r="H97" t="e">
        <f>IF(INDEX(DATOS3!$1:$19397,A97,MATCH("StudyDescription",DATOS3!$1:$1,0))=0,"",INDEX(DATOS3!$1:$19397,A97,MATCH("StudyDescription",DATOS3!$1:$1,0)))</f>
        <v>#N/A</v>
      </c>
      <c r="I97" t="e">
        <f>IF(INDEX(DATOS3!$1:$19397,A97,MATCH("Dose_Area_Product_Total",DATOS3!$1:$1,0))=0,0,INDEX(DATOS3!$1:$19397,A97,MATCH("Dose_Area_Product_Total",DATOS3!$1:$1,0)))</f>
        <v>#N/A</v>
      </c>
      <c r="J97" t="e">
        <f>IF(INDEX(DATOS3!$1:$19397,A97,MATCH("Dose_RP_Total",DATOS3!$1:$1,0))=0,0,INDEX(DATOS3!$1:$19397,A97,MATCH("Dose_RP_Total",DATOS3!$1:$1,0)))</f>
        <v>#N/A</v>
      </c>
      <c r="K97" t="e">
        <f>IF(INDEX(DATOS3!$1:$19397,A97,MATCH("Total_Fluoro_Time",DATOS3!$1:$1,0))=0,0,INDEX(DATOS3!$1:$19397,A97,MATCH("Total_Fluoro_Time",DATOS3!$1:$1,0)))</f>
        <v>#N/A</v>
      </c>
      <c r="L97" t="e">
        <f>IF(INDEX(DATOS3!$1:$19397,A97,MATCH("Total_Acquisition_Time",DATOS3!$1:$1,0))=0,0,INDEX(DATOS3!$1:$19397,A97,MATCH("Total_Acquisition_Time",DATOS3!$1:$1,0)))</f>
        <v>#N/A</v>
      </c>
    </row>
    <row r="98" spans="1:12" x14ac:dyDescent="0.25">
      <c r="A98">
        <v>98</v>
      </c>
      <c r="B98" t="e">
        <f t="shared" si="1"/>
        <v>#N/A</v>
      </c>
      <c r="D98" t="e">
        <f>IF(INDEX(DATOS3!$1:$19397,A98,MATCH("PatientID",DATOS3!$1:$1,0))=0,"",INDEX(DATOS3!$1:$19397,A98,MATCH("PatientID",DATOS3!$1:$1,0)))</f>
        <v>#N/A</v>
      </c>
      <c r="F98" t="e">
        <f>IF(INDEX(DATOS3!$1:$19397,A98,MATCH("SeriesDate",DATOS3!$1:$1,0))=0,"",INDEX(DATOS3!$1:$19397,A98,MATCH("SeriesDate",DATOS3!$1:$1,0)))</f>
        <v>#N/A</v>
      </c>
      <c r="G98" t="e">
        <f>IF(INDEX(DATOS3!$1:$19397,A98,MATCH("SeriesTime",DATOS3!$1:$1,0))=0,"",INDEX(DATOS3!$1:$19397,A98,MATCH("SeriesTime",DATOS3!$1:$1,0)))</f>
        <v>#N/A</v>
      </c>
      <c r="H98" t="e">
        <f>IF(INDEX(DATOS3!$1:$19397,A98,MATCH("StudyDescription",DATOS3!$1:$1,0))=0,"",INDEX(DATOS3!$1:$19397,A98,MATCH("StudyDescription",DATOS3!$1:$1,0)))</f>
        <v>#N/A</v>
      </c>
      <c r="I98" t="e">
        <f>IF(INDEX(DATOS3!$1:$19397,A98,MATCH("Dose_Area_Product_Total",DATOS3!$1:$1,0))=0,0,INDEX(DATOS3!$1:$19397,A98,MATCH("Dose_Area_Product_Total",DATOS3!$1:$1,0)))</f>
        <v>#N/A</v>
      </c>
      <c r="J98" t="e">
        <f>IF(INDEX(DATOS3!$1:$19397,A98,MATCH("Dose_RP_Total",DATOS3!$1:$1,0))=0,0,INDEX(DATOS3!$1:$19397,A98,MATCH("Dose_RP_Total",DATOS3!$1:$1,0)))</f>
        <v>#N/A</v>
      </c>
      <c r="K98" t="e">
        <f>IF(INDEX(DATOS3!$1:$19397,A98,MATCH("Total_Fluoro_Time",DATOS3!$1:$1,0))=0,0,INDEX(DATOS3!$1:$19397,A98,MATCH("Total_Fluoro_Time",DATOS3!$1:$1,0)))</f>
        <v>#N/A</v>
      </c>
      <c r="L98" t="e">
        <f>IF(INDEX(DATOS3!$1:$19397,A98,MATCH("Total_Acquisition_Time",DATOS3!$1:$1,0))=0,0,INDEX(DATOS3!$1:$19397,A98,MATCH("Total_Acquisition_Time",DATOS3!$1:$1,0)))</f>
        <v>#N/A</v>
      </c>
    </row>
    <row r="99" spans="1:12" x14ac:dyDescent="0.25">
      <c r="A99">
        <v>99</v>
      </c>
      <c r="B99" t="e">
        <f t="shared" si="1"/>
        <v>#N/A</v>
      </c>
      <c r="D99" t="e">
        <f>IF(INDEX(DATOS3!$1:$19397,A99,MATCH("PatientID",DATOS3!$1:$1,0))=0,"",INDEX(DATOS3!$1:$19397,A99,MATCH("PatientID",DATOS3!$1:$1,0)))</f>
        <v>#N/A</v>
      </c>
      <c r="F99" t="e">
        <f>IF(INDEX(DATOS3!$1:$19397,A99,MATCH("SeriesDate",DATOS3!$1:$1,0))=0,"",INDEX(DATOS3!$1:$19397,A99,MATCH("SeriesDate",DATOS3!$1:$1,0)))</f>
        <v>#N/A</v>
      </c>
      <c r="G99" t="e">
        <f>IF(INDEX(DATOS3!$1:$19397,A99,MATCH("SeriesTime",DATOS3!$1:$1,0))=0,"",INDEX(DATOS3!$1:$19397,A99,MATCH("SeriesTime",DATOS3!$1:$1,0)))</f>
        <v>#N/A</v>
      </c>
      <c r="H99" t="e">
        <f>IF(INDEX(DATOS3!$1:$19397,A99,MATCH("StudyDescription",DATOS3!$1:$1,0))=0,"",INDEX(DATOS3!$1:$19397,A99,MATCH("StudyDescription",DATOS3!$1:$1,0)))</f>
        <v>#N/A</v>
      </c>
      <c r="I99" t="e">
        <f>IF(INDEX(DATOS3!$1:$19397,A99,MATCH("Dose_Area_Product_Total",DATOS3!$1:$1,0))=0,0,INDEX(DATOS3!$1:$19397,A99,MATCH("Dose_Area_Product_Total",DATOS3!$1:$1,0)))</f>
        <v>#N/A</v>
      </c>
      <c r="J99" t="e">
        <f>IF(INDEX(DATOS3!$1:$19397,A99,MATCH("Dose_RP_Total",DATOS3!$1:$1,0))=0,0,INDEX(DATOS3!$1:$19397,A99,MATCH("Dose_RP_Total",DATOS3!$1:$1,0)))</f>
        <v>#N/A</v>
      </c>
      <c r="K99" t="e">
        <f>IF(INDEX(DATOS3!$1:$19397,A99,MATCH("Total_Fluoro_Time",DATOS3!$1:$1,0))=0,0,INDEX(DATOS3!$1:$19397,A99,MATCH("Total_Fluoro_Time",DATOS3!$1:$1,0)))</f>
        <v>#N/A</v>
      </c>
      <c r="L99" t="e">
        <f>IF(INDEX(DATOS3!$1:$19397,A99,MATCH("Total_Acquisition_Time",DATOS3!$1:$1,0))=0,0,INDEX(DATOS3!$1:$19397,A99,MATCH("Total_Acquisition_Time",DATOS3!$1:$1,0)))</f>
        <v>#N/A</v>
      </c>
    </row>
    <row r="100" spans="1:12" x14ac:dyDescent="0.25">
      <c r="A100">
        <v>100</v>
      </c>
      <c r="B100" t="e">
        <f t="shared" si="1"/>
        <v>#N/A</v>
      </c>
      <c r="D100" t="e">
        <f>IF(INDEX(DATOS3!$1:$19397,A100,MATCH("PatientID",DATOS3!$1:$1,0))=0,"",INDEX(DATOS3!$1:$19397,A100,MATCH("PatientID",DATOS3!$1:$1,0)))</f>
        <v>#N/A</v>
      </c>
      <c r="F100" t="e">
        <f>IF(INDEX(DATOS3!$1:$19397,A100,MATCH("SeriesDate",DATOS3!$1:$1,0))=0,"",INDEX(DATOS3!$1:$19397,A100,MATCH("SeriesDate",DATOS3!$1:$1,0)))</f>
        <v>#N/A</v>
      </c>
      <c r="G100" t="e">
        <f>IF(INDEX(DATOS3!$1:$19397,A100,MATCH("SeriesTime",DATOS3!$1:$1,0))=0,"",INDEX(DATOS3!$1:$19397,A100,MATCH("SeriesTime",DATOS3!$1:$1,0)))</f>
        <v>#N/A</v>
      </c>
      <c r="H100" t="e">
        <f>IF(INDEX(DATOS3!$1:$19397,A100,MATCH("StudyDescription",DATOS3!$1:$1,0))=0,"",INDEX(DATOS3!$1:$19397,A100,MATCH("StudyDescription",DATOS3!$1:$1,0)))</f>
        <v>#N/A</v>
      </c>
      <c r="I100" t="e">
        <f>IF(INDEX(DATOS3!$1:$19397,A100,MATCH("Dose_Area_Product_Total",DATOS3!$1:$1,0))=0,0,INDEX(DATOS3!$1:$19397,A100,MATCH("Dose_Area_Product_Total",DATOS3!$1:$1,0)))</f>
        <v>#N/A</v>
      </c>
      <c r="J100" t="e">
        <f>IF(INDEX(DATOS3!$1:$19397,A100,MATCH("Dose_RP_Total",DATOS3!$1:$1,0))=0,0,INDEX(DATOS3!$1:$19397,A100,MATCH("Dose_RP_Total",DATOS3!$1:$1,0)))</f>
        <v>#N/A</v>
      </c>
      <c r="K100" t="e">
        <f>IF(INDEX(DATOS3!$1:$19397,A100,MATCH("Total_Fluoro_Time",DATOS3!$1:$1,0))=0,0,INDEX(DATOS3!$1:$19397,A100,MATCH("Total_Fluoro_Time",DATOS3!$1:$1,0)))</f>
        <v>#N/A</v>
      </c>
      <c r="L100" t="e">
        <f>IF(INDEX(DATOS3!$1:$19397,A100,MATCH("Total_Acquisition_Time",DATOS3!$1:$1,0))=0,0,INDEX(DATOS3!$1:$19397,A100,MATCH("Total_Acquisition_Time",DATOS3!$1:$1,0)))</f>
        <v>#N/A</v>
      </c>
    </row>
    <row r="101" spans="1:12" x14ac:dyDescent="0.25">
      <c r="A101">
        <v>101</v>
      </c>
      <c r="B101" t="e">
        <f t="shared" si="1"/>
        <v>#N/A</v>
      </c>
      <c r="D101" t="e">
        <f>IF(INDEX(DATOS3!$1:$19397,A101,MATCH("PatientID",DATOS3!$1:$1,0))=0,"",INDEX(DATOS3!$1:$19397,A101,MATCH("PatientID",DATOS3!$1:$1,0)))</f>
        <v>#N/A</v>
      </c>
      <c r="F101" t="e">
        <f>IF(INDEX(DATOS3!$1:$19397,A101,MATCH("SeriesDate",DATOS3!$1:$1,0))=0,"",INDEX(DATOS3!$1:$19397,A101,MATCH("SeriesDate",DATOS3!$1:$1,0)))</f>
        <v>#N/A</v>
      </c>
      <c r="G101" t="e">
        <f>IF(INDEX(DATOS3!$1:$19397,A101,MATCH("SeriesTime",DATOS3!$1:$1,0))=0,"",INDEX(DATOS3!$1:$19397,A101,MATCH("SeriesTime",DATOS3!$1:$1,0)))</f>
        <v>#N/A</v>
      </c>
      <c r="H101" t="e">
        <f>IF(INDEX(DATOS3!$1:$19397,A101,MATCH("StudyDescription",DATOS3!$1:$1,0))=0,"",INDEX(DATOS3!$1:$19397,A101,MATCH("StudyDescription",DATOS3!$1:$1,0)))</f>
        <v>#N/A</v>
      </c>
      <c r="I101" t="e">
        <f>IF(INDEX(DATOS3!$1:$19397,A101,MATCH("Dose_Area_Product_Total",DATOS3!$1:$1,0))=0,0,INDEX(DATOS3!$1:$19397,A101,MATCH("Dose_Area_Product_Total",DATOS3!$1:$1,0)))</f>
        <v>#N/A</v>
      </c>
      <c r="J101" t="e">
        <f>IF(INDEX(DATOS3!$1:$19397,A101,MATCH("Dose_RP_Total",DATOS3!$1:$1,0))=0,0,INDEX(DATOS3!$1:$19397,A101,MATCH("Dose_RP_Total",DATOS3!$1:$1,0)))</f>
        <v>#N/A</v>
      </c>
      <c r="K101" t="e">
        <f>IF(INDEX(DATOS3!$1:$19397,A101,MATCH("Total_Fluoro_Time",DATOS3!$1:$1,0))=0,0,INDEX(DATOS3!$1:$19397,A101,MATCH("Total_Fluoro_Time",DATOS3!$1:$1,0)))</f>
        <v>#N/A</v>
      </c>
      <c r="L101" t="e">
        <f>IF(INDEX(DATOS3!$1:$19397,A101,MATCH("Total_Acquisition_Time",DATOS3!$1:$1,0))=0,0,INDEX(DATOS3!$1:$19397,A101,MATCH("Total_Acquisition_Time",DATOS3!$1:$1,0)))</f>
        <v>#N/A</v>
      </c>
    </row>
    <row r="102" spans="1:12" x14ac:dyDescent="0.25">
      <c r="A102">
        <v>102</v>
      </c>
      <c r="B102" t="e">
        <f t="shared" si="1"/>
        <v>#N/A</v>
      </c>
      <c r="D102" t="e">
        <f>IF(INDEX(DATOS3!$1:$19397,A102,MATCH("PatientID",DATOS3!$1:$1,0))=0,"",INDEX(DATOS3!$1:$19397,A102,MATCH("PatientID",DATOS3!$1:$1,0)))</f>
        <v>#N/A</v>
      </c>
      <c r="F102" t="e">
        <f>IF(INDEX(DATOS3!$1:$19397,A102,MATCH("SeriesDate",DATOS3!$1:$1,0))=0,"",INDEX(DATOS3!$1:$19397,A102,MATCH("SeriesDate",DATOS3!$1:$1,0)))</f>
        <v>#N/A</v>
      </c>
      <c r="G102" t="e">
        <f>IF(INDEX(DATOS3!$1:$19397,A102,MATCH("SeriesTime",DATOS3!$1:$1,0))=0,"",INDEX(DATOS3!$1:$19397,A102,MATCH("SeriesTime",DATOS3!$1:$1,0)))</f>
        <v>#N/A</v>
      </c>
      <c r="H102" t="e">
        <f>IF(INDEX(DATOS3!$1:$19397,A102,MATCH("StudyDescription",DATOS3!$1:$1,0))=0,"",INDEX(DATOS3!$1:$19397,A102,MATCH("StudyDescription",DATOS3!$1:$1,0)))</f>
        <v>#N/A</v>
      </c>
      <c r="I102" t="e">
        <f>IF(INDEX(DATOS3!$1:$19397,A102,MATCH("Dose_Area_Product_Total",DATOS3!$1:$1,0))=0,0,INDEX(DATOS3!$1:$19397,A102,MATCH("Dose_Area_Product_Total",DATOS3!$1:$1,0)))</f>
        <v>#N/A</v>
      </c>
      <c r="J102" t="e">
        <f>IF(INDEX(DATOS3!$1:$19397,A102,MATCH("Dose_RP_Total",DATOS3!$1:$1,0))=0,0,INDEX(DATOS3!$1:$19397,A102,MATCH("Dose_RP_Total",DATOS3!$1:$1,0)))</f>
        <v>#N/A</v>
      </c>
      <c r="K102" t="e">
        <f>IF(INDEX(DATOS3!$1:$19397,A102,MATCH("Total_Fluoro_Time",DATOS3!$1:$1,0))=0,0,INDEX(DATOS3!$1:$19397,A102,MATCH("Total_Fluoro_Time",DATOS3!$1:$1,0)))</f>
        <v>#N/A</v>
      </c>
      <c r="L102" t="e">
        <f>IF(INDEX(DATOS3!$1:$19397,A102,MATCH("Total_Acquisition_Time",DATOS3!$1:$1,0))=0,0,INDEX(DATOS3!$1:$19397,A102,MATCH("Total_Acquisition_Time",DATOS3!$1:$1,0)))</f>
        <v>#N/A</v>
      </c>
    </row>
    <row r="103" spans="1:12" x14ac:dyDescent="0.25">
      <c r="A103">
        <v>103</v>
      </c>
      <c r="B103" t="e">
        <f t="shared" si="1"/>
        <v>#N/A</v>
      </c>
      <c r="D103" t="e">
        <f>IF(INDEX(DATOS3!$1:$19397,A103,MATCH("PatientID",DATOS3!$1:$1,0))=0,"",INDEX(DATOS3!$1:$19397,A103,MATCH("PatientID",DATOS3!$1:$1,0)))</f>
        <v>#N/A</v>
      </c>
      <c r="F103" t="e">
        <f>IF(INDEX(DATOS3!$1:$19397,A103,MATCH("SeriesDate",DATOS3!$1:$1,0))=0,"",INDEX(DATOS3!$1:$19397,A103,MATCH("SeriesDate",DATOS3!$1:$1,0)))</f>
        <v>#N/A</v>
      </c>
      <c r="G103" t="e">
        <f>IF(INDEX(DATOS3!$1:$19397,A103,MATCH("SeriesTime",DATOS3!$1:$1,0))=0,"",INDEX(DATOS3!$1:$19397,A103,MATCH("SeriesTime",DATOS3!$1:$1,0)))</f>
        <v>#N/A</v>
      </c>
      <c r="H103" t="e">
        <f>IF(INDEX(DATOS3!$1:$19397,A103,MATCH("StudyDescription",DATOS3!$1:$1,0))=0,"",INDEX(DATOS3!$1:$19397,A103,MATCH("StudyDescription",DATOS3!$1:$1,0)))</f>
        <v>#N/A</v>
      </c>
      <c r="I103" t="e">
        <f>IF(INDEX(DATOS3!$1:$19397,A103,MATCH("Dose_Area_Product_Total",DATOS3!$1:$1,0))=0,0,INDEX(DATOS3!$1:$19397,A103,MATCH("Dose_Area_Product_Total",DATOS3!$1:$1,0)))</f>
        <v>#N/A</v>
      </c>
      <c r="J103" t="e">
        <f>IF(INDEX(DATOS3!$1:$19397,A103,MATCH("Dose_RP_Total",DATOS3!$1:$1,0))=0,0,INDEX(DATOS3!$1:$19397,A103,MATCH("Dose_RP_Total",DATOS3!$1:$1,0)))</f>
        <v>#N/A</v>
      </c>
      <c r="K103" t="e">
        <f>IF(INDEX(DATOS3!$1:$19397,A103,MATCH("Total_Fluoro_Time",DATOS3!$1:$1,0))=0,0,INDEX(DATOS3!$1:$19397,A103,MATCH("Total_Fluoro_Time",DATOS3!$1:$1,0)))</f>
        <v>#N/A</v>
      </c>
      <c r="L103" t="e">
        <f>IF(INDEX(DATOS3!$1:$19397,A103,MATCH("Total_Acquisition_Time",DATOS3!$1:$1,0))=0,0,INDEX(DATOS3!$1:$19397,A103,MATCH("Total_Acquisition_Time",DATOS3!$1:$1,0)))</f>
        <v>#N/A</v>
      </c>
    </row>
    <row r="104" spans="1:12" x14ac:dyDescent="0.25">
      <c r="A104">
        <v>104</v>
      </c>
      <c r="B104" t="e">
        <f t="shared" si="1"/>
        <v>#N/A</v>
      </c>
      <c r="D104" t="e">
        <f>IF(INDEX(DATOS3!$1:$19397,A104,MATCH("PatientID",DATOS3!$1:$1,0))=0,"",INDEX(DATOS3!$1:$19397,A104,MATCH("PatientID",DATOS3!$1:$1,0)))</f>
        <v>#N/A</v>
      </c>
      <c r="F104" t="e">
        <f>IF(INDEX(DATOS3!$1:$19397,A104,MATCH("SeriesDate",DATOS3!$1:$1,0))=0,"",INDEX(DATOS3!$1:$19397,A104,MATCH("SeriesDate",DATOS3!$1:$1,0)))</f>
        <v>#N/A</v>
      </c>
      <c r="G104" t="e">
        <f>IF(INDEX(DATOS3!$1:$19397,A104,MATCH("SeriesTime",DATOS3!$1:$1,0))=0,"",INDEX(DATOS3!$1:$19397,A104,MATCH("SeriesTime",DATOS3!$1:$1,0)))</f>
        <v>#N/A</v>
      </c>
      <c r="H104" t="e">
        <f>IF(INDEX(DATOS3!$1:$19397,A104,MATCH("StudyDescription",DATOS3!$1:$1,0))=0,"",INDEX(DATOS3!$1:$19397,A104,MATCH("StudyDescription",DATOS3!$1:$1,0)))</f>
        <v>#N/A</v>
      </c>
      <c r="I104" t="e">
        <f>IF(INDEX(DATOS3!$1:$19397,A104,MATCH("Dose_Area_Product_Total",DATOS3!$1:$1,0))=0,0,INDEX(DATOS3!$1:$19397,A104,MATCH("Dose_Area_Product_Total",DATOS3!$1:$1,0)))</f>
        <v>#N/A</v>
      </c>
      <c r="J104" t="e">
        <f>IF(INDEX(DATOS3!$1:$19397,A104,MATCH("Dose_RP_Total",DATOS3!$1:$1,0))=0,0,INDEX(DATOS3!$1:$19397,A104,MATCH("Dose_RP_Total",DATOS3!$1:$1,0)))</f>
        <v>#N/A</v>
      </c>
      <c r="K104" t="e">
        <f>IF(INDEX(DATOS3!$1:$19397,A104,MATCH("Total_Fluoro_Time",DATOS3!$1:$1,0))=0,0,INDEX(DATOS3!$1:$19397,A104,MATCH("Total_Fluoro_Time",DATOS3!$1:$1,0)))</f>
        <v>#N/A</v>
      </c>
      <c r="L104" t="e">
        <f>IF(INDEX(DATOS3!$1:$19397,A104,MATCH("Total_Acquisition_Time",DATOS3!$1:$1,0))=0,0,INDEX(DATOS3!$1:$19397,A104,MATCH("Total_Acquisition_Time",DATOS3!$1:$1,0)))</f>
        <v>#N/A</v>
      </c>
    </row>
    <row r="105" spans="1:12" x14ac:dyDescent="0.25">
      <c r="A105">
        <v>105</v>
      </c>
      <c r="B105" t="e">
        <f t="shared" si="1"/>
        <v>#N/A</v>
      </c>
      <c r="D105" t="e">
        <f>IF(INDEX(DATOS3!$1:$19397,A105,MATCH("PatientID",DATOS3!$1:$1,0))=0,"",INDEX(DATOS3!$1:$19397,A105,MATCH("PatientID",DATOS3!$1:$1,0)))</f>
        <v>#N/A</v>
      </c>
      <c r="F105" t="e">
        <f>IF(INDEX(DATOS3!$1:$19397,A105,MATCH("SeriesDate",DATOS3!$1:$1,0))=0,"",INDEX(DATOS3!$1:$19397,A105,MATCH("SeriesDate",DATOS3!$1:$1,0)))</f>
        <v>#N/A</v>
      </c>
      <c r="G105" t="e">
        <f>IF(INDEX(DATOS3!$1:$19397,A105,MATCH("SeriesTime",DATOS3!$1:$1,0))=0,"",INDEX(DATOS3!$1:$19397,A105,MATCH("SeriesTime",DATOS3!$1:$1,0)))</f>
        <v>#N/A</v>
      </c>
      <c r="H105" t="e">
        <f>IF(INDEX(DATOS3!$1:$19397,A105,MATCH("StudyDescription",DATOS3!$1:$1,0))=0,"",INDEX(DATOS3!$1:$19397,A105,MATCH("StudyDescription",DATOS3!$1:$1,0)))</f>
        <v>#N/A</v>
      </c>
      <c r="I105" t="e">
        <f>IF(INDEX(DATOS3!$1:$19397,A105,MATCH("Dose_Area_Product_Total",DATOS3!$1:$1,0))=0,0,INDEX(DATOS3!$1:$19397,A105,MATCH("Dose_Area_Product_Total",DATOS3!$1:$1,0)))</f>
        <v>#N/A</v>
      </c>
      <c r="J105" t="e">
        <f>IF(INDEX(DATOS3!$1:$19397,A105,MATCH("Dose_RP_Total",DATOS3!$1:$1,0))=0,0,INDEX(DATOS3!$1:$19397,A105,MATCH("Dose_RP_Total",DATOS3!$1:$1,0)))</f>
        <v>#N/A</v>
      </c>
      <c r="K105" t="e">
        <f>IF(INDEX(DATOS3!$1:$19397,A105,MATCH("Total_Fluoro_Time",DATOS3!$1:$1,0))=0,0,INDEX(DATOS3!$1:$19397,A105,MATCH("Total_Fluoro_Time",DATOS3!$1:$1,0)))</f>
        <v>#N/A</v>
      </c>
      <c r="L105" t="e">
        <f>IF(INDEX(DATOS3!$1:$19397,A105,MATCH("Total_Acquisition_Time",DATOS3!$1:$1,0))=0,0,INDEX(DATOS3!$1:$19397,A105,MATCH("Total_Acquisition_Time",DATOS3!$1:$1,0)))</f>
        <v>#N/A</v>
      </c>
    </row>
    <row r="106" spans="1:12" x14ac:dyDescent="0.25">
      <c r="A106">
        <v>106</v>
      </c>
      <c r="B106" t="e">
        <f t="shared" si="1"/>
        <v>#N/A</v>
      </c>
      <c r="D106" t="e">
        <f>IF(INDEX(DATOS3!$1:$19397,A106,MATCH("PatientID",DATOS3!$1:$1,0))=0,"",INDEX(DATOS3!$1:$19397,A106,MATCH("PatientID",DATOS3!$1:$1,0)))</f>
        <v>#N/A</v>
      </c>
      <c r="F106" t="e">
        <f>IF(INDEX(DATOS3!$1:$19397,A106,MATCH("SeriesDate",DATOS3!$1:$1,0))=0,"",INDEX(DATOS3!$1:$19397,A106,MATCH("SeriesDate",DATOS3!$1:$1,0)))</f>
        <v>#N/A</v>
      </c>
      <c r="G106" t="e">
        <f>IF(INDEX(DATOS3!$1:$19397,A106,MATCH("SeriesTime",DATOS3!$1:$1,0))=0,"",INDEX(DATOS3!$1:$19397,A106,MATCH("SeriesTime",DATOS3!$1:$1,0)))</f>
        <v>#N/A</v>
      </c>
      <c r="H106" t="e">
        <f>IF(INDEX(DATOS3!$1:$19397,A106,MATCH("StudyDescription",DATOS3!$1:$1,0))=0,"",INDEX(DATOS3!$1:$19397,A106,MATCH("StudyDescription",DATOS3!$1:$1,0)))</f>
        <v>#N/A</v>
      </c>
      <c r="I106" t="e">
        <f>IF(INDEX(DATOS3!$1:$19397,A106,MATCH("Dose_Area_Product_Total",DATOS3!$1:$1,0))=0,0,INDEX(DATOS3!$1:$19397,A106,MATCH("Dose_Area_Product_Total",DATOS3!$1:$1,0)))</f>
        <v>#N/A</v>
      </c>
      <c r="J106" t="e">
        <f>IF(INDEX(DATOS3!$1:$19397,A106,MATCH("Dose_RP_Total",DATOS3!$1:$1,0))=0,0,INDEX(DATOS3!$1:$19397,A106,MATCH("Dose_RP_Total",DATOS3!$1:$1,0)))</f>
        <v>#N/A</v>
      </c>
      <c r="K106" t="e">
        <f>IF(INDEX(DATOS3!$1:$19397,A106,MATCH("Total_Fluoro_Time",DATOS3!$1:$1,0))=0,0,INDEX(DATOS3!$1:$19397,A106,MATCH("Total_Fluoro_Time",DATOS3!$1:$1,0)))</f>
        <v>#N/A</v>
      </c>
      <c r="L106" t="e">
        <f>IF(INDEX(DATOS3!$1:$19397,A106,MATCH("Total_Acquisition_Time",DATOS3!$1:$1,0))=0,0,INDEX(DATOS3!$1:$19397,A106,MATCH("Total_Acquisition_Time",DATOS3!$1:$1,0)))</f>
        <v>#N/A</v>
      </c>
    </row>
    <row r="107" spans="1:12" x14ac:dyDescent="0.25">
      <c r="A107">
        <v>107</v>
      </c>
      <c r="B107" t="e">
        <f t="shared" si="1"/>
        <v>#N/A</v>
      </c>
      <c r="D107" t="e">
        <f>IF(INDEX(DATOS3!$1:$19397,A107,MATCH("PatientID",DATOS3!$1:$1,0))=0,"",INDEX(DATOS3!$1:$19397,A107,MATCH("PatientID",DATOS3!$1:$1,0)))</f>
        <v>#N/A</v>
      </c>
      <c r="F107" t="e">
        <f>IF(INDEX(DATOS3!$1:$19397,A107,MATCH("SeriesDate",DATOS3!$1:$1,0))=0,"",INDEX(DATOS3!$1:$19397,A107,MATCH("SeriesDate",DATOS3!$1:$1,0)))</f>
        <v>#N/A</v>
      </c>
      <c r="G107" t="e">
        <f>IF(INDEX(DATOS3!$1:$19397,A107,MATCH("SeriesTime",DATOS3!$1:$1,0))=0,"",INDEX(DATOS3!$1:$19397,A107,MATCH("SeriesTime",DATOS3!$1:$1,0)))</f>
        <v>#N/A</v>
      </c>
      <c r="H107" t="e">
        <f>IF(INDEX(DATOS3!$1:$19397,A107,MATCH("StudyDescription",DATOS3!$1:$1,0))=0,"",INDEX(DATOS3!$1:$19397,A107,MATCH("StudyDescription",DATOS3!$1:$1,0)))</f>
        <v>#N/A</v>
      </c>
      <c r="I107" t="e">
        <f>IF(INDEX(DATOS3!$1:$19397,A107,MATCH("Dose_Area_Product_Total",DATOS3!$1:$1,0))=0,0,INDEX(DATOS3!$1:$19397,A107,MATCH("Dose_Area_Product_Total",DATOS3!$1:$1,0)))</f>
        <v>#N/A</v>
      </c>
      <c r="J107" t="e">
        <f>IF(INDEX(DATOS3!$1:$19397,A107,MATCH("Dose_RP_Total",DATOS3!$1:$1,0))=0,0,INDEX(DATOS3!$1:$19397,A107,MATCH("Dose_RP_Total",DATOS3!$1:$1,0)))</f>
        <v>#N/A</v>
      </c>
      <c r="K107" t="e">
        <f>IF(INDEX(DATOS3!$1:$19397,A107,MATCH("Total_Fluoro_Time",DATOS3!$1:$1,0))=0,0,INDEX(DATOS3!$1:$19397,A107,MATCH("Total_Fluoro_Time",DATOS3!$1:$1,0)))</f>
        <v>#N/A</v>
      </c>
      <c r="L107" t="e">
        <f>IF(INDEX(DATOS3!$1:$19397,A107,MATCH("Total_Acquisition_Time",DATOS3!$1:$1,0))=0,0,INDEX(DATOS3!$1:$19397,A107,MATCH("Total_Acquisition_Time",DATOS3!$1:$1,0)))</f>
        <v>#N/A</v>
      </c>
    </row>
    <row r="108" spans="1:12" x14ac:dyDescent="0.25">
      <c r="A108">
        <v>108</v>
      </c>
      <c r="B108" t="e">
        <f t="shared" si="1"/>
        <v>#N/A</v>
      </c>
      <c r="D108" t="e">
        <f>IF(INDEX(DATOS3!$1:$19397,A108,MATCH("PatientID",DATOS3!$1:$1,0))=0,"",INDEX(DATOS3!$1:$19397,A108,MATCH("PatientID",DATOS3!$1:$1,0)))</f>
        <v>#N/A</v>
      </c>
      <c r="F108" t="e">
        <f>IF(INDEX(DATOS3!$1:$19397,A108,MATCH("SeriesDate",DATOS3!$1:$1,0))=0,"",INDEX(DATOS3!$1:$19397,A108,MATCH("SeriesDate",DATOS3!$1:$1,0)))</f>
        <v>#N/A</v>
      </c>
      <c r="G108" t="e">
        <f>IF(INDEX(DATOS3!$1:$19397,A108,MATCH("SeriesTime",DATOS3!$1:$1,0))=0,"",INDEX(DATOS3!$1:$19397,A108,MATCH("SeriesTime",DATOS3!$1:$1,0)))</f>
        <v>#N/A</v>
      </c>
      <c r="H108" t="e">
        <f>IF(INDEX(DATOS3!$1:$19397,A108,MATCH("StudyDescription",DATOS3!$1:$1,0))=0,"",INDEX(DATOS3!$1:$19397,A108,MATCH("StudyDescription",DATOS3!$1:$1,0)))</f>
        <v>#N/A</v>
      </c>
      <c r="I108" t="e">
        <f>IF(INDEX(DATOS3!$1:$19397,A108,MATCH("Dose_Area_Product_Total",DATOS3!$1:$1,0))=0,0,INDEX(DATOS3!$1:$19397,A108,MATCH("Dose_Area_Product_Total",DATOS3!$1:$1,0)))</f>
        <v>#N/A</v>
      </c>
      <c r="J108" t="e">
        <f>IF(INDEX(DATOS3!$1:$19397,A108,MATCH("Dose_RP_Total",DATOS3!$1:$1,0))=0,0,INDEX(DATOS3!$1:$19397,A108,MATCH("Dose_RP_Total",DATOS3!$1:$1,0)))</f>
        <v>#N/A</v>
      </c>
      <c r="K108" t="e">
        <f>IF(INDEX(DATOS3!$1:$19397,A108,MATCH("Total_Fluoro_Time",DATOS3!$1:$1,0))=0,0,INDEX(DATOS3!$1:$19397,A108,MATCH("Total_Fluoro_Time",DATOS3!$1:$1,0)))</f>
        <v>#N/A</v>
      </c>
      <c r="L108" t="e">
        <f>IF(INDEX(DATOS3!$1:$19397,A108,MATCH("Total_Acquisition_Time",DATOS3!$1:$1,0))=0,0,INDEX(DATOS3!$1:$19397,A108,MATCH("Total_Acquisition_Time",DATOS3!$1:$1,0)))</f>
        <v>#N/A</v>
      </c>
    </row>
    <row r="109" spans="1:12" x14ac:dyDescent="0.25">
      <c r="A109">
        <v>109</v>
      </c>
      <c r="B109" t="e">
        <f t="shared" si="1"/>
        <v>#N/A</v>
      </c>
      <c r="D109" t="e">
        <f>IF(INDEX(DATOS3!$1:$19397,A109,MATCH("PatientID",DATOS3!$1:$1,0))=0,"",INDEX(DATOS3!$1:$19397,A109,MATCH("PatientID",DATOS3!$1:$1,0)))</f>
        <v>#N/A</v>
      </c>
      <c r="F109" t="e">
        <f>IF(INDEX(DATOS3!$1:$19397,A109,MATCH("SeriesDate",DATOS3!$1:$1,0))=0,"",INDEX(DATOS3!$1:$19397,A109,MATCH("SeriesDate",DATOS3!$1:$1,0)))</f>
        <v>#N/A</v>
      </c>
      <c r="G109" t="e">
        <f>IF(INDEX(DATOS3!$1:$19397,A109,MATCH("SeriesTime",DATOS3!$1:$1,0))=0,"",INDEX(DATOS3!$1:$19397,A109,MATCH("SeriesTime",DATOS3!$1:$1,0)))</f>
        <v>#N/A</v>
      </c>
      <c r="H109" t="e">
        <f>IF(INDEX(DATOS3!$1:$19397,A109,MATCH("StudyDescription",DATOS3!$1:$1,0))=0,"",INDEX(DATOS3!$1:$19397,A109,MATCH("StudyDescription",DATOS3!$1:$1,0)))</f>
        <v>#N/A</v>
      </c>
      <c r="I109" t="e">
        <f>IF(INDEX(DATOS3!$1:$19397,A109,MATCH("Dose_Area_Product_Total",DATOS3!$1:$1,0))=0,0,INDEX(DATOS3!$1:$19397,A109,MATCH("Dose_Area_Product_Total",DATOS3!$1:$1,0)))</f>
        <v>#N/A</v>
      </c>
      <c r="J109" t="e">
        <f>IF(INDEX(DATOS3!$1:$19397,A109,MATCH("Dose_RP_Total",DATOS3!$1:$1,0))=0,0,INDEX(DATOS3!$1:$19397,A109,MATCH("Dose_RP_Total",DATOS3!$1:$1,0)))</f>
        <v>#N/A</v>
      </c>
      <c r="K109" t="e">
        <f>IF(INDEX(DATOS3!$1:$19397,A109,MATCH("Total_Fluoro_Time",DATOS3!$1:$1,0))=0,0,INDEX(DATOS3!$1:$19397,A109,MATCH("Total_Fluoro_Time",DATOS3!$1:$1,0)))</f>
        <v>#N/A</v>
      </c>
      <c r="L109" t="e">
        <f>IF(INDEX(DATOS3!$1:$19397,A109,MATCH("Total_Acquisition_Time",DATOS3!$1:$1,0))=0,0,INDEX(DATOS3!$1:$19397,A109,MATCH("Total_Acquisition_Time",DATOS3!$1:$1,0)))</f>
        <v>#N/A</v>
      </c>
    </row>
    <row r="110" spans="1:12" x14ac:dyDescent="0.25">
      <c r="A110">
        <v>110</v>
      </c>
      <c r="B110" t="e">
        <f t="shared" si="1"/>
        <v>#N/A</v>
      </c>
      <c r="D110" t="e">
        <f>IF(INDEX(DATOS3!$1:$19397,A110,MATCH("PatientID",DATOS3!$1:$1,0))=0,"",INDEX(DATOS3!$1:$19397,A110,MATCH("PatientID",DATOS3!$1:$1,0)))</f>
        <v>#N/A</v>
      </c>
      <c r="F110" t="e">
        <f>IF(INDEX(DATOS3!$1:$19397,A110,MATCH("SeriesDate",DATOS3!$1:$1,0))=0,"",INDEX(DATOS3!$1:$19397,A110,MATCH("SeriesDate",DATOS3!$1:$1,0)))</f>
        <v>#N/A</v>
      </c>
      <c r="G110" t="e">
        <f>IF(INDEX(DATOS3!$1:$19397,A110,MATCH("SeriesTime",DATOS3!$1:$1,0))=0,"",INDEX(DATOS3!$1:$19397,A110,MATCH("SeriesTime",DATOS3!$1:$1,0)))</f>
        <v>#N/A</v>
      </c>
      <c r="H110" t="e">
        <f>IF(INDEX(DATOS3!$1:$19397,A110,MATCH("StudyDescription",DATOS3!$1:$1,0))=0,"",INDEX(DATOS3!$1:$19397,A110,MATCH("StudyDescription",DATOS3!$1:$1,0)))</f>
        <v>#N/A</v>
      </c>
      <c r="I110" t="e">
        <f>IF(INDEX(DATOS3!$1:$19397,A110,MATCH("Dose_Area_Product_Total",DATOS3!$1:$1,0))=0,0,INDEX(DATOS3!$1:$19397,A110,MATCH("Dose_Area_Product_Total",DATOS3!$1:$1,0)))</f>
        <v>#N/A</v>
      </c>
      <c r="J110" t="e">
        <f>IF(INDEX(DATOS3!$1:$19397,A110,MATCH("Dose_RP_Total",DATOS3!$1:$1,0))=0,0,INDEX(DATOS3!$1:$19397,A110,MATCH("Dose_RP_Total",DATOS3!$1:$1,0)))</f>
        <v>#N/A</v>
      </c>
      <c r="K110" t="e">
        <f>IF(INDEX(DATOS3!$1:$19397,A110,MATCH("Total_Fluoro_Time",DATOS3!$1:$1,0))=0,0,INDEX(DATOS3!$1:$19397,A110,MATCH("Total_Fluoro_Time",DATOS3!$1:$1,0)))</f>
        <v>#N/A</v>
      </c>
      <c r="L110" t="e">
        <f>IF(INDEX(DATOS3!$1:$19397,A110,MATCH("Total_Acquisition_Time",DATOS3!$1:$1,0))=0,0,INDEX(DATOS3!$1:$19397,A110,MATCH("Total_Acquisition_Time",DATOS3!$1:$1,0)))</f>
        <v>#N/A</v>
      </c>
    </row>
    <row r="111" spans="1:12" x14ac:dyDescent="0.25">
      <c r="A111">
        <v>111</v>
      </c>
      <c r="B111" t="e">
        <f t="shared" si="1"/>
        <v>#N/A</v>
      </c>
      <c r="D111" t="e">
        <f>IF(INDEX(DATOS3!$1:$19397,A111,MATCH("PatientID",DATOS3!$1:$1,0))=0,"",INDEX(DATOS3!$1:$19397,A111,MATCH("PatientID",DATOS3!$1:$1,0)))</f>
        <v>#N/A</v>
      </c>
      <c r="F111" t="e">
        <f>IF(INDEX(DATOS3!$1:$19397,A111,MATCH("SeriesDate",DATOS3!$1:$1,0))=0,"",INDEX(DATOS3!$1:$19397,A111,MATCH("SeriesDate",DATOS3!$1:$1,0)))</f>
        <v>#N/A</v>
      </c>
      <c r="G111" t="e">
        <f>IF(INDEX(DATOS3!$1:$19397,A111,MATCH("SeriesTime",DATOS3!$1:$1,0))=0,"",INDEX(DATOS3!$1:$19397,A111,MATCH("SeriesTime",DATOS3!$1:$1,0)))</f>
        <v>#N/A</v>
      </c>
      <c r="H111" t="e">
        <f>IF(INDEX(DATOS3!$1:$19397,A111,MATCH("StudyDescription",DATOS3!$1:$1,0))=0,"",INDEX(DATOS3!$1:$19397,A111,MATCH("StudyDescription",DATOS3!$1:$1,0)))</f>
        <v>#N/A</v>
      </c>
      <c r="I111" t="e">
        <f>IF(INDEX(DATOS3!$1:$19397,A111,MATCH("Dose_Area_Product_Total",DATOS3!$1:$1,0))=0,0,INDEX(DATOS3!$1:$19397,A111,MATCH("Dose_Area_Product_Total",DATOS3!$1:$1,0)))</f>
        <v>#N/A</v>
      </c>
      <c r="J111" t="e">
        <f>IF(INDEX(DATOS3!$1:$19397,A111,MATCH("Dose_RP_Total",DATOS3!$1:$1,0))=0,0,INDEX(DATOS3!$1:$19397,A111,MATCH("Dose_RP_Total",DATOS3!$1:$1,0)))</f>
        <v>#N/A</v>
      </c>
      <c r="K111" t="e">
        <f>IF(INDEX(DATOS3!$1:$19397,A111,MATCH("Total_Fluoro_Time",DATOS3!$1:$1,0))=0,0,INDEX(DATOS3!$1:$19397,A111,MATCH("Total_Fluoro_Time",DATOS3!$1:$1,0)))</f>
        <v>#N/A</v>
      </c>
      <c r="L111" t="e">
        <f>IF(INDEX(DATOS3!$1:$19397,A111,MATCH("Total_Acquisition_Time",DATOS3!$1:$1,0))=0,0,INDEX(DATOS3!$1:$19397,A111,MATCH("Total_Acquisition_Time",DATOS3!$1:$1,0)))</f>
        <v>#N/A</v>
      </c>
    </row>
    <row r="112" spans="1:12" x14ac:dyDescent="0.25">
      <c r="A112">
        <v>112</v>
      </c>
      <c r="B112" t="e">
        <f t="shared" si="1"/>
        <v>#N/A</v>
      </c>
      <c r="D112" t="e">
        <f>IF(INDEX(DATOS3!$1:$19397,A112,MATCH("PatientID",DATOS3!$1:$1,0))=0,"",INDEX(DATOS3!$1:$19397,A112,MATCH("PatientID",DATOS3!$1:$1,0)))</f>
        <v>#N/A</v>
      </c>
      <c r="F112" t="e">
        <f>IF(INDEX(DATOS3!$1:$19397,A112,MATCH("SeriesDate",DATOS3!$1:$1,0))=0,"",INDEX(DATOS3!$1:$19397,A112,MATCH("SeriesDate",DATOS3!$1:$1,0)))</f>
        <v>#N/A</v>
      </c>
      <c r="G112" t="e">
        <f>IF(INDEX(DATOS3!$1:$19397,A112,MATCH("SeriesTime",DATOS3!$1:$1,0))=0,"",INDEX(DATOS3!$1:$19397,A112,MATCH("SeriesTime",DATOS3!$1:$1,0)))</f>
        <v>#N/A</v>
      </c>
      <c r="H112" t="e">
        <f>IF(INDEX(DATOS3!$1:$19397,A112,MATCH("StudyDescription",DATOS3!$1:$1,0))=0,"",INDEX(DATOS3!$1:$19397,A112,MATCH("StudyDescription",DATOS3!$1:$1,0)))</f>
        <v>#N/A</v>
      </c>
      <c r="I112" t="e">
        <f>IF(INDEX(DATOS3!$1:$19397,A112,MATCH("Dose_Area_Product_Total",DATOS3!$1:$1,0))=0,0,INDEX(DATOS3!$1:$19397,A112,MATCH("Dose_Area_Product_Total",DATOS3!$1:$1,0)))</f>
        <v>#N/A</v>
      </c>
      <c r="J112" t="e">
        <f>IF(INDEX(DATOS3!$1:$19397,A112,MATCH("Dose_RP_Total",DATOS3!$1:$1,0))=0,0,INDEX(DATOS3!$1:$19397,A112,MATCH("Dose_RP_Total",DATOS3!$1:$1,0)))</f>
        <v>#N/A</v>
      </c>
      <c r="K112" t="e">
        <f>IF(INDEX(DATOS3!$1:$19397,A112,MATCH("Total_Fluoro_Time",DATOS3!$1:$1,0))=0,0,INDEX(DATOS3!$1:$19397,A112,MATCH("Total_Fluoro_Time",DATOS3!$1:$1,0)))</f>
        <v>#N/A</v>
      </c>
      <c r="L112" t="e">
        <f>IF(INDEX(DATOS3!$1:$19397,A112,MATCH("Total_Acquisition_Time",DATOS3!$1:$1,0))=0,0,INDEX(DATOS3!$1:$19397,A112,MATCH("Total_Acquisition_Time",DATOS3!$1:$1,0)))</f>
        <v>#N/A</v>
      </c>
    </row>
    <row r="113" spans="1:12" x14ac:dyDescent="0.25">
      <c r="A113">
        <v>113</v>
      </c>
      <c r="B113" t="e">
        <f t="shared" si="1"/>
        <v>#N/A</v>
      </c>
      <c r="D113" t="e">
        <f>IF(INDEX(DATOS3!$1:$19397,A113,MATCH("PatientID",DATOS3!$1:$1,0))=0,"",INDEX(DATOS3!$1:$19397,A113,MATCH("PatientID",DATOS3!$1:$1,0)))</f>
        <v>#N/A</v>
      </c>
      <c r="F113" t="e">
        <f>IF(INDEX(DATOS3!$1:$19397,A113,MATCH("SeriesDate",DATOS3!$1:$1,0))=0,"",INDEX(DATOS3!$1:$19397,A113,MATCH("SeriesDate",DATOS3!$1:$1,0)))</f>
        <v>#N/A</v>
      </c>
      <c r="G113" t="e">
        <f>IF(INDEX(DATOS3!$1:$19397,A113,MATCH("SeriesTime",DATOS3!$1:$1,0))=0,"",INDEX(DATOS3!$1:$19397,A113,MATCH("SeriesTime",DATOS3!$1:$1,0)))</f>
        <v>#N/A</v>
      </c>
      <c r="H113" t="e">
        <f>IF(INDEX(DATOS3!$1:$19397,A113,MATCH("StudyDescription",DATOS3!$1:$1,0))=0,"",INDEX(DATOS3!$1:$19397,A113,MATCH("StudyDescription",DATOS3!$1:$1,0)))</f>
        <v>#N/A</v>
      </c>
      <c r="I113" t="e">
        <f>IF(INDEX(DATOS3!$1:$19397,A113,MATCH("Dose_Area_Product_Total",DATOS3!$1:$1,0))=0,0,INDEX(DATOS3!$1:$19397,A113,MATCH("Dose_Area_Product_Total",DATOS3!$1:$1,0)))</f>
        <v>#N/A</v>
      </c>
      <c r="J113" t="e">
        <f>IF(INDEX(DATOS3!$1:$19397,A113,MATCH("Dose_RP_Total",DATOS3!$1:$1,0))=0,0,INDEX(DATOS3!$1:$19397,A113,MATCH("Dose_RP_Total",DATOS3!$1:$1,0)))</f>
        <v>#N/A</v>
      </c>
      <c r="K113" t="e">
        <f>IF(INDEX(DATOS3!$1:$19397,A113,MATCH("Total_Fluoro_Time",DATOS3!$1:$1,0))=0,0,INDEX(DATOS3!$1:$19397,A113,MATCH("Total_Fluoro_Time",DATOS3!$1:$1,0)))</f>
        <v>#N/A</v>
      </c>
      <c r="L113" t="e">
        <f>IF(INDEX(DATOS3!$1:$19397,A113,MATCH("Total_Acquisition_Time",DATOS3!$1:$1,0))=0,0,INDEX(DATOS3!$1:$19397,A113,MATCH("Total_Acquisition_Time",DATOS3!$1:$1,0)))</f>
        <v>#N/A</v>
      </c>
    </row>
    <row r="114" spans="1:12" x14ac:dyDescent="0.25">
      <c r="A114">
        <v>114</v>
      </c>
      <c r="B114" t="e">
        <f t="shared" si="1"/>
        <v>#N/A</v>
      </c>
      <c r="D114" t="e">
        <f>IF(INDEX(DATOS3!$1:$19397,A114,MATCH("PatientID",DATOS3!$1:$1,0))=0,"",INDEX(DATOS3!$1:$19397,A114,MATCH("PatientID",DATOS3!$1:$1,0)))</f>
        <v>#N/A</v>
      </c>
      <c r="F114" t="e">
        <f>IF(INDEX(DATOS3!$1:$19397,A114,MATCH("SeriesDate",DATOS3!$1:$1,0))=0,"",INDEX(DATOS3!$1:$19397,A114,MATCH("SeriesDate",DATOS3!$1:$1,0)))</f>
        <v>#N/A</v>
      </c>
      <c r="G114" t="e">
        <f>IF(INDEX(DATOS3!$1:$19397,A114,MATCH("SeriesTime",DATOS3!$1:$1,0))=0,"",INDEX(DATOS3!$1:$19397,A114,MATCH("SeriesTime",DATOS3!$1:$1,0)))</f>
        <v>#N/A</v>
      </c>
      <c r="H114" t="e">
        <f>IF(INDEX(DATOS3!$1:$19397,A114,MATCH("StudyDescription",DATOS3!$1:$1,0))=0,"",INDEX(DATOS3!$1:$19397,A114,MATCH("StudyDescription",DATOS3!$1:$1,0)))</f>
        <v>#N/A</v>
      </c>
      <c r="I114" t="e">
        <f>IF(INDEX(DATOS3!$1:$19397,A114,MATCH("Dose_Area_Product_Total",DATOS3!$1:$1,0))=0,0,INDEX(DATOS3!$1:$19397,A114,MATCH("Dose_Area_Product_Total",DATOS3!$1:$1,0)))</f>
        <v>#N/A</v>
      </c>
      <c r="J114" t="e">
        <f>IF(INDEX(DATOS3!$1:$19397,A114,MATCH("Dose_RP_Total",DATOS3!$1:$1,0))=0,0,INDEX(DATOS3!$1:$19397,A114,MATCH("Dose_RP_Total",DATOS3!$1:$1,0)))</f>
        <v>#N/A</v>
      </c>
      <c r="K114" t="e">
        <f>IF(INDEX(DATOS3!$1:$19397,A114,MATCH("Total_Fluoro_Time",DATOS3!$1:$1,0))=0,0,INDEX(DATOS3!$1:$19397,A114,MATCH("Total_Fluoro_Time",DATOS3!$1:$1,0)))</f>
        <v>#N/A</v>
      </c>
      <c r="L114" t="e">
        <f>IF(INDEX(DATOS3!$1:$19397,A114,MATCH("Total_Acquisition_Time",DATOS3!$1:$1,0))=0,0,INDEX(DATOS3!$1:$19397,A114,MATCH("Total_Acquisition_Time",DATOS3!$1:$1,0)))</f>
        <v>#N/A</v>
      </c>
    </row>
    <row r="115" spans="1:12" x14ac:dyDescent="0.25">
      <c r="A115">
        <v>115</v>
      </c>
      <c r="B115" t="e">
        <f t="shared" si="1"/>
        <v>#N/A</v>
      </c>
      <c r="D115" t="e">
        <f>IF(INDEX(DATOS3!$1:$19397,A115,MATCH("PatientID",DATOS3!$1:$1,0))=0,"",INDEX(DATOS3!$1:$19397,A115,MATCH("PatientID",DATOS3!$1:$1,0)))</f>
        <v>#N/A</v>
      </c>
      <c r="F115" t="e">
        <f>IF(INDEX(DATOS3!$1:$19397,A115,MATCH("SeriesDate",DATOS3!$1:$1,0))=0,"",INDEX(DATOS3!$1:$19397,A115,MATCH("SeriesDate",DATOS3!$1:$1,0)))</f>
        <v>#N/A</v>
      </c>
      <c r="G115" t="e">
        <f>IF(INDEX(DATOS3!$1:$19397,A115,MATCH("SeriesTime",DATOS3!$1:$1,0))=0,"",INDEX(DATOS3!$1:$19397,A115,MATCH("SeriesTime",DATOS3!$1:$1,0)))</f>
        <v>#N/A</v>
      </c>
      <c r="H115" t="e">
        <f>IF(INDEX(DATOS3!$1:$19397,A115,MATCH("StudyDescription",DATOS3!$1:$1,0))=0,"",INDEX(DATOS3!$1:$19397,A115,MATCH("StudyDescription",DATOS3!$1:$1,0)))</f>
        <v>#N/A</v>
      </c>
      <c r="I115" t="e">
        <f>IF(INDEX(DATOS3!$1:$19397,A115,MATCH("Dose_Area_Product_Total",DATOS3!$1:$1,0))=0,0,INDEX(DATOS3!$1:$19397,A115,MATCH("Dose_Area_Product_Total",DATOS3!$1:$1,0)))</f>
        <v>#N/A</v>
      </c>
      <c r="J115" t="e">
        <f>IF(INDEX(DATOS3!$1:$19397,A115,MATCH("Dose_RP_Total",DATOS3!$1:$1,0))=0,0,INDEX(DATOS3!$1:$19397,A115,MATCH("Dose_RP_Total",DATOS3!$1:$1,0)))</f>
        <v>#N/A</v>
      </c>
      <c r="K115" t="e">
        <f>IF(INDEX(DATOS3!$1:$19397,A115,MATCH("Total_Fluoro_Time",DATOS3!$1:$1,0))=0,0,INDEX(DATOS3!$1:$19397,A115,MATCH("Total_Fluoro_Time",DATOS3!$1:$1,0)))</f>
        <v>#N/A</v>
      </c>
      <c r="L115" t="e">
        <f>IF(INDEX(DATOS3!$1:$19397,A115,MATCH("Total_Acquisition_Time",DATOS3!$1:$1,0))=0,0,INDEX(DATOS3!$1:$19397,A115,MATCH("Total_Acquisition_Time",DATOS3!$1:$1,0)))</f>
        <v>#N/A</v>
      </c>
    </row>
    <row r="116" spans="1:12" x14ac:dyDescent="0.25">
      <c r="A116">
        <v>116</v>
      </c>
      <c r="B116" t="e">
        <f t="shared" si="1"/>
        <v>#N/A</v>
      </c>
      <c r="D116" t="e">
        <f>IF(INDEX(DATOS3!$1:$19397,A116,MATCH("PatientID",DATOS3!$1:$1,0))=0,"",INDEX(DATOS3!$1:$19397,A116,MATCH("PatientID",DATOS3!$1:$1,0)))</f>
        <v>#N/A</v>
      </c>
      <c r="F116" t="e">
        <f>IF(INDEX(DATOS3!$1:$19397,A116,MATCH("SeriesDate",DATOS3!$1:$1,0))=0,"",INDEX(DATOS3!$1:$19397,A116,MATCH("SeriesDate",DATOS3!$1:$1,0)))</f>
        <v>#N/A</v>
      </c>
      <c r="G116" t="e">
        <f>IF(INDEX(DATOS3!$1:$19397,A116,MATCH("SeriesTime",DATOS3!$1:$1,0))=0,"",INDEX(DATOS3!$1:$19397,A116,MATCH("SeriesTime",DATOS3!$1:$1,0)))</f>
        <v>#N/A</v>
      </c>
      <c r="H116" t="e">
        <f>IF(INDEX(DATOS3!$1:$19397,A116,MATCH("StudyDescription",DATOS3!$1:$1,0))=0,"",INDEX(DATOS3!$1:$19397,A116,MATCH("StudyDescription",DATOS3!$1:$1,0)))</f>
        <v>#N/A</v>
      </c>
      <c r="I116" t="e">
        <f>IF(INDEX(DATOS3!$1:$19397,A116,MATCH("Dose_Area_Product_Total",DATOS3!$1:$1,0))=0,0,INDEX(DATOS3!$1:$19397,A116,MATCH("Dose_Area_Product_Total",DATOS3!$1:$1,0)))</f>
        <v>#N/A</v>
      </c>
      <c r="J116" t="e">
        <f>IF(INDEX(DATOS3!$1:$19397,A116,MATCH("Dose_RP_Total",DATOS3!$1:$1,0))=0,0,INDEX(DATOS3!$1:$19397,A116,MATCH("Dose_RP_Total",DATOS3!$1:$1,0)))</f>
        <v>#N/A</v>
      </c>
      <c r="K116" t="e">
        <f>IF(INDEX(DATOS3!$1:$19397,A116,MATCH("Total_Fluoro_Time",DATOS3!$1:$1,0))=0,0,INDEX(DATOS3!$1:$19397,A116,MATCH("Total_Fluoro_Time",DATOS3!$1:$1,0)))</f>
        <v>#N/A</v>
      </c>
      <c r="L116" t="e">
        <f>IF(INDEX(DATOS3!$1:$19397,A116,MATCH("Total_Acquisition_Time",DATOS3!$1:$1,0))=0,0,INDEX(DATOS3!$1:$19397,A116,MATCH("Total_Acquisition_Time",DATOS3!$1:$1,0)))</f>
        <v>#N/A</v>
      </c>
    </row>
    <row r="117" spans="1:12" x14ac:dyDescent="0.25">
      <c r="A117">
        <v>117</v>
      </c>
      <c r="B117" t="e">
        <f t="shared" si="1"/>
        <v>#N/A</v>
      </c>
      <c r="D117" t="e">
        <f>IF(INDEX(DATOS3!$1:$19397,A117,MATCH("PatientID",DATOS3!$1:$1,0))=0,"",INDEX(DATOS3!$1:$19397,A117,MATCH("PatientID",DATOS3!$1:$1,0)))</f>
        <v>#N/A</v>
      </c>
      <c r="F117" t="e">
        <f>IF(INDEX(DATOS3!$1:$19397,A117,MATCH("SeriesDate",DATOS3!$1:$1,0))=0,"",INDEX(DATOS3!$1:$19397,A117,MATCH("SeriesDate",DATOS3!$1:$1,0)))</f>
        <v>#N/A</v>
      </c>
      <c r="G117" t="e">
        <f>IF(INDEX(DATOS3!$1:$19397,A117,MATCH("SeriesTime",DATOS3!$1:$1,0))=0,"",INDEX(DATOS3!$1:$19397,A117,MATCH("SeriesTime",DATOS3!$1:$1,0)))</f>
        <v>#N/A</v>
      </c>
      <c r="H117" t="e">
        <f>IF(INDEX(DATOS3!$1:$19397,A117,MATCH("StudyDescription",DATOS3!$1:$1,0))=0,"",INDEX(DATOS3!$1:$19397,A117,MATCH("StudyDescription",DATOS3!$1:$1,0)))</f>
        <v>#N/A</v>
      </c>
      <c r="I117" t="e">
        <f>IF(INDEX(DATOS3!$1:$19397,A117,MATCH("Dose_Area_Product_Total",DATOS3!$1:$1,0))=0,0,INDEX(DATOS3!$1:$19397,A117,MATCH("Dose_Area_Product_Total",DATOS3!$1:$1,0)))</f>
        <v>#N/A</v>
      </c>
      <c r="J117" t="e">
        <f>IF(INDEX(DATOS3!$1:$19397,A117,MATCH("Dose_RP_Total",DATOS3!$1:$1,0))=0,0,INDEX(DATOS3!$1:$19397,A117,MATCH("Dose_RP_Total",DATOS3!$1:$1,0)))</f>
        <v>#N/A</v>
      </c>
      <c r="K117" t="e">
        <f>IF(INDEX(DATOS3!$1:$19397,A117,MATCH("Total_Fluoro_Time",DATOS3!$1:$1,0))=0,0,INDEX(DATOS3!$1:$19397,A117,MATCH("Total_Fluoro_Time",DATOS3!$1:$1,0)))</f>
        <v>#N/A</v>
      </c>
      <c r="L117" t="e">
        <f>IF(INDEX(DATOS3!$1:$19397,A117,MATCH("Total_Acquisition_Time",DATOS3!$1:$1,0))=0,0,INDEX(DATOS3!$1:$19397,A117,MATCH("Total_Acquisition_Time",DATOS3!$1:$1,0)))</f>
        <v>#N/A</v>
      </c>
    </row>
    <row r="118" spans="1:12" x14ac:dyDescent="0.25">
      <c r="A118">
        <v>118</v>
      </c>
      <c r="B118" t="e">
        <f t="shared" si="1"/>
        <v>#N/A</v>
      </c>
      <c r="D118" t="e">
        <f>IF(INDEX(DATOS3!$1:$19397,A118,MATCH("PatientID",DATOS3!$1:$1,0))=0,"",INDEX(DATOS3!$1:$19397,A118,MATCH("PatientID",DATOS3!$1:$1,0)))</f>
        <v>#N/A</v>
      </c>
      <c r="F118" t="e">
        <f>IF(INDEX(DATOS3!$1:$19397,A118,MATCH("SeriesDate",DATOS3!$1:$1,0))=0,"",INDEX(DATOS3!$1:$19397,A118,MATCH("SeriesDate",DATOS3!$1:$1,0)))</f>
        <v>#N/A</v>
      </c>
      <c r="G118" t="e">
        <f>IF(INDEX(DATOS3!$1:$19397,A118,MATCH("SeriesTime",DATOS3!$1:$1,0))=0,"",INDEX(DATOS3!$1:$19397,A118,MATCH("SeriesTime",DATOS3!$1:$1,0)))</f>
        <v>#N/A</v>
      </c>
      <c r="H118" t="e">
        <f>IF(INDEX(DATOS3!$1:$19397,A118,MATCH("StudyDescription",DATOS3!$1:$1,0))=0,"",INDEX(DATOS3!$1:$19397,A118,MATCH("StudyDescription",DATOS3!$1:$1,0)))</f>
        <v>#N/A</v>
      </c>
      <c r="I118" t="e">
        <f>IF(INDEX(DATOS3!$1:$19397,A118,MATCH("Dose_Area_Product_Total",DATOS3!$1:$1,0))=0,0,INDEX(DATOS3!$1:$19397,A118,MATCH("Dose_Area_Product_Total",DATOS3!$1:$1,0)))</f>
        <v>#N/A</v>
      </c>
      <c r="J118" t="e">
        <f>IF(INDEX(DATOS3!$1:$19397,A118,MATCH("Dose_RP_Total",DATOS3!$1:$1,0))=0,0,INDEX(DATOS3!$1:$19397,A118,MATCH("Dose_RP_Total",DATOS3!$1:$1,0)))</f>
        <v>#N/A</v>
      </c>
      <c r="K118" t="e">
        <f>IF(INDEX(DATOS3!$1:$19397,A118,MATCH("Total_Fluoro_Time",DATOS3!$1:$1,0))=0,0,INDEX(DATOS3!$1:$19397,A118,MATCH("Total_Fluoro_Time",DATOS3!$1:$1,0)))</f>
        <v>#N/A</v>
      </c>
      <c r="L118" t="e">
        <f>IF(INDEX(DATOS3!$1:$19397,A118,MATCH("Total_Acquisition_Time",DATOS3!$1:$1,0))=0,0,INDEX(DATOS3!$1:$19397,A118,MATCH("Total_Acquisition_Time",DATOS3!$1:$1,0)))</f>
        <v>#N/A</v>
      </c>
    </row>
    <row r="119" spans="1:12" x14ac:dyDescent="0.25">
      <c r="A119">
        <v>119</v>
      </c>
      <c r="B119" t="e">
        <f t="shared" si="1"/>
        <v>#N/A</v>
      </c>
      <c r="D119" t="e">
        <f>IF(INDEX(DATOS3!$1:$19397,A119,MATCH("PatientID",DATOS3!$1:$1,0))=0,"",INDEX(DATOS3!$1:$19397,A119,MATCH("PatientID",DATOS3!$1:$1,0)))</f>
        <v>#N/A</v>
      </c>
      <c r="F119" t="e">
        <f>IF(INDEX(DATOS3!$1:$19397,A119,MATCH("SeriesDate",DATOS3!$1:$1,0))=0,"",INDEX(DATOS3!$1:$19397,A119,MATCH("SeriesDate",DATOS3!$1:$1,0)))</f>
        <v>#N/A</v>
      </c>
      <c r="G119" t="e">
        <f>IF(INDEX(DATOS3!$1:$19397,A119,MATCH("SeriesTime",DATOS3!$1:$1,0))=0,"",INDEX(DATOS3!$1:$19397,A119,MATCH("SeriesTime",DATOS3!$1:$1,0)))</f>
        <v>#N/A</v>
      </c>
      <c r="H119" t="e">
        <f>IF(INDEX(DATOS3!$1:$19397,A119,MATCH("StudyDescription",DATOS3!$1:$1,0))=0,"",INDEX(DATOS3!$1:$19397,A119,MATCH("StudyDescription",DATOS3!$1:$1,0)))</f>
        <v>#N/A</v>
      </c>
      <c r="I119" t="e">
        <f>IF(INDEX(DATOS3!$1:$19397,A119,MATCH("Dose_Area_Product_Total",DATOS3!$1:$1,0))=0,0,INDEX(DATOS3!$1:$19397,A119,MATCH("Dose_Area_Product_Total",DATOS3!$1:$1,0)))</f>
        <v>#N/A</v>
      </c>
      <c r="J119" t="e">
        <f>IF(INDEX(DATOS3!$1:$19397,A119,MATCH("Dose_RP_Total",DATOS3!$1:$1,0))=0,0,INDEX(DATOS3!$1:$19397,A119,MATCH("Dose_RP_Total",DATOS3!$1:$1,0)))</f>
        <v>#N/A</v>
      </c>
      <c r="K119" t="e">
        <f>IF(INDEX(DATOS3!$1:$19397,A119,MATCH("Total_Fluoro_Time",DATOS3!$1:$1,0))=0,0,INDEX(DATOS3!$1:$19397,A119,MATCH("Total_Fluoro_Time",DATOS3!$1:$1,0)))</f>
        <v>#N/A</v>
      </c>
      <c r="L119" t="e">
        <f>IF(INDEX(DATOS3!$1:$19397,A119,MATCH("Total_Acquisition_Time",DATOS3!$1:$1,0))=0,0,INDEX(DATOS3!$1:$19397,A119,MATCH("Total_Acquisition_Time",DATOS3!$1:$1,0)))</f>
        <v>#N/A</v>
      </c>
    </row>
    <row r="120" spans="1:12" x14ac:dyDescent="0.25">
      <c r="A120">
        <v>120</v>
      </c>
      <c r="B120" t="e">
        <f t="shared" si="1"/>
        <v>#N/A</v>
      </c>
      <c r="D120" t="e">
        <f>IF(INDEX(DATOS3!$1:$19397,A120,MATCH("PatientID",DATOS3!$1:$1,0))=0,"",INDEX(DATOS3!$1:$19397,A120,MATCH("PatientID",DATOS3!$1:$1,0)))</f>
        <v>#N/A</v>
      </c>
      <c r="F120" t="e">
        <f>IF(INDEX(DATOS3!$1:$19397,A120,MATCH("SeriesDate",DATOS3!$1:$1,0))=0,"",INDEX(DATOS3!$1:$19397,A120,MATCH("SeriesDate",DATOS3!$1:$1,0)))</f>
        <v>#N/A</v>
      </c>
      <c r="G120" t="e">
        <f>IF(INDEX(DATOS3!$1:$19397,A120,MATCH("SeriesTime",DATOS3!$1:$1,0))=0,"",INDEX(DATOS3!$1:$19397,A120,MATCH("SeriesTime",DATOS3!$1:$1,0)))</f>
        <v>#N/A</v>
      </c>
      <c r="H120" t="e">
        <f>IF(INDEX(DATOS3!$1:$19397,A120,MATCH("StudyDescription",DATOS3!$1:$1,0))=0,"",INDEX(DATOS3!$1:$19397,A120,MATCH("StudyDescription",DATOS3!$1:$1,0)))</f>
        <v>#N/A</v>
      </c>
      <c r="I120" t="e">
        <f>IF(INDEX(DATOS3!$1:$19397,A120,MATCH("Dose_Area_Product_Total",DATOS3!$1:$1,0))=0,0,INDEX(DATOS3!$1:$19397,A120,MATCH("Dose_Area_Product_Total",DATOS3!$1:$1,0)))</f>
        <v>#N/A</v>
      </c>
      <c r="J120" t="e">
        <f>IF(INDEX(DATOS3!$1:$19397,A120,MATCH("Dose_RP_Total",DATOS3!$1:$1,0))=0,0,INDEX(DATOS3!$1:$19397,A120,MATCH("Dose_RP_Total",DATOS3!$1:$1,0)))</f>
        <v>#N/A</v>
      </c>
      <c r="K120" t="e">
        <f>IF(INDEX(DATOS3!$1:$19397,A120,MATCH("Total_Fluoro_Time",DATOS3!$1:$1,0))=0,0,INDEX(DATOS3!$1:$19397,A120,MATCH("Total_Fluoro_Time",DATOS3!$1:$1,0)))</f>
        <v>#N/A</v>
      </c>
      <c r="L120" t="e">
        <f>IF(INDEX(DATOS3!$1:$19397,A120,MATCH("Total_Acquisition_Time",DATOS3!$1:$1,0))=0,0,INDEX(DATOS3!$1:$19397,A120,MATCH("Total_Acquisition_Time",DATOS3!$1:$1,0)))</f>
        <v>#N/A</v>
      </c>
    </row>
    <row r="121" spans="1:12" x14ac:dyDescent="0.25">
      <c r="A121">
        <v>121</v>
      </c>
      <c r="B121" t="e">
        <f t="shared" si="1"/>
        <v>#N/A</v>
      </c>
      <c r="D121" t="e">
        <f>IF(INDEX(DATOS3!$1:$19397,A121,MATCH("PatientID",DATOS3!$1:$1,0))=0,"",INDEX(DATOS3!$1:$19397,A121,MATCH("PatientID",DATOS3!$1:$1,0)))</f>
        <v>#N/A</v>
      </c>
      <c r="F121" t="e">
        <f>IF(INDEX(DATOS3!$1:$19397,A121,MATCH("SeriesDate",DATOS3!$1:$1,0))=0,"",INDEX(DATOS3!$1:$19397,A121,MATCH("SeriesDate",DATOS3!$1:$1,0)))</f>
        <v>#N/A</v>
      </c>
      <c r="G121" t="e">
        <f>IF(INDEX(DATOS3!$1:$19397,A121,MATCH("SeriesTime",DATOS3!$1:$1,0))=0,"",INDEX(DATOS3!$1:$19397,A121,MATCH("SeriesTime",DATOS3!$1:$1,0)))</f>
        <v>#N/A</v>
      </c>
      <c r="H121" t="e">
        <f>IF(INDEX(DATOS3!$1:$19397,A121,MATCH("StudyDescription",DATOS3!$1:$1,0))=0,"",INDEX(DATOS3!$1:$19397,A121,MATCH("StudyDescription",DATOS3!$1:$1,0)))</f>
        <v>#N/A</v>
      </c>
      <c r="I121" t="e">
        <f>IF(INDEX(DATOS3!$1:$19397,A121,MATCH("Dose_Area_Product_Total",DATOS3!$1:$1,0))=0,0,INDEX(DATOS3!$1:$19397,A121,MATCH("Dose_Area_Product_Total",DATOS3!$1:$1,0)))</f>
        <v>#N/A</v>
      </c>
      <c r="J121" t="e">
        <f>IF(INDEX(DATOS3!$1:$19397,A121,MATCH("Dose_RP_Total",DATOS3!$1:$1,0))=0,0,INDEX(DATOS3!$1:$19397,A121,MATCH("Dose_RP_Total",DATOS3!$1:$1,0)))</f>
        <v>#N/A</v>
      </c>
      <c r="K121" t="e">
        <f>IF(INDEX(DATOS3!$1:$19397,A121,MATCH("Total_Fluoro_Time",DATOS3!$1:$1,0))=0,0,INDEX(DATOS3!$1:$19397,A121,MATCH("Total_Fluoro_Time",DATOS3!$1:$1,0)))</f>
        <v>#N/A</v>
      </c>
      <c r="L121" t="e">
        <f>IF(INDEX(DATOS3!$1:$19397,A121,MATCH("Total_Acquisition_Time",DATOS3!$1:$1,0))=0,0,INDEX(DATOS3!$1:$19397,A121,MATCH("Total_Acquisition_Time",DATOS3!$1:$1,0)))</f>
        <v>#N/A</v>
      </c>
    </row>
    <row r="122" spans="1:12" x14ac:dyDescent="0.25">
      <c r="A122">
        <v>122</v>
      </c>
      <c r="B122" t="e">
        <f t="shared" si="1"/>
        <v>#N/A</v>
      </c>
      <c r="D122" t="e">
        <f>IF(INDEX(DATOS3!$1:$19397,A122,MATCH("PatientID",DATOS3!$1:$1,0))=0,"",INDEX(DATOS3!$1:$19397,A122,MATCH("PatientID",DATOS3!$1:$1,0)))</f>
        <v>#N/A</v>
      </c>
      <c r="F122" t="e">
        <f>IF(INDEX(DATOS3!$1:$19397,A122,MATCH("SeriesDate",DATOS3!$1:$1,0))=0,"",INDEX(DATOS3!$1:$19397,A122,MATCH("SeriesDate",DATOS3!$1:$1,0)))</f>
        <v>#N/A</v>
      </c>
      <c r="G122" t="e">
        <f>IF(INDEX(DATOS3!$1:$19397,A122,MATCH("SeriesTime",DATOS3!$1:$1,0))=0,"",INDEX(DATOS3!$1:$19397,A122,MATCH("SeriesTime",DATOS3!$1:$1,0)))</f>
        <v>#N/A</v>
      </c>
      <c r="H122" t="e">
        <f>IF(INDEX(DATOS3!$1:$19397,A122,MATCH("StudyDescription",DATOS3!$1:$1,0))=0,"",INDEX(DATOS3!$1:$19397,A122,MATCH("StudyDescription",DATOS3!$1:$1,0)))</f>
        <v>#N/A</v>
      </c>
      <c r="I122" t="e">
        <f>IF(INDEX(DATOS3!$1:$19397,A122,MATCH("Dose_Area_Product_Total",DATOS3!$1:$1,0))=0,0,INDEX(DATOS3!$1:$19397,A122,MATCH("Dose_Area_Product_Total",DATOS3!$1:$1,0)))</f>
        <v>#N/A</v>
      </c>
      <c r="J122" t="e">
        <f>IF(INDEX(DATOS3!$1:$19397,A122,MATCH("Dose_RP_Total",DATOS3!$1:$1,0))=0,0,INDEX(DATOS3!$1:$19397,A122,MATCH("Dose_RP_Total",DATOS3!$1:$1,0)))</f>
        <v>#N/A</v>
      </c>
      <c r="K122" t="e">
        <f>IF(INDEX(DATOS3!$1:$19397,A122,MATCH("Total_Fluoro_Time",DATOS3!$1:$1,0))=0,0,INDEX(DATOS3!$1:$19397,A122,MATCH("Total_Fluoro_Time",DATOS3!$1:$1,0)))</f>
        <v>#N/A</v>
      </c>
      <c r="L122" t="e">
        <f>IF(INDEX(DATOS3!$1:$19397,A122,MATCH("Total_Acquisition_Time",DATOS3!$1:$1,0))=0,0,INDEX(DATOS3!$1:$19397,A122,MATCH("Total_Acquisition_Time",DATOS3!$1:$1,0)))</f>
        <v>#N/A</v>
      </c>
    </row>
    <row r="123" spans="1:12" x14ac:dyDescent="0.25">
      <c r="A123">
        <v>123</v>
      </c>
      <c r="B123" t="e">
        <f t="shared" si="1"/>
        <v>#N/A</v>
      </c>
      <c r="D123" t="e">
        <f>IF(INDEX(DATOS3!$1:$19397,A123,MATCH("PatientID",DATOS3!$1:$1,0))=0,"",INDEX(DATOS3!$1:$19397,A123,MATCH("PatientID",DATOS3!$1:$1,0)))</f>
        <v>#N/A</v>
      </c>
      <c r="F123" t="e">
        <f>IF(INDEX(DATOS3!$1:$19397,A123,MATCH("SeriesDate",DATOS3!$1:$1,0))=0,"",INDEX(DATOS3!$1:$19397,A123,MATCH("SeriesDate",DATOS3!$1:$1,0)))</f>
        <v>#N/A</v>
      </c>
      <c r="G123" t="e">
        <f>IF(INDEX(DATOS3!$1:$19397,A123,MATCH("SeriesTime",DATOS3!$1:$1,0))=0,"",INDEX(DATOS3!$1:$19397,A123,MATCH("SeriesTime",DATOS3!$1:$1,0)))</f>
        <v>#N/A</v>
      </c>
      <c r="H123" t="e">
        <f>IF(INDEX(DATOS3!$1:$19397,A123,MATCH("StudyDescription",DATOS3!$1:$1,0))=0,"",INDEX(DATOS3!$1:$19397,A123,MATCH("StudyDescription",DATOS3!$1:$1,0)))</f>
        <v>#N/A</v>
      </c>
      <c r="I123" t="e">
        <f>IF(INDEX(DATOS3!$1:$19397,A123,MATCH("Dose_Area_Product_Total",DATOS3!$1:$1,0))=0,0,INDEX(DATOS3!$1:$19397,A123,MATCH("Dose_Area_Product_Total",DATOS3!$1:$1,0)))</f>
        <v>#N/A</v>
      </c>
      <c r="J123" t="e">
        <f>IF(INDEX(DATOS3!$1:$19397,A123,MATCH("Dose_RP_Total",DATOS3!$1:$1,0))=0,0,INDEX(DATOS3!$1:$19397,A123,MATCH("Dose_RP_Total",DATOS3!$1:$1,0)))</f>
        <v>#N/A</v>
      </c>
      <c r="K123" t="e">
        <f>IF(INDEX(DATOS3!$1:$19397,A123,MATCH("Total_Fluoro_Time",DATOS3!$1:$1,0))=0,0,INDEX(DATOS3!$1:$19397,A123,MATCH("Total_Fluoro_Time",DATOS3!$1:$1,0)))</f>
        <v>#N/A</v>
      </c>
      <c r="L123" t="e">
        <f>IF(INDEX(DATOS3!$1:$19397,A123,MATCH("Total_Acquisition_Time",DATOS3!$1:$1,0))=0,0,INDEX(DATOS3!$1:$19397,A123,MATCH("Total_Acquisition_Time",DATOS3!$1:$1,0)))</f>
        <v>#N/A</v>
      </c>
    </row>
    <row r="124" spans="1:12" x14ac:dyDescent="0.25">
      <c r="A124">
        <v>124</v>
      </c>
      <c r="B124" t="e">
        <f t="shared" si="1"/>
        <v>#N/A</v>
      </c>
      <c r="D124" t="e">
        <f>IF(INDEX(DATOS3!$1:$19397,A124,MATCH("PatientID",DATOS3!$1:$1,0))=0,"",INDEX(DATOS3!$1:$19397,A124,MATCH("PatientID",DATOS3!$1:$1,0)))</f>
        <v>#N/A</v>
      </c>
      <c r="F124" t="e">
        <f>IF(INDEX(DATOS3!$1:$19397,A124,MATCH("SeriesDate",DATOS3!$1:$1,0))=0,"",INDEX(DATOS3!$1:$19397,A124,MATCH("SeriesDate",DATOS3!$1:$1,0)))</f>
        <v>#N/A</v>
      </c>
      <c r="G124" t="e">
        <f>IF(INDEX(DATOS3!$1:$19397,A124,MATCH("SeriesTime",DATOS3!$1:$1,0))=0,"",INDEX(DATOS3!$1:$19397,A124,MATCH("SeriesTime",DATOS3!$1:$1,0)))</f>
        <v>#N/A</v>
      </c>
      <c r="H124" t="e">
        <f>IF(INDEX(DATOS3!$1:$19397,A124,MATCH("StudyDescription",DATOS3!$1:$1,0))=0,"",INDEX(DATOS3!$1:$19397,A124,MATCH("StudyDescription",DATOS3!$1:$1,0)))</f>
        <v>#N/A</v>
      </c>
      <c r="I124" t="e">
        <f>IF(INDEX(DATOS3!$1:$19397,A124,MATCH("Dose_Area_Product_Total",DATOS3!$1:$1,0))=0,0,INDEX(DATOS3!$1:$19397,A124,MATCH("Dose_Area_Product_Total",DATOS3!$1:$1,0)))</f>
        <v>#N/A</v>
      </c>
      <c r="J124" t="e">
        <f>IF(INDEX(DATOS3!$1:$19397,A124,MATCH("Dose_RP_Total",DATOS3!$1:$1,0))=0,0,INDEX(DATOS3!$1:$19397,A124,MATCH("Dose_RP_Total",DATOS3!$1:$1,0)))</f>
        <v>#N/A</v>
      </c>
      <c r="K124" t="e">
        <f>IF(INDEX(DATOS3!$1:$19397,A124,MATCH("Total_Fluoro_Time",DATOS3!$1:$1,0))=0,0,INDEX(DATOS3!$1:$19397,A124,MATCH("Total_Fluoro_Time",DATOS3!$1:$1,0)))</f>
        <v>#N/A</v>
      </c>
      <c r="L124" t="e">
        <f>IF(INDEX(DATOS3!$1:$19397,A124,MATCH("Total_Acquisition_Time",DATOS3!$1:$1,0))=0,0,INDEX(DATOS3!$1:$19397,A124,MATCH("Total_Acquisition_Time",DATOS3!$1:$1,0)))</f>
        <v>#N/A</v>
      </c>
    </row>
    <row r="125" spans="1:12" x14ac:dyDescent="0.25">
      <c r="A125">
        <v>125</v>
      </c>
      <c r="B125" t="e">
        <f t="shared" si="1"/>
        <v>#N/A</v>
      </c>
      <c r="D125" t="e">
        <f>IF(INDEX(DATOS3!$1:$19397,A125,MATCH("PatientID",DATOS3!$1:$1,0))=0,"",INDEX(DATOS3!$1:$19397,A125,MATCH("PatientID",DATOS3!$1:$1,0)))</f>
        <v>#N/A</v>
      </c>
      <c r="F125" t="e">
        <f>IF(INDEX(DATOS3!$1:$19397,A125,MATCH("SeriesDate",DATOS3!$1:$1,0))=0,"",INDEX(DATOS3!$1:$19397,A125,MATCH("SeriesDate",DATOS3!$1:$1,0)))</f>
        <v>#N/A</v>
      </c>
      <c r="G125" t="e">
        <f>IF(INDEX(DATOS3!$1:$19397,A125,MATCH("SeriesTime",DATOS3!$1:$1,0))=0,"",INDEX(DATOS3!$1:$19397,A125,MATCH("SeriesTime",DATOS3!$1:$1,0)))</f>
        <v>#N/A</v>
      </c>
      <c r="H125" t="e">
        <f>IF(INDEX(DATOS3!$1:$19397,A125,MATCH("StudyDescription",DATOS3!$1:$1,0))=0,"",INDEX(DATOS3!$1:$19397,A125,MATCH("StudyDescription",DATOS3!$1:$1,0)))</f>
        <v>#N/A</v>
      </c>
      <c r="I125" t="e">
        <f>IF(INDEX(DATOS3!$1:$19397,A125,MATCH("Dose_Area_Product_Total",DATOS3!$1:$1,0))=0,0,INDEX(DATOS3!$1:$19397,A125,MATCH("Dose_Area_Product_Total",DATOS3!$1:$1,0)))</f>
        <v>#N/A</v>
      </c>
      <c r="J125" t="e">
        <f>IF(INDEX(DATOS3!$1:$19397,A125,MATCH("Dose_RP_Total",DATOS3!$1:$1,0))=0,0,INDEX(DATOS3!$1:$19397,A125,MATCH("Dose_RP_Total",DATOS3!$1:$1,0)))</f>
        <v>#N/A</v>
      </c>
      <c r="K125" t="e">
        <f>IF(INDEX(DATOS3!$1:$19397,A125,MATCH("Total_Fluoro_Time",DATOS3!$1:$1,0))=0,0,INDEX(DATOS3!$1:$19397,A125,MATCH("Total_Fluoro_Time",DATOS3!$1:$1,0)))</f>
        <v>#N/A</v>
      </c>
      <c r="L125" t="e">
        <f>IF(INDEX(DATOS3!$1:$19397,A125,MATCH("Total_Acquisition_Time",DATOS3!$1:$1,0))=0,0,INDEX(DATOS3!$1:$19397,A125,MATCH("Total_Acquisition_Time",DATOS3!$1:$1,0)))</f>
        <v>#N/A</v>
      </c>
    </row>
    <row r="126" spans="1:12" x14ac:dyDescent="0.25">
      <c r="A126">
        <v>126</v>
      </c>
      <c r="B126" t="e">
        <f t="shared" si="1"/>
        <v>#N/A</v>
      </c>
      <c r="D126" t="e">
        <f>IF(INDEX(DATOS3!$1:$19397,A126,MATCH("PatientID",DATOS3!$1:$1,0))=0,"",INDEX(DATOS3!$1:$19397,A126,MATCH("PatientID",DATOS3!$1:$1,0)))</f>
        <v>#N/A</v>
      </c>
      <c r="F126" t="e">
        <f>IF(INDEX(DATOS3!$1:$19397,A126,MATCH("SeriesDate",DATOS3!$1:$1,0))=0,"",INDEX(DATOS3!$1:$19397,A126,MATCH("SeriesDate",DATOS3!$1:$1,0)))</f>
        <v>#N/A</v>
      </c>
      <c r="G126" t="e">
        <f>IF(INDEX(DATOS3!$1:$19397,A126,MATCH("SeriesTime",DATOS3!$1:$1,0))=0,"",INDEX(DATOS3!$1:$19397,A126,MATCH("SeriesTime",DATOS3!$1:$1,0)))</f>
        <v>#N/A</v>
      </c>
      <c r="H126" t="e">
        <f>IF(INDEX(DATOS3!$1:$19397,A126,MATCH("StudyDescription",DATOS3!$1:$1,0))=0,"",INDEX(DATOS3!$1:$19397,A126,MATCH("StudyDescription",DATOS3!$1:$1,0)))</f>
        <v>#N/A</v>
      </c>
      <c r="I126" t="e">
        <f>IF(INDEX(DATOS3!$1:$19397,A126,MATCH("Dose_Area_Product_Total",DATOS3!$1:$1,0))=0,0,INDEX(DATOS3!$1:$19397,A126,MATCH("Dose_Area_Product_Total",DATOS3!$1:$1,0)))</f>
        <v>#N/A</v>
      </c>
      <c r="J126" t="e">
        <f>IF(INDEX(DATOS3!$1:$19397,A126,MATCH("Dose_RP_Total",DATOS3!$1:$1,0))=0,0,INDEX(DATOS3!$1:$19397,A126,MATCH("Dose_RP_Total",DATOS3!$1:$1,0)))</f>
        <v>#N/A</v>
      </c>
      <c r="K126" t="e">
        <f>IF(INDEX(DATOS3!$1:$19397,A126,MATCH("Total_Fluoro_Time",DATOS3!$1:$1,0))=0,0,INDEX(DATOS3!$1:$19397,A126,MATCH("Total_Fluoro_Time",DATOS3!$1:$1,0)))</f>
        <v>#N/A</v>
      </c>
      <c r="L126" t="e">
        <f>IF(INDEX(DATOS3!$1:$19397,A126,MATCH("Total_Acquisition_Time",DATOS3!$1:$1,0))=0,0,INDEX(DATOS3!$1:$19397,A126,MATCH("Total_Acquisition_Time",DATOS3!$1:$1,0)))</f>
        <v>#N/A</v>
      </c>
    </row>
    <row r="127" spans="1:12" x14ac:dyDescent="0.25">
      <c r="A127">
        <v>127</v>
      </c>
      <c r="B127" t="e">
        <f t="shared" si="1"/>
        <v>#N/A</v>
      </c>
      <c r="D127" t="e">
        <f>IF(INDEX(DATOS3!$1:$19397,A127,MATCH("PatientID",DATOS3!$1:$1,0))=0,"",INDEX(DATOS3!$1:$19397,A127,MATCH("PatientID",DATOS3!$1:$1,0)))</f>
        <v>#N/A</v>
      </c>
      <c r="F127" t="e">
        <f>IF(INDEX(DATOS3!$1:$19397,A127,MATCH("SeriesDate",DATOS3!$1:$1,0))=0,"",INDEX(DATOS3!$1:$19397,A127,MATCH("SeriesDate",DATOS3!$1:$1,0)))</f>
        <v>#N/A</v>
      </c>
      <c r="G127" t="e">
        <f>IF(INDEX(DATOS3!$1:$19397,A127,MATCH("SeriesTime",DATOS3!$1:$1,0))=0,"",INDEX(DATOS3!$1:$19397,A127,MATCH("SeriesTime",DATOS3!$1:$1,0)))</f>
        <v>#N/A</v>
      </c>
      <c r="H127" t="e">
        <f>IF(INDEX(DATOS3!$1:$19397,A127,MATCH("StudyDescription",DATOS3!$1:$1,0))=0,"",INDEX(DATOS3!$1:$19397,A127,MATCH("StudyDescription",DATOS3!$1:$1,0)))</f>
        <v>#N/A</v>
      </c>
      <c r="I127" t="e">
        <f>IF(INDEX(DATOS3!$1:$19397,A127,MATCH("Dose_Area_Product_Total",DATOS3!$1:$1,0))=0,0,INDEX(DATOS3!$1:$19397,A127,MATCH("Dose_Area_Product_Total",DATOS3!$1:$1,0)))</f>
        <v>#N/A</v>
      </c>
      <c r="J127" t="e">
        <f>IF(INDEX(DATOS3!$1:$19397,A127,MATCH("Dose_RP_Total",DATOS3!$1:$1,0))=0,0,INDEX(DATOS3!$1:$19397,A127,MATCH("Dose_RP_Total",DATOS3!$1:$1,0)))</f>
        <v>#N/A</v>
      </c>
      <c r="K127" t="e">
        <f>IF(INDEX(DATOS3!$1:$19397,A127,MATCH("Total_Fluoro_Time",DATOS3!$1:$1,0))=0,0,INDEX(DATOS3!$1:$19397,A127,MATCH("Total_Fluoro_Time",DATOS3!$1:$1,0)))</f>
        <v>#N/A</v>
      </c>
      <c r="L127" t="e">
        <f>IF(INDEX(DATOS3!$1:$19397,A127,MATCH("Total_Acquisition_Time",DATOS3!$1:$1,0))=0,0,INDEX(DATOS3!$1:$19397,A127,MATCH("Total_Acquisition_Time",DATOS3!$1:$1,0)))</f>
        <v>#N/A</v>
      </c>
    </row>
    <row r="128" spans="1:12" x14ac:dyDescent="0.25">
      <c r="A128">
        <v>128</v>
      </c>
      <c r="B128" t="e">
        <f t="shared" si="1"/>
        <v>#N/A</v>
      </c>
      <c r="D128" t="e">
        <f>IF(INDEX(DATOS3!$1:$19397,A128,MATCH("PatientID",DATOS3!$1:$1,0))=0,"",INDEX(DATOS3!$1:$19397,A128,MATCH("PatientID",DATOS3!$1:$1,0)))</f>
        <v>#N/A</v>
      </c>
      <c r="F128" t="e">
        <f>IF(INDEX(DATOS3!$1:$19397,A128,MATCH("SeriesDate",DATOS3!$1:$1,0))=0,"",INDEX(DATOS3!$1:$19397,A128,MATCH("SeriesDate",DATOS3!$1:$1,0)))</f>
        <v>#N/A</v>
      </c>
      <c r="G128" t="e">
        <f>IF(INDEX(DATOS3!$1:$19397,A128,MATCH("SeriesTime",DATOS3!$1:$1,0))=0,"",INDEX(DATOS3!$1:$19397,A128,MATCH("SeriesTime",DATOS3!$1:$1,0)))</f>
        <v>#N/A</v>
      </c>
      <c r="H128" t="e">
        <f>IF(INDEX(DATOS3!$1:$19397,A128,MATCH("StudyDescription",DATOS3!$1:$1,0))=0,"",INDEX(DATOS3!$1:$19397,A128,MATCH("StudyDescription",DATOS3!$1:$1,0)))</f>
        <v>#N/A</v>
      </c>
      <c r="I128" t="e">
        <f>IF(INDEX(DATOS3!$1:$19397,A128,MATCH("Dose_Area_Product_Total",DATOS3!$1:$1,0))=0,0,INDEX(DATOS3!$1:$19397,A128,MATCH("Dose_Area_Product_Total",DATOS3!$1:$1,0)))</f>
        <v>#N/A</v>
      </c>
      <c r="J128" t="e">
        <f>IF(INDEX(DATOS3!$1:$19397,A128,MATCH("Dose_RP_Total",DATOS3!$1:$1,0))=0,0,INDEX(DATOS3!$1:$19397,A128,MATCH("Dose_RP_Total",DATOS3!$1:$1,0)))</f>
        <v>#N/A</v>
      </c>
      <c r="K128" t="e">
        <f>IF(INDEX(DATOS3!$1:$19397,A128,MATCH("Total_Fluoro_Time",DATOS3!$1:$1,0))=0,0,INDEX(DATOS3!$1:$19397,A128,MATCH("Total_Fluoro_Time",DATOS3!$1:$1,0)))</f>
        <v>#N/A</v>
      </c>
      <c r="L128" t="e">
        <f>IF(INDEX(DATOS3!$1:$19397,A128,MATCH("Total_Acquisition_Time",DATOS3!$1:$1,0))=0,0,INDEX(DATOS3!$1:$19397,A128,MATCH("Total_Acquisition_Time",DATOS3!$1:$1,0)))</f>
        <v>#N/A</v>
      </c>
    </row>
    <row r="129" spans="1:12" x14ac:dyDescent="0.25">
      <c r="A129">
        <v>129</v>
      </c>
      <c r="B129" t="e">
        <f t="shared" si="1"/>
        <v>#N/A</v>
      </c>
      <c r="D129" t="e">
        <f>IF(INDEX(DATOS3!$1:$19397,A129,MATCH("PatientID",DATOS3!$1:$1,0))=0,"",INDEX(DATOS3!$1:$19397,A129,MATCH("PatientID",DATOS3!$1:$1,0)))</f>
        <v>#N/A</v>
      </c>
      <c r="F129" t="e">
        <f>IF(INDEX(DATOS3!$1:$19397,A129,MATCH("SeriesDate",DATOS3!$1:$1,0))=0,"",INDEX(DATOS3!$1:$19397,A129,MATCH("SeriesDate",DATOS3!$1:$1,0)))</f>
        <v>#N/A</v>
      </c>
      <c r="G129" t="e">
        <f>IF(INDEX(DATOS3!$1:$19397,A129,MATCH("SeriesTime",DATOS3!$1:$1,0))=0,"",INDEX(DATOS3!$1:$19397,A129,MATCH("SeriesTime",DATOS3!$1:$1,0)))</f>
        <v>#N/A</v>
      </c>
      <c r="H129" t="e">
        <f>IF(INDEX(DATOS3!$1:$19397,A129,MATCH("StudyDescription",DATOS3!$1:$1,0))=0,"",INDEX(DATOS3!$1:$19397,A129,MATCH("StudyDescription",DATOS3!$1:$1,0)))</f>
        <v>#N/A</v>
      </c>
      <c r="I129" t="e">
        <f>IF(INDEX(DATOS3!$1:$19397,A129,MATCH("Dose_Area_Product_Total",DATOS3!$1:$1,0))=0,0,INDEX(DATOS3!$1:$19397,A129,MATCH("Dose_Area_Product_Total",DATOS3!$1:$1,0)))</f>
        <v>#N/A</v>
      </c>
      <c r="J129" t="e">
        <f>IF(INDEX(DATOS3!$1:$19397,A129,MATCH("Dose_RP_Total",DATOS3!$1:$1,0))=0,0,INDEX(DATOS3!$1:$19397,A129,MATCH("Dose_RP_Total",DATOS3!$1:$1,0)))</f>
        <v>#N/A</v>
      </c>
      <c r="K129" t="e">
        <f>IF(INDEX(DATOS3!$1:$19397,A129,MATCH("Total_Fluoro_Time",DATOS3!$1:$1,0))=0,0,INDEX(DATOS3!$1:$19397,A129,MATCH("Total_Fluoro_Time",DATOS3!$1:$1,0)))</f>
        <v>#N/A</v>
      </c>
      <c r="L129" t="e">
        <f>IF(INDEX(DATOS3!$1:$19397,A129,MATCH("Total_Acquisition_Time",DATOS3!$1:$1,0))=0,0,INDEX(DATOS3!$1:$19397,A129,MATCH("Total_Acquisition_Time",DATOS3!$1:$1,0)))</f>
        <v>#N/A</v>
      </c>
    </row>
    <row r="130" spans="1:12" x14ac:dyDescent="0.25">
      <c r="A130">
        <v>130</v>
      </c>
      <c r="B130" t="e">
        <f t="shared" si="1"/>
        <v>#N/A</v>
      </c>
      <c r="D130" t="e">
        <f>IF(INDEX(DATOS3!$1:$19397,A130,MATCH("PatientID",DATOS3!$1:$1,0))=0,"",INDEX(DATOS3!$1:$19397,A130,MATCH("PatientID",DATOS3!$1:$1,0)))</f>
        <v>#N/A</v>
      </c>
      <c r="F130" t="e">
        <f>IF(INDEX(DATOS3!$1:$19397,A130,MATCH("SeriesDate",DATOS3!$1:$1,0))=0,"",INDEX(DATOS3!$1:$19397,A130,MATCH("SeriesDate",DATOS3!$1:$1,0)))</f>
        <v>#N/A</v>
      </c>
      <c r="G130" t="e">
        <f>IF(INDEX(DATOS3!$1:$19397,A130,MATCH("SeriesTime",DATOS3!$1:$1,0))=0,"",INDEX(DATOS3!$1:$19397,A130,MATCH("SeriesTime",DATOS3!$1:$1,0)))</f>
        <v>#N/A</v>
      </c>
      <c r="H130" t="e">
        <f>IF(INDEX(DATOS3!$1:$19397,A130,MATCH("StudyDescription",DATOS3!$1:$1,0))=0,"",INDEX(DATOS3!$1:$19397,A130,MATCH("StudyDescription",DATOS3!$1:$1,0)))</f>
        <v>#N/A</v>
      </c>
      <c r="I130" t="e">
        <f>IF(INDEX(DATOS3!$1:$19397,A130,MATCH("Dose_Area_Product_Total",DATOS3!$1:$1,0))=0,0,INDEX(DATOS3!$1:$19397,A130,MATCH("Dose_Area_Product_Total",DATOS3!$1:$1,0)))</f>
        <v>#N/A</v>
      </c>
      <c r="J130" t="e">
        <f>IF(INDEX(DATOS3!$1:$19397,A130,MATCH("Dose_RP_Total",DATOS3!$1:$1,0))=0,0,INDEX(DATOS3!$1:$19397,A130,MATCH("Dose_RP_Total",DATOS3!$1:$1,0)))</f>
        <v>#N/A</v>
      </c>
      <c r="K130" t="e">
        <f>IF(INDEX(DATOS3!$1:$19397,A130,MATCH("Total_Fluoro_Time",DATOS3!$1:$1,0))=0,0,INDEX(DATOS3!$1:$19397,A130,MATCH("Total_Fluoro_Time",DATOS3!$1:$1,0)))</f>
        <v>#N/A</v>
      </c>
      <c r="L130" t="e">
        <f>IF(INDEX(DATOS3!$1:$19397,A130,MATCH("Total_Acquisition_Time",DATOS3!$1:$1,0))=0,0,INDEX(DATOS3!$1:$19397,A130,MATCH("Total_Acquisition_Time",DATOS3!$1:$1,0)))</f>
        <v>#N/A</v>
      </c>
    </row>
    <row r="131" spans="1:12" x14ac:dyDescent="0.25">
      <c r="A131">
        <v>131</v>
      </c>
      <c r="B131" t="e">
        <f t="shared" ref="B131:B194" si="2">IF(D131="","","HIBRIDO")</f>
        <v>#N/A</v>
      </c>
      <c r="D131" t="e">
        <f>IF(INDEX(DATOS3!$1:$19397,A131,MATCH("PatientID",DATOS3!$1:$1,0))=0,"",INDEX(DATOS3!$1:$19397,A131,MATCH("PatientID",DATOS3!$1:$1,0)))</f>
        <v>#N/A</v>
      </c>
      <c r="F131" t="e">
        <f>IF(INDEX(DATOS3!$1:$19397,A131,MATCH("SeriesDate",DATOS3!$1:$1,0))=0,"",INDEX(DATOS3!$1:$19397,A131,MATCH("SeriesDate",DATOS3!$1:$1,0)))</f>
        <v>#N/A</v>
      </c>
      <c r="G131" t="e">
        <f>IF(INDEX(DATOS3!$1:$19397,A131,MATCH("SeriesTime",DATOS3!$1:$1,0))=0,"",INDEX(DATOS3!$1:$19397,A131,MATCH("SeriesTime",DATOS3!$1:$1,0)))</f>
        <v>#N/A</v>
      </c>
      <c r="H131" t="e">
        <f>IF(INDEX(DATOS3!$1:$19397,A131,MATCH("StudyDescription",DATOS3!$1:$1,0))=0,"",INDEX(DATOS3!$1:$19397,A131,MATCH("StudyDescription",DATOS3!$1:$1,0)))</f>
        <v>#N/A</v>
      </c>
      <c r="I131" t="e">
        <f>IF(INDEX(DATOS3!$1:$19397,A131,MATCH("Dose_Area_Product_Total",DATOS3!$1:$1,0))=0,0,INDEX(DATOS3!$1:$19397,A131,MATCH("Dose_Area_Product_Total",DATOS3!$1:$1,0)))</f>
        <v>#N/A</v>
      </c>
      <c r="J131" t="e">
        <f>IF(INDEX(DATOS3!$1:$19397,A131,MATCH("Dose_RP_Total",DATOS3!$1:$1,0))=0,0,INDEX(DATOS3!$1:$19397,A131,MATCH("Dose_RP_Total",DATOS3!$1:$1,0)))</f>
        <v>#N/A</v>
      </c>
      <c r="K131" t="e">
        <f>IF(INDEX(DATOS3!$1:$19397,A131,MATCH("Total_Fluoro_Time",DATOS3!$1:$1,0))=0,0,INDEX(DATOS3!$1:$19397,A131,MATCH("Total_Fluoro_Time",DATOS3!$1:$1,0)))</f>
        <v>#N/A</v>
      </c>
      <c r="L131" t="e">
        <f>IF(INDEX(DATOS3!$1:$19397,A131,MATCH("Total_Acquisition_Time",DATOS3!$1:$1,0))=0,0,INDEX(DATOS3!$1:$19397,A131,MATCH("Total_Acquisition_Time",DATOS3!$1:$1,0)))</f>
        <v>#N/A</v>
      </c>
    </row>
    <row r="132" spans="1:12" x14ac:dyDescent="0.25">
      <c r="A132">
        <v>132</v>
      </c>
      <c r="B132" t="e">
        <f t="shared" si="2"/>
        <v>#N/A</v>
      </c>
      <c r="D132" t="e">
        <f>IF(INDEX(DATOS3!$1:$19397,A132,MATCH("PatientID",DATOS3!$1:$1,0))=0,"",INDEX(DATOS3!$1:$19397,A132,MATCH("PatientID",DATOS3!$1:$1,0)))</f>
        <v>#N/A</v>
      </c>
      <c r="F132" t="e">
        <f>IF(INDEX(DATOS3!$1:$19397,A132,MATCH("SeriesDate",DATOS3!$1:$1,0))=0,"",INDEX(DATOS3!$1:$19397,A132,MATCH("SeriesDate",DATOS3!$1:$1,0)))</f>
        <v>#N/A</v>
      </c>
      <c r="G132" t="e">
        <f>IF(INDEX(DATOS3!$1:$19397,A132,MATCH("SeriesTime",DATOS3!$1:$1,0))=0,"",INDEX(DATOS3!$1:$19397,A132,MATCH("SeriesTime",DATOS3!$1:$1,0)))</f>
        <v>#N/A</v>
      </c>
      <c r="H132" t="e">
        <f>IF(INDEX(DATOS3!$1:$19397,A132,MATCH("StudyDescription",DATOS3!$1:$1,0))=0,"",INDEX(DATOS3!$1:$19397,A132,MATCH("StudyDescription",DATOS3!$1:$1,0)))</f>
        <v>#N/A</v>
      </c>
      <c r="I132" t="e">
        <f>IF(INDEX(DATOS3!$1:$19397,A132,MATCH("Dose_Area_Product_Total",DATOS3!$1:$1,0))=0,0,INDEX(DATOS3!$1:$19397,A132,MATCH("Dose_Area_Product_Total",DATOS3!$1:$1,0)))</f>
        <v>#N/A</v>
      </c>
      <c r="J132" t="e">
        <f>IF(INDEX(DATOS3!$1:$19397,A132,MATCH("Dose_RP_Total",DATOS3!$1:$1,0))=0,0,INDEX(DATOS3!$1:$19397,A132,MATCH("Dose_RP_Total",DATOS3!$1:$1,0)))</f>
        <v>#N/A</v>
      </c>
      <c r="K132" t="e">
        <f>IF(INDEX(DATOS3!$1:$19397,A132,MATCH("Total_Fluoro_Time",DATOS3!$1:$1,0))=0,0,INDEX(DATOS3!$1:$19397,A132,MATCH("Total_Fluoro_Time",DATOS3!$1:$1,0)))</f>
        <v>#N/A</v>
      </c>
      <c r="L132" t="e">
        <f>IF(INDEX(DATOS3!$1:$19397,A132,MATCH("Total_Acquisition_Time",DATOS3!$1:$1,0))=0,0,INDEX(DATOS3!$1:$19397,A132,MATCH("Total_Acquisition_Time",DATOS3!$1:$1,0)))</f>
        <v>#N/A</v>
      </c>
    </row>
    <row r="133" spans="1:12" x14ac:dyDescent="0.25">
      <c r="A133">
        <v>133</v>
      </c>
      <c r="B133" t="e">
        <f t="shared" si="2"/>
        <v>#N/A</v>
      </c>
      <c r="D133" t="e">
        <f>IF(INDEX(DATOS3!$1:$19397,A133,MATCH("PatientID",DATOS3!$1:$1,0))=0,"",INDEX(DATOS3!$1:$19397,A133,MATCH("PatientID",DATOS3!$1:$1,0)))</f>
        <v>#N/A</v>
      </c>
      <c r="F133" t="e">
        <f>IF(INDEX(DATOS3!$1:$19397,A133,MATCH("SeriesDate",DATOS3!$1:$1,0))=0,"",INDEX(DATOS3!$1:$19397,A133,MATCH("SeriesDate",DATOS3!$1:$1,0)))</f>
        <v>#N/A</v>
      </c>
      <c r="G133" t="e">
        <f>IF(INDEX(DATOS3!$1:$19397,A133,MATCH("SeriesTime",DATOS3!$1:$1,0))=0,"",INDEX(DATOS3!$1:$19397,A133,MATCH("SeriesTime",DATOS3!$1:$1,0)))</f>
        <v>#N/A</v>
      </c>
      <c r="H133" t="e">
        <f>IF(INDEX(DATOS3!$1:$19397,A133,MATCH("StudyDescription",DATOS3!$1:$1,0))=0,"",INDEX(DATOS3!$1:$19397,A133,MATCH("StudyDescription",DATOS3!$1:$1,0)))</f>
        <v>#N/A</v>
      </c>
      <c r="I133" t="e">
        <f>IF(INDEX(DATOS3!$1:$19397,A133,MATCH("Dose_Area_Product_Total",DATOS3!$1:$1,0))=0,0,INDEX(DATOS3!$1:$19397,A133,MATCH("Dose_Area_Product_Total",DATOS3!$1:$1,0)))</f>
        <v>#N/A</v>
      </c>
      <c r="J133" t="e">
        <f>IF(INDEX(DATOS3!$1:$19397,A133,MATCH("Dose_RP_Total",DATOS3!$1:$1,0))=0,0,INDEX(DATOS3!$1:$19397,A133,MATCH("Dose_RP_Total",DATOS3!$1:$1,0)))</f>
        <v>#N/A</v>
      </c>
      <c r="K133" t="e">
        <f>IF(INDEX(DATOS3!$1:$19397,A133,MATCH("Total_Fluoro_Time",DATOS3!$1:$1,0))=0,0,INDEX(DATOS3!$1:$19397,A133,MATCH("Total_Fluoro_Time",DATOS3!$1:$1,0)))</f>
        <v>#N/A</v>
      </c>
      <c r="L133" t="e">
        <f>IF(INDEX(DATOS3!$1:$19397,A133,MATCH("Total_Acquisition_Time",DATOS3!$1:$1,0))=0,0,INDEX(DATOS3!$1:$19397,A133,MATCH("Total_Acquisition_Time",DATOS3!$1:$1,0)))</f>
        <v>#N/A</v>
      </c>
    </row>
    <row r="134" spans="1:12" x14ac:dyDescent="0.25">
      <c r="A134">
        <v>134</v>
      </c>
      <c r="B134" t="e">
        <f t="shared" si="2"/>
        <v>#N/A</v>
      </c>
      <c r="D134" t="e">
        <f>IF(INDEX(DATOS3!$1:$19397,A134,MATCH("PatientID",DATOS3!$1:$1,0))=0,"",INDEX(DATOS3!$1:$19397,A134,MATCH("PatientID",DATOS3!$1:$1,0)))</f>
        <v>#N/A</v>
      </c>
      <c r="F134" t="e">
        <f>IF(INDEX(DATOS3!$1:$19397,A134,MATCH("SeriesDate",DATOS3!$1:$1,0))=0,"",INDEX(DATOS3!$1:$19397,A134,MATCH("SeriesDate",DATOS3!$1:$1,0)))</f>
        <v>#N/A</v>
      </c>
      <c r="G134" t="e">
        <f>IF(INDEX(DATOS3!$1:$19397,A134,MATCH("SeriesTime",DATOS3!$1:$1,0))=0,"",INDEX(DATOS3!$1:$19397,A134,MATCH("SeriesTime",DATOS3!$1:$1,0)))</f>
        <v>#N/A</v>
      </c>
      <c r="H134" t="e">
        <f>IF(INDEX(DATOS3!$1:$19397,A134,MATCH("StudyDescription",DATOS3!$1:$1,0))=0,"",INDEX(DATOS3!$1:$19397,A134,MATCH("StudyDescription",DATOS3!$1:$1,0)))</f>
        <v>#N/A</v>
      </c>
      <c r="I134" t="e">
        <f>IF(INDEX(DATOS3!$1:$19397,A134,MATCH("Dose_Area_Product_Total",DATOS3!$1:$1,0))=0,0,INDEX(DATOS3!$1:$19397,A134,MATCH("Dose_Area_Product_Total",DATOS3!$1:$1,0)))</f>
        <v>#N/A</v>
      </c>
      <c r="J134" t="e">
        <f>IF(INDEX(DATOS3!$1:$19397,A134,MATCH("Dose_RP_Total",DATOS3!$1:$1,0))=0,0,INDEX(DATOS3!$1:$19397,A134,MATCH("Dose_RP_Total",DATOS3!$1:$1,0)))</f>
        <v>#N/A</v>
      </c>
      <c r="K134" t="e">
        <f>IF(INDEX(DATOS3!$1:$19397,A134,MATCH("Total_Fluoro_Time",DATOS3!$1:$1,0))=0,0,INDEX(DATOS3!$1:$19397,A134,MATCH("Total_Fluoro_Time",DATOS3!$1:$1,0)))</f>
        <v>#N/A</v>
      </c>
      <c r="L134" t="e">
        <f>IF(INDEX(DATOS3!$1:$19397,A134,MATCH("Total_Acquisition_Time",DATOS3!$1:$1,0))=0,0,INDEX(DATOS3!$1:$19397,A134,MATCH("Total_Acquisition_Time",DATOS3!$1:$1,0)))</f>
        <v>#N/A</v>
      </c>
    </row>
    <row r="135" spans="1:12" x14ac:dyDescent="0.25">
      <c r="A135">
        <v>135</v>
      </c>
      <c r="B135" t="e">
        <f t="shared" si="2"/>
        <v>#N/A</v>
      </c>
      <c r="D135" t="e">
        <f>IF(INDEX(DATOS3!$1:$19397,A135,MATCH("PatientID",DATOS3!$1:$1,0))=0,"",INDEX(DATOS3!$1:$19397,A135,MATCH("PatientID",DATOS3!$1:$1,0)))</f>
        <v>#N/A</v>
      </c>
      <c r="F135" t="e">
        <f>IF(INDEX(DATOS3!$1:$19397,A135,MATCH("SeriesDate",DATOS3!$1:$1,0))=0,"",INDEX(DATOS3!$1:$19397,A135,MATCH("SeriesDate",DATOS3!$1:$1,0)))</f>
        <v>#N/A</v>
      </c>
      <c r="G135" t="e">
        <f>IF(INDEX(DATOS3!$1:$19397,A135,MATCH("SeriesTime",DATOS3!$1:$1,0))=0,"",INDEX(DATOS3!$1:$19397,A135,MATCH("SeriesTime",DATOS3!$1:$1,0)))</f>
        <v>#N/A</v>
      </c>
      <c r="H135" t="e">
        <f>IF(INDEX(DATOS3!$1:$19397,A135,MATCH("StudyDescription",DATOS3!$1:$1,0))=0,"",INDEX(DATOS3!$1:$19397,A135,MATCH("StudyDescription",DATOS3!$1:$1,0)))</f>
        <v>#N/A</v>
      </c>
      <c r="I135" t="e">
        <f>IF(INDEX(DATOS3!$1:$19397,A135,MATCH("Dose_Area_Product_Total",DATOS3!$1:$1,0))=0,0,INDEX(DATOS3!$1:$19397,A135,MATCH("Dose_Area_Product_Total",DATOS3!$1:$1,0)))</f>
        <v>#N/A</v>
      </c>
      <c r="J135" t="e">
        <f>IF(INDEX(DATOS3!$1:$19397,A135,MATCH("Dose_RP_Total",DATOS3!$1:$1,0))=0,0,INDEX(DATOS3!$1:$19397,A135,MATCH("Dose_RP_Total",DATOS3!$1:$1,0)))</f>
        <v>#N/A</v>
      </c>
      <c r="K135" t="e">
        <f>IF(INDEX(DATOS3!$1:$19397,A135,MATCH("Total_Fluoro_Time",DATOS3!$1:$1,0))=0,0,INDEX(DATOS3!$1:$19397,A135,MATCH("Total_Fluoro_Time",DATOS3!$1:$1,0)))</f>
        <v>#N/A</v>
      </c>
      <c r="L135" t="e">
        <f>IF(INDEX(DATOS3!$1:$19397,A135,MATCH("Total_Acquisition_Time",DATOS3!$1:$1,0))=0,0,INDEX(DATOS3!$1:$19397,A135,MATCH("Total_Acquisition_Time",DATOS3!$1:$1,0)))</f>
        <v>#N/A</v>
      </c>
    </row>
    <row r="136" spans="1:12" x14ac:dyDescent="0.25">
      <c r="A136">
        <v>136</v>
      </c>
      <c r="B136" t="e">
        <f t="shared" si="2"/>
        <v>#N/A</v>
      </c>
      <c r="D136" t="e">
        <f>IF(INDEX(DATOS3!$1:$19397,A136,MATCH("PatientID",DATOS3!$1:$1,0))=0,"",INDEX(DATOS3!$1:$19397,A136,MATCH("PatientID",DATOS3!$1:$1,0)))</f>
        <v>#N/A</v>
      </c>
      <c r="F136" t="e">
        <f>IF(INDEX(DATOS3!$1:$19397,A136,MATCH("SeriesDate",DATOS3!$1:$1,0))=0,"",INDEX(DATOS3!$1:$19397,A136,MATCH("SeriesDate",DATOS3!$1:$1,0)))</f>
        <v>#N/A</v>
      </c>
      <c r="G136" t="e">
        <f>IF(INDEX(DATOS3!$1:$19397,A136,MATCH("SeriesTime",DATOS3!$1:$1,0))=0,"",INDEX(DATOS3!$1:$19397,A136,MATCH("SeriesTime",DATOS3!$1:$1,0)))</f>
        <v>#N/A</v>
      </c>
      <c r="H136" t="e">
        <f>IF(INDEX(DATOS3!$1:$19397,A136,MATCH("StudyDescription",DATOS3!$1:$1,0))=0,"",INDEX(DATOS3!$1:$19397,A136,MATCH("StudyDescription",DATOS3!$1:$1,0)))</f>
        <v>#N/A</v>
      </c>
      <c r="I136" t="e">
        <f>IF(INDEX(DATOS3!$1:$19397,A136,MATCH("Dose_Area_Product_Total",DATOS3!$1:$1,0))=0,0,INDEX(DATOS3!$1:$19397,A136,MATCH("Dose_Area_Product_Total",DATOS3!$1:$1,0)))</f>
        <v>#N/A</v>
      </c>
      <c r="J136" t="e">
        <f>IF(INDEX(DATOS3!$1:$19397,A136,MATCH("Dose_RP_Total",DATOS3!$1:$1,0))=0,0,INDEX(DATOS3!$1:$19397,A136,MATCH("Dose_RP_Total",DATOS3!$1:$1,0)))</f>
        <v>#N/A</v>
      </c>
      <c r="K136" t="e">
        <f>IF(INDEX(DATOS3!$1:$19397,A136,MATCH("Total_Fluoro_Time",DATOS3!$1:$1,0))=0,0,INDEX(DATOS3!$1:$19397,A136,MATCH("Total_Fluoro_Time",DATOS3!$1:$1,0)))</f>
        <v>#N/A</v>
      </c>
      <c r="L136" t="e">
        <f>IF(INDEX(DATOS3!$1:$19397,A136,MATCH("Total_Acquisition_Time",DATOS3!$1:$1,0))=0,0,INDEX(DATOS3!$1:$19397,A136,MATCH("Total_Acquisition_Time",DATOS3!$1:$1,0)))</f>
        <v>#N/A</v>
      </c>
    </row>
    <row r="137" spans="1:12" x14ac:dyDescent="0.25">
      <c r="A137">
        <v>137</v>
      </c>
      <c r="B137" t="e">
        <f t="shared" si="2"/>
        <v>#N/A</v>
      </c>
      <c r="D137" t="e">
        <f>IF(INDEX(DATOS3!$1:$19397,A137,MATCH("PatientID",DATOS3!$1:$1,0))=0,"",INDEX(DATOS3!$1:$19397,A137,MATCH("PatientID",DATOS3!$1:$1,0)))</f>
        <v>#N/A</v>
      </c>
      <c r="F137" t="e">
        <f>IF(INDEX(DATOS3!$1:$19397,A137,MATCH("SeriesDate",DATOS3!$1:$1,0))=0,"",INDEX(DATOS3!$1:$19397,A137,MATCH("SeriesDate",DATOS3!$1:$1,0)))</f>
        <v>#N/A</v>
      </c>
      <c r="G137" t="e">
        <f>IF(INDEX(DATOS3!$1:$19397,A137,MATCH("SeriesTime",DATOS3!$1:$1,0))=0,"",INDEX(DATOS3!$1:$19397,A137,MATCH("SeriesTime",DATOS3!$1:$1,0)))</f>
        <v>#N/A</v>
      </c>
      <c r="H137" t="e">
        <f>IF(INDEX(DATOS3!$1:$19397,A137,MATCH("StudyDescription",DATOS3!$1:$1,0))=0,"",INDEX(DATOS3!$1:$19397,A137,MATCH("StudyDescription",DATOS3!$1:$1,0)))</f>
        <v>#N/A</v>
      </c>
      <c r="I137" t="e">
        <f>IF(INDEX(DATOS3!$1:$19397,A137,MATCH("Dose_Area_Product_Total",DATOS3!$1:$1,0))=0,0,INDEX(DATOS3!$1:$19397,A137,MATCH("Dose_Area_Product_Total",DATOS3!$1:$1,0)))</f>
        <v>#N/A</v>
      </c>
      <c r="J137" t="e">
        <f>IF(INDEX(DATOS3!$1:$19397,A137,MATCH("Dose_RP_Total",DATOS3!$1:$1,0))=0,0,INDEX(DATOS3!$1:$19397,A137,MATCH("Dose_RP_Total",DATOS3!$1:$1,0)))</f>
        <v>#N/A</v>
      </c>
      <c r="K137" t="e">
        <f>IF(INDEX(DATOS3!$1:$19397,A137,MATCH("Total_Fluoro_Time",DATOS3!$1:$1,0))=0,0,INDEX(DATOS3!$1:$19397,A137,MATCH("Total_Fluoro_Time",DATOS3!$1:$1,0)))</f>
        <v>#N/A</v>
      </c>
      <c r="L137" t="e">
        <f>IF(INDEX(DATOS3!$1:$19397,A137,MATCH("Total_Acquisition_Time",DATOS3!$1:$1,0))=0,0,INDEX(DATOS3!$1:$19397,A137,MATCH("Total_Acquisition_Time",DATOS3!$1:$1,0)))</f>
        <v>#N/A</v>
      </c>
    </row>
    <row r="138" spans="1:12" x14ac:dyDescent="0.25">
      <c r="A138">
        <v>138</v>
      </c>
      <c r="B138" t="e">
        <f t="shared" si="2"/>
        <v>#N/A</v>
      </c>
      <c r="D138" t="e">
        <f>IF(INDEX(DATOS3!$1:$19397,A138,MATCH("PatientID",DATOS3!$1:$1,0))=0,"",INDEX(DATOS3!$1:$19397,A138,MATCH("PatientID",DATOS3!$1:$1,0)))</f>
        <v>#N/A</v>
      </c>
      <c r="F138" t="e">
        <f>IF(INDEX(DATOS3!$1:$19397,A138,MATCH("SeriesDate",DATOS3!$1:$1,0))=0,"",INDEX(DATOS3!$1:$19397,A138,MATCH("SeriesDate",DATOS3!$1:$1,0)))</f>
        <v>#N/A</v>
      </c>
      <c r="G138" t="e">
        <f>IF(INDEX(DATOS3!$1:$19397,A138,MATCH("SeriesTime",DATOS3!$1:$1,0))=0,"",INDEX(DATOS3!$1:$19397,A138,MATCH("SeriesTime",DATOS3!$1:$1,0)))</f>
        <v>#N/A</v>
      </c>
      <c r="H138" t="e">
        <f>IF(INDEX(DATOS3!$1:$19397,A138,MATCH("StudyDescription",DATOS3!$1:$1,0))=0,"",INDEX(DATOS3!$1:$19397,A138,MATCH("StudyDescription",DATOS3!$1:$1,0)))</f>
        <v>#N/A</v>
      </c>
      <c r="I138" t="e">
        <f>IF(INDEX(DATOS3!$1:$19397,A138,MATCH("Dose_Area_Product_Total",DATOS3!$1:$1,0))=0,0,INDEX(DATOS3!$1:$19397,A138,MATCH("Dose_Area_Product_Total",DATOS3!$1:$1,0)))</f>
        <v>#N/A</v>
      </c>
      <c r="J138" t="e">
        <f>IF(INDEX(DATOS3!$1:$19397,A138,MATCH("Dose_RP_Total",DATOS3!$1:$1,0))=0,0,INDEX(DATOS3!$1:$19397,A138,MATCH("Dose_RP_Total",DATOS3!$1:$1,0)))</f>
        <v>#N/A</v>
      </c>
      <c r="K138" t="e">
        <f>IF(INDEX(DATOS3!$1:$19397,A138,MATCH("Total_Fluoro_Time",DATOS3!$1:$1,0))=0,0,INDEX(DATOS3!$1:$19397,A138,MATCH("Total_Fluoro_Time",DATOS3!$1:$1,0)))</f>
        <v>#N/A</v>
      </c>
      <c r="L138" t="e">
        <f>IF(INDEX(DATOS3!$1:$19397,A138,MATCH("Total_Acquisition_Time",DATOS3!$1:$1,0))=0,0,INDEX(DATOS3!$1:$19397,A138,MATCH("Total_Acquisition_Time",DATOS3!$1:$1,0)))</f>
        <v>#N/A</v>
      </c>
    </row>
    <row r="139" spans="1:12" x14ac:dyDescent="0.25">
      <c r="A139">
        <v>139</v>
      </c>
      <c r="B139" t="e">
        <f t="shared" si="2"/>
        <v>#N/A</v>
      </c>
      <c r="D139" t="e">
        <f>IF(INDEX(DATOS3!$1:$19397,A139,MATCH("PatientID",DATOS3!$1:$1,0))=0,"",INDEX(DATOS3!$1:$19397,A139,MATCH("PatientID",DATOS3!$1:$1,0)))</f>
        <v>#N/A</v>
      </c>
      <c r="F139" t="e">
        <f>IF(INDEX(DATOS3!$1:$19397,A139,MATCH("SeriesDate",DATOS3!$1:$1,0))=0,"",INDEX(DATOS3!$1:$19397,A139,MATCH("SeriesDate",DATOS3!$1:$1,0)))</f>
        <v>#N/A</v>
      </c>
      <c r="G139" t="e">
        <f>IF(INDEX(DATOS3!$1:$19397,A139,MATCH("SeriesTime",DATOS3!$1:$1,0))=0,"",INDEX(DATOS3!$1:$19397,A139,MATCH("SeriesTime",DATOS3!$1:$1,0)))</f>
        <v>#N/A</v>
      </c>
      <c r="H139" t="e">
        <f>IF(INDEX(DATOS3!$1:$19397,A139,MATCH("StudyDescription",DATOS3!$1:$1,0))=0,"",INDEX(DATOS3!$1:$19397,A139,MATCH("StudyDescription",DATOS3!$1:$1,0)))</f>
        <v>#N/A</v>
      </c>
      <c r="I139" t="e">
        <f>IF(INDEX(DATOS3!$1:$19397,A139,MATCH("Dose_Area_Product_Total",DATOS3!$1:$1,0))=0,0,INDEX(DATOS3!$1:$19397,A139,MATCH("Dose_Area_Product_Total",DATOS3!$1:$1,0)))</f>
        <v>#N/A</v>
      </c>
      <c r="J139" t="e">
        <f>IF(INDEX(DATOS3!$1:$19397,A139,MATCH("Dose_RP_Total",DATOS3!$1:$1,0))=0,0,INDEX(DATOS3!$1:$19397,A139,MATCH("Dose_RP_Total",DATOS3!$1:$1,0)))</f>
        <v>#N/A</v>
      </c>
      <c r="K139" t="e">
        <f>IF(INDEX(DATOS3!$1:$19397,A139,MATCH("Total_Fluoro_Time",DATOS3!$1:$1,0))=0,0,INDEX(DATOS3!$1:$19397,A139,MATCH("Total_Fluoro_Time",DATOS3!$1:$1,0)))</f>
        <v>#N/A</v>
      </c>
      <c r="L139" t="e">
        <f>IF(INDEX(DATOS3!$1:$19397,A139,MATCH("Total_Acquisition_Time",DATOS3!$1:$1,0))=0,0,INDEX(DATOS3!$1:$19397,A139,MATCH("Total_Acquisition_Time",DATOS3!$1:$1,0)))</f>
        <v>#N/A</v>
      </c>
    </row>
    <row r="140" spans="1:12" x14ac:dyDescent="0.25">
      <c r="A140">
        <v>140</v>
      </c>
      <c r="B140" t="e">
        <f t="shared" si="2"/>
        <v>#N/A</v>
      </c>
      <c r="D140" t="e">
        <f>IF(INDEX(DATOS3!$1:$19397,A140,MATCH("PatientID",DATOS3!$1:$1,0))=0,"",INDEX(DATOS3!$1:$19397,A140,MATCH("PatientID",DATOS3!$1:$1,0)))</f>
        <v>#N/A</v>
      </c>
      <c r="F140" t="e">
        <f>IF(INDEX(DATOS3!$1:$19397,A140,MATCH("SeriesDate",DATOS3!$1:$1,0))=0,"",INDEX(DATOS3!$1:$19397,A140,MATCH("SeriesDate",DATOS3!$1:$1,0)))</f>
        <v>#N/A</v>
      </c>
      <c r="G140" t="e">
        <f>IF(INDEX(DATOS3!$1:$19397,A140,MATCH("SeriesTime",DATOS3!$1:$1,0))=0,"",INDEX(DATOS3!$1:$19397,A140,MATCH("SeriesTime",DATOS3!$1:$1,0)))</f>
        <v>#N/A</v>
      </c>
      <c r="H140" t="e">
        <f>IF(INDEX(DATOS3!$1:$19397,A140,MATCH("StudyDescription",DATOS3!$1:$1,0))=0,"",INDEX(DATOS3!$1:$19397,A140,MATCH("StudyDescription",DATOS3!$1:$1,0)))</f>
        <v>#N/A</v>
      </c>
      <c r="I140" t="e">
        <f>IF(INDEX(DATOS3!$1:$19397,A140,MATCH("Dose_Area_Product_Total",DATOS3!$1:$1,0))=0,0,INDEX(DATOS3!$1:$19397,A140,MATCH("Dose_Area_Product_Total",DATOS3!$1:$1,0)))</f>
        <v>#N/A</v>
      </c>
      <c r="J140" t="e">
        <f>IF(INDEX(DATOS3!$1:$19397,A140,MATCH("Dose_RP_Total",DATOS3!$1:$1,0))=0,0,INDEX(DATOS3!$1:$19397,A140,MATCH("Dose_RP_Total",DATOS3!$1:$1,0)))</f>
        <v>#N/A</v>
      </c>
      <c r="K140" t="e">
        <f>IF(INDEX(DATOS3!$1:$19397,A140,MATCH("Total_Fluoro_Time",DATOS3!$1:$1,0))=0,0,INDEX(DATOS3!$1:$19397,A140,MATCH("Total_Fluoro_Time",DATOS3!$1:$1,0)))</f>
        <v>#N/A</v>
      </c>
      <c r="L140" t="e">
        <f>IF(INDEX(DATOS3!$1:$19397,A140,MATCH("Total_Acquisition_Time",DATOS3!$1:$1,0))=0,0,INDEX(DATOS3!$1:$19397,A140,MATCH("Total_Acquisition_Time",DATOS3!$1:$1,0)))</f>
        <v>#N/A</v>
      </c>
    </row>
    <row r="141" spans="1:12" x14ac:dyDescent="0.25">
      <c r="A141">
        <v>141</v>
      </c>
      <c r="B141" t="e">
        <f t="shared" si="2"/>
        <v>#N/A</v>
      </c>
      <c r="D141" t="e">
        <f>IF(INDEX(DATOS3!$1:$19397,A141,MATCH("PatientID",DATOS3!$1:$1,0))=0,"",INDEX(DATOS3!$1:$19397,A141,MATCH("PatientID",DATOS3!$1:$1,0)))</f>
        <v>#N/A</v>
      </c>
      <c r="F141" t="e">
        <f>IF(INDEX(DATOS3!$1:$19397,A141,MATCH("SeriesDate",DATOS3!$1:$1,0))=0,"",INDEX(DATOS3!$1:$19397,A141,MATCH("SeriesDate",DATOS3!$1:$1,0)))</f>
        <v>#N/A</v>
      </c>
      <c r="G141" t="e">
        <f>IF(INDEX(DATOS3!$1:$19397,A141,MATCH("SeriesTime",DATOS3!$1:$1,0))=0,"",INDEX(DATOS3!$1:$19397,A141,MATCH("SeriesTime",DATOS3!$1:$1,0)))</f>
        <v>#N/A</v>
      </c>
      <c r="H141" t="e">
        <f>IF(INDEX(DATOS3!$1:$19397,A141,MATCH("StudyDescription",DATOS3!$1:$1,0))=0,"",INDEX(DATOS3!$1:$19397,A141,MATCH("StudyDescription",DATOS3!$1:$1,0)))</f>
        <v>#N/A</v>
      </c>
      <c r="I141" t="e">
        <f>IF(INDEX(DATOS3!$1:$19397,A141,MATCH("Dose_Area_Product_Total",DATOS3!$1:$1,0))=0,0,INDEX(DATOS3!$1:$19397,A141,MATCH("Dose_Area_Product_Total",DATOS3!$1:$1,0)))</f>
        <v>#N/A</v>
      </c>
      <c r="J141" t="e">
        <f>IF(INDEX(DATOS3!$1:$19397,A141,MATCH("Dose_RP_Total",DATOS3!$1:$1,0))=0,0,INDEX(DATOS3!$1:$19397,A141,MATCH("Dose_RP_Total",DATOS3!$1:$1,0)))</f>
        <v>#N/A</v>
      </c>
      <c r="K141" t="e">
        <f>IF(INDEX(DATOS3!$1:$19397,A141,MATCH("Total_Fluoro_Time",DATOS3!$1:$1,0))=0,0,INDEX(DATOS3!$1:$19397,A141,MATCH("Total_Fluoro_Time",DATOS3!$1:$1,0)))</f>
        <v>#N/A</v>
      </c>
      <c r="L141" t="e">
        <f>IF(INDEX(DATOS3!$1:$19397,A141,MATCH("Total_Acquisition_Time",DATOS3!$1:$1,0))=0,0,INDEX(DATOS3!$1:$19397,A141,MATCH("Total_Acquisition_Time",DATOS3!$1:$1,0)))</f>
        <v>#N/A</v>
      </c>
    </row>
    <row r="142" spans="1:12" x14ac:dyDescent="0.25">
      <c r="A142">
        <v>142</v>
      </c>
      <c r="B142" t="e">
        <f t="shared" si="2"/>
        <v>#N/A</v>
      </c>
      <c r="D142" t="e">
        <f>IF(INDEX(DATOS3!$1:$19397,A142,MATCH("PatientID",DATOS3!$1:$1,0))=0,"",INDEX(DATOS3!$1:$19397,A142,MATCH("PatientID",DATOS3!$1:$1,0)))</f>
        <v>#N/A</v>
      </c>
      <c r="F142" t="e">
        <f>IF(INDEX(DATOS3!$1:$19397,A142,MATCH("SeriesDate",DATOS3!$1:$1,0))=0,"",INDEX(DATOS3!$1:$19397,A142,MATCH("SeriesDate",DATOS3!$1:$1,0)))</f>
        <v>#N/A</v>
      </c>
      <c r="G142" t="e">
        <f>IF(INDEX(DATOS3!$1:$19397,A142,MATCH("SeriesTime",DATOS3!$1:$1,0))=0,"",INDEX(DATOS3!$1:$19397,A142,MATCH("SeriesTime",DATOS3!$1:$1,0)))</f>
        <v>#N/A</v>
      </c>
      <c r="H142" t="e">
        <f>IF(INDEX(DATOS3!$1:$19397,A142,MATCH("StudyDescription",DATOS3!$1:$1,0))=0,"",INDEX(DATOS3!$1:$19397,A142,MATCH("StudyDescription",DATOS3!$1:$1,0)))</f>
        <v>#N/A</v>
      </c>
      <c r="I142" t="e">
        <f>IF(INDEX(DATOS3!$1:$19397,A142,MATCH("Dose_Area_Product_Total",DATOS3!$1:$1,0))=0,0,INDEX(DATOS3!$1:$19397,A142,MATCH("Dose_Area_Product_Total",DATOS3!$1:$1,0)))</f>
        <v>#N/A</v>
      </c>
      <c r="J142" t="e">
        <f>IF(INDEX(DATOS3!$1:$19397,A142,MATCH("Dose_RP_Total",DATOS3!$1:$1,0))=0,0,INDEX(DATOS3!$1:$19397,A142,MATCH("Dose_RP_Total",DATOS3!$1:$1,0)))</f>
        <v>#N/A</v>
      </c>
      <c r="K142" t="e">
        <f>IF(INDEX(DATOS3!$1:$19397,A142,MATCH("Total_Fluoro_Time",DATOS3!$1:$1,0))=0,0,INDEX(DATOS3!$1:$19397,A142,MATCH("Total_Fluoro_Time",DATOS3!$1:$1,0)))</f>
        <v>#N/A</v>
      </c>
      <c r="L142" t="e">
        <f>IF(INDEX(DATOS3!$1:$19397,A142,MATCH("Total_Acquisition_Time",DATOS3!$1:$1,0))=0,0,INDEX(DATOS3!$1:$19397,A142,MATCH("Total_Acquisition_Time",DATOS3!$1:$1,0)))</f>
        <v>#N/A</v>
      </c>
    </row>
    <row r="143" spans="1:12" x14ac:dyDescent="0.25">
      <c r="A143">
        <v>143</v>
      </c>
      <c r="B143" t="e">
        <f t="shared" si="2"/>
        <v>#N/A</v>
      </c>
      <c r="D143" t="e">
        <f>IF(INDEX(DATOS3!$1:$19397,A143,MATCH("PatientID",DATOS3!$1:$1,0))=0,"",INDEX(DATOS3!$1:$19397,A143,MATCH("PatientID",DATOS3!$1:$1,0)))</f>
        <v>#N/A</v>
      </c>
      <c r="F143" t="e">
        <f>IF(INDEX(DATOS3!$1:$19397,A143,MATCH("SeriesDate",DATOS3!$1:$1,0))=0,"",INDEX(DATOS3!$1:$19397,A143,MATCH("SeriesDate",DATOS3!$1:$1,0)))</f>
        <v>#N/A</v>
      </c>
      <c r="G143" t="e">
        <f>IF(INDEX(DATOS3!$1:$19397,A143,MATCH("SeriesTime",DATOS3!$1:$1,0))=0,"",INDEX(DATOS3!$1:$19397,A143,MATCH("SeriesTime",DATOS3!$1:$1,0)))</f>
        <v>#N/A</v>
      </c>
      <c r="H143" t="e">
        <f>IF(INDEX(DATOS3!$1:$19397,A143,MATCH("StudyDescription",DATOS3!$1:$1,0))=0,"",INDEX(DATOS3!$1:$19397,A143,MATCH("StudyDescription",DATOS3!$1:$1,0)))</f>
        <v>#N/A</v>
      </c>
      <c r="I143" t="e">
        <f>IF(INDEX(DATOS3!$1:$19397,A143,MATCH("Dose_Area_Product_Total",DATOS3!$1:$1,0))=0,0,INDEX(DATOS3!$1:$19397,A143,MATCH("Dose_Area_Product_Total",DATOS3!$1:$1,0)))</f>
        <v>#N/A</v>
      </c>
      <c r="J143" t="e">
        <f>IF(INDEX(DATOS3!$1:$19397,A143,MATCH("Dose_RP_Total",DATOS3!$1:$1,0))=0,0,INDEX(DATOS3!$1:$19397,A143,MATCH("Dose_RP_Total",DATOS3!$1:$1,0)))</f>
        <v>#N/A</v>
      </c>
      <c r="K143" t="e">
        <f>IF(INDEX(DATOS3!$1:$19397,A143,MATCH("Total_Fluoro_Time",DATOS3!$1:$1,0))=0,0,INDEX(DATOS3!$1:$19397,A143,MATCH("Total_Fluoro_Time",DATOS3!$1:$1,0)))</f>
        <v>#N/A</v>
      </c>
      <c r="L143" t="e">
        <f>IF(INDEX(DATOS3!$1:$19397,A143,MATCH("Total_Acquisition_Time",DATOS3!$1:$1,0))=0,0,INDEX(DATOS3!$1:$19397,A143,MATCH("Total_Acquisition_Time",DATOS3!$1:$1,0)))</f>
        <v>#N/A</v>
      </c>
    </row>
    <row r="144" spans="1:12" x14ac:dyDescent="0.25">
      <c r="A144">
        <v>144</v>
      </c>
      <c r="B144" t="e">
        <f t="shared" si="2"/>
        <v>#N/A</v>
      </c>
      <c r="D144" t="e">
        <f>IF(INDEX(DATOS3!$1:$19397,A144,MATCH("PatientID",DATOS3!$1:$1,0))=0,"",INDEX(DATOS3!$1:$19397,A144,MATCH("PatientID",DATOS3!$1:$1,0)))</f>
        <v>#N/A</v>
      </c>
      <c r="F144" t="e">
        <f>IF(INDEX(DATOS3!$1:$19397,A144,MATCH("SeriesDate",DATOS3!$1:$1,0))=0,"",INDEX(DATOS3!$1:$19397,A144,MATCH("SeriesDate",DATOS3!$1:$1,0)))</f>
        <v>#N/A</v>
      </c>
      <c r="G144" t="e">
        <f>IF(INDEX(DATOS3!$1:$19397,A144,MATCH("SeriesTime",DATOS3!$1:$1,0))=0,"",INDEX(DATOS3!$1:$19397,A144,MATCH("SeriesTime",DATOS3!$1:$1,0)))</f>
        <v>#N/A</v>
      </c>
      <c r="H144" t="e">
        <f>IF(INDEX(DATOS3!$1:$19397,A144,MATCH("StudyDescription",DATOS3!$1:$1,0))=0,"",INDEX(DATOS3!$1:$19397,A144,MATCH("StudyDescription",DATOS3!$1:$1,0)))</f>
        <v>#N/A</v>
      </c>
      <c r="I144" t="e">
        <f>IF(INDEX(DATOS3!$1:$19397,A144,MATCH("Dose_Area_Product_Total",DATOS3!$1:$1,0))=0,0,INDEX(DATOS3!$1:$19397,A144,MATCH("Dose_Area_Product_Total",DATOS3!$1:$1,0)))</f>
        <v>#N/A</v>
      </c>
      <c r="J144" t="e">
        <f>IF(INDEX(DATOS3!$1:$19397,A144,MATCH("Dose_RP_Total",DATOS3!$1:$1,0))=0,0,INDEX(DATOS3!$1:$19397,A144,MATCH("Dose_RP_Total",DATOS3!$1:$1,0)))</f>
        <v>#N/A</v>
      </c>
      <c r="K144" t="e">
        <f>IF(INDEX(DATOS3!$1:$19397,A144,MATCH("Total_Fluoro_Time",DATOS3!$1:$1,0))=0,0,INDEX(DATOS3!$1:$19397,A144,MATCH("Total_Fluoro_Time",DATOS3!$1:$1,0)))</f>
        <v>#N/A</v>
      </c>
      <c r="L144" t="e">
        <f>IF(INDEX(DATOS3!$1:$19397,A144,MATCH("Total_Acquisition_Time",DATOS3!$1:$1,0))=0,0,INDEX(DATOS3!$1:$19397,A144,MATCH("Total_Acquisition_Time",DATOS3!$1:$1,0)))</f>
        <v>#N/A</v>
      </c>
    </row>
    <row r="145" spans="1:12" x14ac:dyDescent="0.25">
      <c r="A145">
        <v>145</v>
      </c>
      <c r="B145" t="e">
        <f t="shared" si="2"/>
        <v>#N/A</v>
      </c>
      <c r="D145" t="e">
        <f>IF(INDEX(DATOS3!$1:$19397,A145,MATCH("PatientID",DATOS3!$1:$1,0))=0,"",INDEX(DATOS3!$1:$19397,A145,MATCH("PatientID",DATOS3!$1:$1,0)))</f>
        <v>#N/A</v>
      </c>
      <c r="F145" t="e">
        <f>IF(INDEX(DATOS3!$1:$19397,A145,MATCH("SeriesDate",DATOS3!$1:$1,0))=0,"",INDEX(DATOS3!$1:$19397,A145,MATCH("SeriesDate",DATOS3!$1:$1,0)))</f>
        <v>#N/A</v>
      </c>
      <c r="G145" t="e">
        <f>IF(INDEX(DATOS3!$1:$19397,A145,MATCH("SeriesTime",DATOS3!$1:$1,0))=0,"",INDEX(DATOS3!$1:$19397,A145,MATCH("SeriesTime",DATOS3!$1:$1,0)))</f>
        <v>#N/A</v>
      </c>
      <c r="H145" t="e">
        <f>IF(INDEX(DATOS3!$1:$19397,A145,MATCH("StudyDescription",DATOS3!$1:$1,0))=0,"",INDEX(DATOS3!$1:$19397,A145,MATCH("StudyDescription",DATOS3!$1:$1,0)))</f>
        <v>#N/A</v>
      </c>
      <c r="I145" t="e">
        <f>IF(INDEX(DATOS3!$1:$19397,A145,MATCH("Dose_Area_Product_Total",DATOS3!$1:$1,0))=0,0,INDEX(DATOS3!$1:$19397,A145,MATCH("Dose_Area_Product_Total",DATOS3!$1:$1,0)))</f>
        <v>#N/A</v>
      </c>
      <c r="J145" t="e">
        <f>IF(INDEX(DATOS3!$1:$19397,A145,MATCH("Dose_RP_Total",DATOS3!$1:$1,0))=0,0,INDEX(DATOS3!$1:$19397,A145,MATCH("Dose_RP_Total",DATOS3!$1:$1,0)))</f>
        <v>#N/A</v>
      </c>
      <c r="K145" t="e">
        <f>IF(INDEX(DATOS3!$1:$19397,A145,MATCH("Total_Fluoro_Time",DATOS3!$1:$1,0))=0,0,INDEX(DATOS3!$1:$19397,A145,MATCH("Total_Fluoro_Time",DATOS3!$1:$1,0)))</f>
        <v>#N/A</v>
      </c>
      <c r="L145" t="e">
        <f>IF(INDEX(DATOS3!$1:$19397,A145,MATCH("Total_Acquisition_Time",DATOS3!$1:$1,0))=0,0,INDEX(DATOS3!$1:$19397,A145,MATCH("Total_Acquisition_Time",DATOS3!$1:$1,0)))</f>
        <v>#N/A</v>
      </c>
    </row>
    <row r="146" spans="1:12" x14ac:dyDescent="0.25">
      <c r="A146">
        <v>146</v>
      </c>
      <c r="B146" t="e">
        <f t="shared" si="2"/>
        <v>#N/A</v>
      </c>
      <c r="D146" t="e">
        <f>IF(INDEX(DATOS3!$1:$19397,A146,MATCH("PatientID",DATOS3!$1:$1,0))=0,"",INDEX(DATOS3!$1:$19397,A146,MATCH("PatientID",DATOS3!$1:$1,0)))</f>
        <v>#N/A</v>
      </c>
      <c r="F146" t="e">
        <f>IF(INDEX(DATOS3!$1:$19397,A146,MATCH("SeriesDate",DATOS3!$1:$1,0))=0,"",INDEX(DATOS3!$1:$19397,A146,MATCH("SeriesDate",DATOS3!$1:$1,0)))</f>
        <v>#N/A</v>
      </c>
      <c r="G146" t="e">
        <f>IF(INDEX(DATOS3!$1:$19397,A146,MATCH("SeriesTime",DATOS3!$1:$1,0))=0,"",INDEX(DATOS3!$1:$19397,A146,MATCH("SeriesTime",DATOS3!$1:$1,0)))</f>
        <v>#N/A</v>
      </c>
      <c r="H146" t="e">
        <f>IF(INDEX(DATOS3!$1:$19397,A146,MATCH("StudyDescription",DATOS3!$1:$1,0))=0,"",INDEX(DATOS3!$1:$19397,A146,MATCH("StudyDescription",DATOS3!$1:$1,0)))</f>
        <v>#N/A</v>
      </c>
      <c r="I146" t="e">
        <f>IF(INDEX(DATOS3!$1:$19397,A146,MATCH("Dose_Area_Product_Total",DATOS3!$1:$1,0))=0,0,INDEX(DATOS3!$1:$19397,A146,MATCH("Dose_Area_Product_Total",DATOS3!$1:$1,0)))</f>
        <v>#N/A</v>
      </c>
      <c r="J146" t="e">
        <f>IF(INDEX(DATOS3!$1:$19397,A146,MATCH("Dose_RP_Total",DATOS3!$1:$1,0))=0,0,INDEX(DATOS3!$1:$19397,A146,MATCH("Dose_RP_Total",DATOS3!$1:$1,0)))</f>
        <v>#N/A</v>
      </c>
      <c r="K146" t="e">
        <f>IF(INDEX(DATOS3!$1:$19397,A146,MATCH("Total_Fluoro_Time",DATOS3!$1:$1,0))=0,0,INDEX(DATOS3!$1:$19397,A146,MATCH("Total_Fluoro_Time",DATOS3!$1:$1,0)))</f>
        <v>#N/A</v>
      </c>
      <c r="L146" t="e">
        <f>IF(INDEX(DATOS3!$1:$19397,A146,MATCH("Total_Acquisition_Time",DATOS3!$1:$1,0))=0,0,INDEX(DATOS3!$1:$19397,A146,MATCH("Total_Acquisition_Time",DATOS3!$1:$1,0)))</f>
        <v>#N/A</v>
      </c>
    </row>
    <row r="147" spans="1:12" x14ac:dyDescent="0.25">
      <c r="A147">
        <v>147</v>
      </c>
      <c r="B147" t="e">
        <f t="shared" si="2"/>
        <v>#N/A</v>
      </c>
      <c r="D147" t="e">
        <f>IF(INDEX(DATOS3!$1:$19397,A147,MATCH("PatientID",DATOS3!$1:$1,0))=0,"",INDEX(DATOS3!$1:$19397,A147,MATCH("PatientID",DATOS3!$1:$1,0)))</f>
        <v>#N/A</v>
      </c>
      <c r="F147" t="e">
        <f>IF(INDEX(DATOS3!$1:$19397,A147,MATCH("SeriesDate",DATOS3!$1:$1,0))=0,"",INDEX(DATOS3!$1:$19397,A147,MATCH("SeriesDate",DATOS3!$1:$1,0)))</f>
        <v>#N/A</v>
      </c>
      <c r="G147" t="e">
        <f>IF(INDEX(DATOS3!$1:$19397,A147,MATCH("SeriesTime",DATOS3!$1:$1,0))=0,"",INDEX(DATOS3!$1:$19397,A147,MATCH("SeriesTime",DATOS3!$1:$1,0)))</f>
        <v>#N/A</v>
      </c>
      <c r="H147" t="e">
        <f>IF(INDEX(DATOS3!$1:$19397,A147,MATCH("StudyDescription",DATOS3!$1:$1,0))=0,"",INDEX(DATOS3!$1:$19397,A147,MATCH("StudyDescription",DATOS3!$1:$1,0)))</f>
        <v>#N/A</v>
      </c>
      <c r="I147" t="e">
        <f>IF(INDEX(DATOS3!$1:$19397,A147,MATCH("Dose_Area_Product_Total",DATOS3!$1:$1,0))=0,0,INDEX(DATOS3!$1:$19397,A147,MATCH("Dose_Area_Product_Total",DATOS3!$1:$1,0)))</f>
        <v>#N/A</v>
      </c>
      <c r="J147" t="e">
        <f>IF(INDEX(DATOS3!$1:$19397,A147,MATCH("Dose_RP_Total",DATOS3!$1:$1,0))=0,0,INDEX(DATOS3!$1:$19397,A147,MATCH("Dose_RP_Total",DATOS3!$1:$1,0)))</f>
        <v>#N/A</v>
      </c>
      <c r="K147" t="e">
        <f>IF(INDEX(DATOS3!$1:$19397,A147,MATCH("Total_Fluoro_Time",DATOS3!$1:$1,0))=0,0,INDEX(DATOS3!$1:$19397,A147,MATCH("Total_Fluoro_Time",DATOS3!$1:$1,0)))</f>
        <v>#N/A</v>
      </c>
      <c r="L147" t="e">
        <f>IF(INDEX(DATOS3!$1:$19397,A147,MATCH("Total_Acquisition_Time",DATOS3!$1:$1,0))=0,0,INDEX(DATOS3!$1:$19397,A147,MATCH("Total_Acquisition_Time",DATOS3!$1:$1,0)))</f>
        <v>#N/A</v>
      </c>
    </row>
    <row r="148" spans="1:12" x14ac:dyDescent="0.25">
      <c r="A148">
        <v>148</v>
      </c>
      <c r="B148" t="e">
        <f t="shared" si="2"/>
        <v>#N/A</v>
      </c>
      <c r="D148" t="e">
        <f>IF(INDEX(DATOS3!$1:$19397,A148,MATCH("PatientID",DATOS3!$1:$1,0))=0,"",INDEX(DATOS3!$1:$19397,A148,MATCH("PatientID",DATOS3!$1:$1,0)))</f>
        <v>#N/A</v>
      </c>
      <c r="F148" t="e">
        <f>IF(INDEX(DATOS3!$1:$19397,A148,MATCH("SeriesDate",DATOS3!$1:$1,0))=0,"",INDEX(DATOS3!$1:$19397,A148,MATCH("SeriesDate",DATOS3!$1:$1,0)))</f>
        <v>#N/A</v>
      </c>
      <c r="G148" t="e">
        <f>IF(INDEX(DATOS3!$1:$19397,A148,MATCH("SeriesTime",DATOS3!$1:$1,0))=0,"",INDEX(DATOS3!$1:$19397,A148,MATCH("SeriesTime",DATOS3!$1:$1,0)))</f>
        <v>#N/A</v>
      </c>
      <c r="H148" t="e">
        <f>IF(INDEX(DATOS3!$1:$19397,A148,MATCH("StudyDescription",DATOS3!$1:$1,0))=0,"",INDEX(DATOS3!$1:$19397,A148,MATCH("StudyDescription",DATOS3!$1:$1,0)))</f>
        <v>#N/A</v>
      </c>
      <c r="I148" t="e">
        <f>IF(INDEX(DATOS3!$1:$19397,A148,MATCH("Dose_Area_Product_Total",DATOS3!$1:$1,0))=0,0,INDEX(DATOS3!$1:$19397,A148,MATCH("Dose_Area_Product_Total",DATOS3!$1:$1,0)))</f>
        <v>#N/A</v>
      </c>
      <c r="J148" t="e">
        <f>IF(INDEX(DATOS3!$1:$19397,A148,MATCH("Dose_RP_Total",DATOS3!$1:$1,0))=0,0,INDEX(DATOS3!$1:$19397,A148,MATCH("Dose_RP_Total",DATOS3!$1:$1,0)))</f>
        <v>#N/A</v>
      </c>
      <c r="K148" t="e">
        <f>IF(INDEX(DATOS3!$1:$19397,A148,MATCH("Total_Fluoro_Time",DATOS3!$1:$1,0))=0,0,INDEX(DATOS3!$1:$19397,A148,MATCH("Total_Fluoro_Time",DATOS3!$1:$1,0)))</f>
        <v>#N/A</v>
      </c>
      <c r="L148" t="e">
        <f>IF(INDEX(DATOS3!$1:$19397,A148,MATCH("Total_Acquisition_Time",DATOS3!$1:$1,0))=0,0,INDEX(DATOS3!$1:$19397,A148,MATCH("Total_Acquisition_Time",DATOS3!$1:$1,0)))</f>
        <v>#N/A</v>
      </c>
    </row>
    <row r="149" spans="1:12" x14ac:dyDescent="0.25">
      <c r="A149">
        <v>149</v>
      </c>
      <c r="B149" t="e">
        <f t="shared" si="2"/>
        <v>#N/A</v>
      </c>
      <c r="D149" t="e">
        <f>IF(INDEX(DATOS3!$1:$19397,A149,MATCH("PatientID",DATOS3!$1:$1,0))=0,"",INDEX(DATOS3!$1:$19397,A149,MATCH("PatientID",DATOS3!$1:$1,0)))</f>
        <v>#N/A</v>
      </c>
      <c r="F149" t="e">
        <f>IF(INDEX(DATOS3!$1:$19397,A149,MATCH("SeriesDate",DATOS3!$1:$1,0))=0,"",INDEX(DATOS3!$1:$19397,A149,MATCH("SeriesDate",DATOS3!$1:$1,0)))</f>
        <v>#N/A</v>
      </c>
      <c r="G149" t="e">
        <f>IF(INDEX(DATOS3!$1:$19397,A149,MATCH("SeriesTime",DATOS3!$1:$1,0))=0,"",INDEX(DATOS3!$1:$19397,A149,MATCH("SeriesTime",DATOS3!$1:$1,0)))</f>
        <v>#N/A</v>
      </c>
      <c r="H149" t="e">
        <f>IF(INDEX(DATOS3!$1:$19397,A149,MATCH("StudyDescription",DATOS3!$1:$1,0))=0,"",INDEX(DATOS3!$1:$19397,A149,MATCH("StudyDescription",DATOS3!$1:$1,0)))</f>
        <v>#N/A</v>
      </c>
      <c r="I149" t="e">
        <f>IF(INDEX(DATOS3!$1:$19397,A149,MATCH("Dose_Area_Product_Total",DATOS3!$1:$1,0))=0,0,INDEX(DATOS3!$1:$19397,A149,MATCH("Dose_Area_Product_Total",DATOS3!$1:$1,0)))</f>
        <v>#N/A</v>
      </c>
      <c r="J149" t="e">
        <f>IF(INDEX(DATOS3!$1:$19397,A149,MATCH("Dose_RP_Total",DATOS3!$1:$1,0))=0,0,INDEX(DATOS3!$1:$19397,A149,MATCH("Dose_RP_Total",DATOS3!$1:$1,0)))</f>
        <v>#N/A</v>
      </c>
      <c r="K149" t="e">
        <f>IF(INDEX(DATOS3!$1:$19397,A149,MATCH("Total_Fluoro_Time",DATOS3!$1:$1,0))=0,0,INDEX(DATOS3!$1:$19397,A149,MATCH("Total_Fluoro_Time",DATOS3!$1:$1,0)))</f>
        <v>#N/A</v>
      </c>
      <c r="L149" t="e">
        <f>IF(INDEX(DATOS3!$1:$19397,A149,MATCH("Total_Acquisition_Time",DATOS3!$1:$1,0))=0,0,INDEX(DATOS3!$1:$19397,A149,MATCH("Total_Acquisition_Time",DATOS3!$1:$1,0)))</f>
        <v>#N/A</v>
      </c>
    </row>
    <row r="150" spans="1:12" x14ac:dyDescent="0.25">
      <c r="A150">
        <v>150</v>
      </c>
      <c r="B150" t="e">
        <f t="shared" si="2"/>
        <v>#N/A</v>
      </c>
      <c r="D150" t="e">
        <f>IF(INDEX(DATOS3!$1:$19397,A150,MATCH("PatientID",DATOS3!$1:$1,0))=0,"",INDEX(DATOS3!$1:$19397,A150,MATCH("PatientID",DATOS3!$1:$1,0)))</f>
        <v>#N/A</v>
      </c>
      <c r="F150" t="e">
        <f>IF(INDEX(DATOS3!$1:$19397,A150,MATCH("SeriesDate",DATOS3!$1:$1,0))=0,"",INDEX(DATOS3!$1:$19397,A150,MATCH("SeriesDate",DATOS3!$1:$1,0)))</f>
        <v>#N/A</v>
      </c>
      <c r="G150" t="e">
        <f>IF(INDEX(DATOS3!$1:$19397,A150,MATCH("SeriesTime",DATOS3!$1:$1,0))=0,"",INDEX(DATOS3!$1:$19397,A150,MATCH("SeriesTime",DATOS3!$1:$1,0)))</f>
        <v>#N/A</v>
      </c>
      <c r="H150" t="e">
        <f>IF(INDEX(DATOS3!$1:$19397,A150,MATCH("StudyDescription",DATOS3!$1:$1,0))=0,"",INDEX(DATOS3!$1:$19397,A150,MATCH("StudyDescription",DATOS3!$1:$1,0)))</f>
        <v>#N/A</v>
      </c>
      <c r="I150" t="e">
        <f>IF(INDEX(DATOS3!$1:$19397,A150,MATCH("Dose_Area_Product_Total",DATOS3!$1:$1,0))=0,0,INDEX(DATOS3!$1:$19397,A150,MATCH("Dose_Area_Product_Total",DATOS3!$1:$1,0)))</f>
        <v>#N/A</v>
      </c>
      <c r="J150" t="e">
        <f>IF(INDEX(DATOS3!$1:$19397,A150,MATCH("Dose_RP_Total",DATOS3!$1:$1,0))=0,0,INDEX(DATOS3!$1:$19397,A150,MATCH("Dose_RP_Total",DATOS3!$1:$1,0)))</f>
        <v>#N/A</v>
      </c>
      <c r="K150" t="e">
        <f>IF(INDEX(DATOS3!$1:$19397,A150,MATCH("Total_Fluoro_Time",DATOS3!$1:$1,0))=0,0,INDEX(DATOS3!$1:$19397,A150,MATCH("Total_Fluoro_Time",DATOS3!$1:$1,0)))</f>
        <v>#N/A</v>
      </c>
      <c r="L150" t="e">
        <f>IF(INDEX(DATOS3!$1:$19397,A150,MATCH("Total_Acquisition_Time",DATOS3!$1:$1,0))=0,0,INDEX(DATOS3!$1:$19397,A150,MATCH("Total_Acquisition_Time",DATOS3!$1:$1,0)))</f>
        <v>#N/A</v>
      </c>
    </row>
    <row r="151" spans="1:12" x14ac:dyDescent="0.25">
      <c r="A151">
        <v>151</v>
      </c>
      <c r="B151" t="e">
        <f t="shared" si="2"/>
        <v>#N/A</v>
      </c>
      <c r="D151" t="e">
        <f>IF(INDEX(DATOS3!$1:$19397,A151,MATCH("PatientID",DATOS3!$1:$1,0))=0,"",INDEX(DATOS3!$1:$19397,A151,MATCH("PatientID",DATOS3!$1:$1,0)))</f>
        <v>#N/A</v>
      </c>
      <c r="F151" t="e">
        <f>IF(INDEX(DATOS3!$1:$19397,A151,MATCH("SeriesDate",DATOS3!$1:$1,0))=0,"",INDEX(DATOS3!$1:$19397,A151,MATCH("SeriesDate",DATOS3!$1:$1,0)))</f>
        <v>#N/A</v>
      </c>
      <c r="G151" t="e">
        <f>IF(INDEX(DATOS3!$1:$19397,A151,MATCH("SeriesTime",DATOS3!$1:$1,0))=0,"",INDEX(DATOS3!$1:$19397,A151,MATCH("SeriesTime",DATOS3!$1:$1,0)))</f>
        <v>#N/A</v>
      </c>
      <c r="H151" t="e">
        <f>IF(INDEX(DATOS3!$1:$19397,A151,MATCH("StudyDescription",DATOS3!$1:$1,0))=0,"",INDEX(DATOS3!$1:$19397,A151,MATCH("StudyDescription",DATOS3!$1:$1,0)))</f>
        <v>#N/A</v>
      </c>
      <c r="I151" t="e">
        <f>IF(INDEX(DATOS3!$1:$19397,A151,MATCH("Dose_Area_Product_Total",DATOS3!$1:$1,0))=0,0,INDEX(DATOS3!$1:$19397,A151,MATCH("Dose_Area_Product_Total",DATOS3!$1:$1,0)))</f>
        <v>#N/A</v>
      </c>
      <c r="J151" t="e">
        <f>IF(INDEX(DATOS3!$1:$19397,A151,MATCH("Dose_RP_Total",DATOS3!$1:$1,0))=0,0,INDEX(DATOS3!$1:$19397,A151,MATCH("Dose_RP_Total",DATOS3!$1:$1,0)))</f>
        <v>#N/A</v>
      </c>
      <c r="K151" t="e">
        <f>IF(INDEX(DATOS3!$1:$19397,A151,MATCH("Total_Fluoro_Time",DATOS3!$1:$1,0))=0,0,INDEX(DATOS3!$1:$19397,A151,MATCH("Total_Fluoro_Time",DATOS3!$1:$1,0)))</f>
        <v>#N/A</v>
      </c>
      <c r="L151" t="e">
        <f>IF(INDEX(DATOS3!$1:$19397,A151,MATCH("Total_Acquisition_Time",DATOS3!$1:$1,0))=0,0,INDEX(DATOS3!$1:$19397,A151,MATCH("Total_Acquisition_Time",DATOS3!$1:$1,0)))</f>
        <v>#N/A</v>
      </c>
    </row>
    <row r="152" spans="1:12" x14ac:dyDescent="0.25">
      <c r="A152">
        <v>152</v>
      </c>
      <c r="B152" t="e">
        <f t="shared" si="2"/>
        <v>#N/A</v>
      </c>
      <c r="D152" t="e">
        <f>IF(INDEX(DATOS3!$1:$19397,A152,MATCH("PatientID",DATOS3!$1:$1,0))=0,"",INDEX(DATOS3!$1:$19397,A152,MATCH("PatientID",DATOS3!$1:$1,0)))</f>
        <v>#N/A</v>
      </c>
      <c r="F152" t="e">
        <f>IF(INDEX(DATOS3!$1:$19397,A152,MATCH("SeriesDate",DATOS3!$1:$1,0))=0,"",INDEX(DATOS3!$1:$19397,A152,MATCH("SeriesDate",DATOS3!$1:$1,0)))</f>
        <v>#N/A</v>
      </c>
      <c r="G152" t="e">
        <f>IF(INDEX(DATOS3!$1:$19397,A152,MATCH("SeriesTime",DATOS3!$1:$1,0))=0,"",INDEX(DATOS3!$1:$19397,A152,MATCH("SeriesTime",DATOS3!$1:$1,0)))</f>
        <v>#N/A</v>
      </c>
      <c r="H152" t="e">
        <f>IF(INDEX(DATOS3!$1:$19397,A152,MATCH("StudyDescription",DATOS3!$1:$1,0))=0,"",INDEX(DATOS3!$1:$19397,A152,MATCH("StudyDescription",DATOS3!$1:$1,0)))</f>
        <v>#N/A</v>
      </c>
      <c r="I152" t="e">
        <f>IF(INDEX(DATOS3!$1:$19397,A152,MATCH("Dose_Area_Product_Total",DATOS3!$1:$1,0))=0,0,INDEX(DATOS3!$1:$19397,A152,MATCH("Dose_Area_Product_Total",DATOS3!$1:$1,0)))</f>
        <v>#N/A</v>
      </c>
      <c r="J152" t="e">
        <f>IF(INDEX(DATOS3!$1:$19397,A152,MATCH("Dose_RP_Total",DATOS3!$1:$1,0))=0,0,INDEX(DATOS3!$1:$19397,A152,MATCH("Dose_RP_Total",DATOS3!$1:$1,0)))</f>
        <v>#N/A</v>
      </c>
      <c r="K152" t="e">
        <f>IF(INDEX(DATOS3!$1:$19397,A152,MATCH("Total_Fluoro_Time",DATOS3!$1:$1,0))=0,0,INDEX(DATOS3!$1:$19397,A152,MATCH("Total_Fluoro_Time",DATOS3!$1:$1,0)))</f>
        <v>#N/A</v>
      </c>
      <c r="L152" t="e">
        <f>IF(INDEX(DATOS3!$1:$19397,A152,MATCH("Total_Acquisition_Time",DATOS3!$1:$1,0))=0,0,INDEX(DATOS3!$1:$19397,A152,MATCH("Total_Acquisition_Time",DATOS3!$1:$1,0)))</f>
        <v>#N/A</v>
      </c>
    </row>
    <row r="153" spans="1:12" x14ac:dyDescent="0.25">
      <c r="A153">
        <v>153</v>
      </c>
      <c r="B153" t="e">
        <f t="shared" si="2"/>
        <v>#N/A</v>
      </c>
      <c r="D153" t="e">
        <f>IF(INDEX(DATOS3!$1:$19397,A153,MATCH("PatientID",DATOS3!$1:$1,0))=0,"",INDEX(DATOS3!$1:$19397,A153,MATCH("PatientID",DATOS3!$1:$1,0)))</f>
        <v>#N/A</v>
      </c>
      <c r="F153" t="e">
        <f>IF(INDEX(DATOS3!$1:$19397,A153,MATCH("SeriesDate",DATOS3!$1:$1,0))=0,"",INDEX(DATOS3!$1:$19397,A153,MATCH("SeriesDate",DATOS3!$1:$1,0)))</f>
        <v>#N/A</v>
      </c>
      <c r="G153" t="e">
        <f>IF(INDEX(DATOS3!$1:$19397,A153,MATCH("SeriesTime",DATOS3!$1:$1,0))=0,"",INDEX(DATOS3!$1:$19397,A153,MATCH("SeriesTime",DATOS3!$1:$1,0)))</f>
        <v>#N/A</v>
      </c>
      <c r="H153" t="e">
        <f>IF(INDEX(DATOS3!$1:$19397,A153,MATCH("StudyDescription",DATOS3!$1:$1,0))=0,"",INDEX(DATOS3!$1:$19397,A153,MATCH("StudyDescription",DATOS3!$1:$1,0)))</f>
        <v>#N/A</v>
      </c>
      <c r="I153" t="e">
        <f>IF(INDEX(DATOS3!$1:$19397,A153,MATCH("Dose_Area_Product_Total",DATOS3!$1:$1,0))=0,0,INDEX(DATOS3!$1:$19397,A153,MATCH("Dose_Area_Product_Total",DATOS3!$1:$1,0)))</f>
        <v>#N/A</v>
      </c>
      <c r="J153" t="e">
        <f>IF(INDEX(DATOS3!$1:$19397,A153,MATCH("Dose_RP_Total",DATOS3!$1:$1,0))=0,0,INDEX(DATOS3!$1:$19397,A153,MATCH("Dose_RP_Total",DATOS3!$1:$1,0)))</f>
        <v>#N/A</v>
      </c>
      <c r="K153" t="e">
        <f>IF(INDEX(DATOS3!$1:$19397,A153,MATCH("Total_Fluoro_Time",DATOS3!$1:$1,0))=0,0,INDEX(DATOS3!$1:$19397,A153,MATCH("Total_Fluoro_Time",DATOS3!$1:$1,0)))</f>
        <v>#N/A</v>
      </c>
      <c r="L153" t="e">
        <f>IF(INDEX(DATOS3!$1:$19397,A153,MATCH("Total_Acquisition_Time",DATOS3!$1:$1,0))=0,0,INDEX(DATOS3!$1:$19397,A153,MATCH("Total_Acquisition_Time",DATOS3!$1:$1,0)))</f>
        <v>#N/A</v>
      </c>
    </row>
    <row r="154" spans="1:12" x14ac:dyDescent="0.25">
      <c r="A154">
        <v>154</v>
      </c>
      <c r="B154" t="e">
        <f t="shared" si="2"/>
        <v>#N/A</v>
      </c>
      <c r="D154" t="e">
        <f>IF(INDEX(DATOS3!$1:$19397,A154,MATCH("PatientID",DATOS3!$1:$1,0))=0,"",INDEX(DATOS3!$1:$19397,A154,MATCH("PatientID",DATOS3!$1:$1,0)))</f>
        <v>#N/A</v>
      </c>
      <c r="F154" t="e">
        <f>IF(INDEX(DATOS3!$1:$19397,A154,MATCH("SeriesDate",DATOS3!$1:$1,0))=0,"",INDEX(DATOS3!$1:$19397,A154,MATCH("SeriesDate",DATOS3!$1:$1,0)))</f>
        <v>#N/A</v>
      </c>
      <c r="G154" t="e">
        <f>IF(INDEX(DATOS3!$1:$19397,A154,MATCH("SeriesTime",DATOS3!$1:$1,0))=0,"",INDEX(DATOS3!$1:$19397,A154,MATCH("SeriesTime",DATOS3!$1:$1,0)))</f>
        <v>#N/A</v>
      </c>
      <c r="H154" t="e">
        <f>IF(INDEX(DATOS3!$1:$19397,A154,MATCH("StudyDescription",DATOS3!$1:$1,0))=0,"",INDEX(DATOS3!$1:$19397,A154,MATCH("StudyDescription",DATOS3!$1:$1,0)))</f>
        <v>#N/A</v>
      </c>
      <c r="I154" t="e">
        <f>IF(INDEX(DATOS3!$1:$19397,A154,MATCH("Dose_Area_Product_Total",DATOS3!$1:$1,0))=0,0,INDEX(DATOS3!$1:$19397,A154,MATCH("Dose_Area_Product_Total",DATOS3!$1:$1,0)))</f>
        <v>#N/A</v>
      </c>
      <c r="J154" t="e">
        <f>IF(INDEX(DATOS3!$1:$19397,A154,MATCH("Dose_RP_Total",DATOS3!$1:$1,0))=0,0,INDEX(DATOS3!$1:$19397,A154,MATCH("Dose_RP_Total",DATOS3!$1:$1,0)))</f>
        <v>#N/A</v>
      </c>
      <c r="K154" t="e">
        <f>IF(INDEX(DATOS3!$1:$19397,A154,MATCH("Total_Fluoro_Time",DATOS3!$1:$1,0))=0,0,INDEX(DATOS3!$1:$19397,A154,MATCH("Total_Fluoro_Time",DATOS3!$1:$1,0)))</f>
        <v>#N/A</v>
      </c>
      <c r="L154" t="e">
        <f>IF(INDEX(DATOS3!$1:$19397,A154,MATCH("Total_Acquisition_Time",DATOS3!$1:$1,0))=0,0,INDEX(DATOS3!$1:$19397,A154,MATCH("Total_Acquisition_Time",DATOS3!$1:$1,0)))</f>
        <v>#N/A</v>
      </c>
    </row>
    <row r="155" spans="1:12" x14ac:dyDescent="0.25">
      <c r="A155">
        <v>155</v>
      </c>
      <c r="B155" t="e">
        <f t="shared" si="2"/>
        <v>#N/A</v>
      </c>
      <c r="D155" t="e">
        <f>IF(INDEX(DATOS3!$1:$19397,A155,MATCH("PatientID",DATOS3!$1:$1,0))=0,"",INDEX(DATOS3!$1:$19397,A155,MATCH("PatientID",DATOS3!$1:$1,0)))</f>
        <v>#N/A</v>
      </c>
      <c r="F155" t="e">
        <f>IF(INDEX(DATOS3!$1:$19397,A155,MATCH("SeriesDate",DATOS3!$1:$1,0))=0,"",INDEX(DATOS3!$1:$19397,A155,MATCH("SeriesDate",DATOS3!$1:$1,0)))</f>
        <v>#N/A</v>
      </c>
      <c r="G155" t="e">
        <f>IF(INDEX(DATOS3!$1:$19397,A155,MATCH("SeriesTime",DATOS3!$1:$1,0))=0,"",INDEX(DATOS3!$1:$19397,A155,MATCH("SeriesTime",DATOS3!$1:$1,0)))</f>
        <v>#N/A</v>
      </c>
      <c r="H155" t="e">
        <f>IF(INDEX(DATOS3!$1:$19397,A155,MATCH("StudyDescription",DATOS3!$1:$1,0))=0,"",INDEX(DATOS3!$1:$19397,A155,MATCH("StudyDescription",DATOS3!$1:$1,0)))</f>
        <v>#N/A</v>
      </c>
      <c r="I155" t="e">
        <f>IF(INDEX(DATOS3!$1:$19397,A155,MATCH("Dose_Area_Product_Total",DATOS3!$1:$1,0))=0,0,INDEX(DATOS3!$1:$19397,A155,MATCH("Dose_Area_Product_Total",DATOS3!$1:$1,0)))</f>
        <v>#N/A</v>
      </c>
      <c r="J155" t="e">
        <f>IF(INDEX(DATOS3!$1:$19397,A155,MATCH("Dose_RP_Total",DATOS3!$1:$1,0))=0,0,INDEX(DATOS3!$1:$19397,A155,MATCH("Dose_RP_Total",DATOS3!$1:$1,0)))</f>
        <v>#N/A</v>
      </c>
      <c r="K155" t="e">
        <f>IF(INDEX(DATOS3!$1:$19397,A155,MATCH("Total_Fluoro_Time",DATOS3!$1:$1,0))=0,0,INDEX(DATOS3!$1:$19397,A155,MATCH("Total_Fluoro_Time",DATOS3!$1:$1,0)))</f>
        <v>#N/A</v>
      </c>
      <c r="L155" t="e">
        <f>IF(INDEX(DATOS3!$1:$19397,A155,MATCH("Total_Acquisition_Time",DATOS3!$1:$1,0))=0,0,INDEX(DATOS3!$1:$19397,A155,MATCH("Total_Acquisition_Time",DATOS3!$1:$1,0)))</f>
        <v>#N/A</v>
      </c>
    </row>
    <row r="156" spans="1:12" x14ac:dyDescent="0.25">
      <c r="A156">
        <v>156</v>
      </c>
      <c r="B156" t="e">
        <f t="shared" si="2"/>
        <v>#N/A</v>
      </c>
      <c r="D156" t="e">
        <f>IF(INDEX(DATOS3!$1:$19397,A156,MATCH("PatientID",DATOS3!$1:$1,0))=0,"",INDEX(DATOS3!$1:$19397,A156,MATCH("PatientID",DATOS3!$1:$1,0)))</f>
        <v>#N/A</v>
      </c>
      <c r="F156" t="e">
        <f>IF(INDEX(DATOS3!$1:$19397,A156,MATCH("SeriesDate",DATOS3!$1:$1,0))=0,"",INDEX(DATOS3!$1:$19397,A156,MATCH("SeriesDate",DATOS3!$1:$1,0)))</f>
        <v>#N/A</v>
      </c>
      <c r="G156" t="e">
        <f>IF(INDEX(DATOS3!$1:$19397,A156,MATCH("SeriesTime",DATOS3!$1:$1,0))=0,"",INDEX(DATOS3!$1:$19397,A156,MATCH("SeriesTime",DATOS3!$1:$1,0)))</f>
        <v>#N/A</v>
      </c>
      <c r="H156" t="e">
        <f>IF(INDEX(DATOS3!$1:$19397,A156,MATCH("StudyDescription",DATOS3!$1:$1,0))=0,"",INDEX(DATOS3!$1:$19397,A156,MATCH("StudyDescription",DATOS3!$1:$1,0)))</f>
        <v>#N/A</v>
      </c>
      <c r="I156" t="e">
        <f>IF(INDEX(DATOS3!$1:$19397,A156,MATCH("Dose_Area_Product_Total",DATOS3!$1:$1,0))=0,0,INDEX(DATOS3!$1:$19397,A156,MATCH("Dose_Area_Product_Total",DATOS3!$1:$1,0)))</f>
        <v>#N/A</v>
      </c>
      <c r="J156" t="e">
        <f>IF(INDEX(DATOS3!$1:$19397,A156,MATCH("Dose_RP_Total",DATOS3!$1:$1,0))=0,0,INDEX(DATOS3!$1:$19397,A156,MATCH("Dose_RP_Total",DATOS3!$1:$1,0)))</f>
        <v>#N/A</v>
      </c>
      <c r="K156" t="e">
        <f>IF(INDEX(DATOS3!$1:$19397,A156,MATCH("Total_Fluoro_Time",DATOS3!$1:$1,0))=0,0,INDEX(DATOS3!$1:$19397,A156,MATCH("Total_Fluoro_Time",DATOS3!$1:$1,0)))</f>
        <v>#N/A</v>
      </c>
      <c r="L156" t="e">
        <f>IF(INDEX(DATOS3!$1:$19397,A156,MATCH("Total_Acquisition_Time",DATOS3!$1:$1,0))=0,0,INDEX(DATOS3!$1:$19397,A156,MATCH("Total_Acquisition_Time",DATOS3!$1:$1,0)))</f>
        <v>#N/A</v>
      </c>
    </row>
    <row r="157" spans="1:12" x14ac:dyDescent="0.25">
      <c r="A157">
        <v>157</v>
      </c>
      <c r="B157" t="e">
        <f t="shared" si="2"/>
        <v>#N/A</v>
      </c>
      <c r="D157" t="e">
        <f>IF(INDEX(DATOS3!$1:$19397,A157,MATCH("PatientID",DATOS3!$1:$1,0))=0,"",INDEX(DATOS3!$1:$19397,A157,MATCH("PatientID",DATOS3!$1:$1,0)))</f>
        <v>#N/A</v>
      </c>
      <c r="F157" t="e">
        <f>IF(INDEX(DATOS3!$1:$19397,A157,MATCH("SeriesDate",DATOS3!$1:$1,0))=0,"",INDEX(DATOS3!$1:$19397,A157,MATCH("SeriesDate",DATOS3!$1:$1,0)))</f>
        <v>#N/A</v>
      </c>
      <c r="G157" t="e">
        <f>IF(INDEX(DATOS3!$1:$19397,A157,MATCH("SeriesTime",DATOS3!$1:$1,0))=0,"",INDEX(DATOS3!$1:$19397,A157,MATCH("SeriesTime",DATOS3!$1:$1,0)))</f>
        <v>#N/A</v>
      </c>
      <c r="H157" t="e">
        <f>IF(INDEX(DATOS3!$1:$19397,A157,MATCH("StudyDescription",DATOS3!$1:$1,0))=0,"",INDEX(DATOS3!$1:$19397,A157,MATCH("StudyDescription",DATOS3!$1:$1,0)))</f>
        <v>#N/A</v>
      </c>
      <c r="I157" t="e">
        <f>IF(INDEX(DATOS3!$1:$19397,A157,MATCH("Dose_Area_Product_Total",DATOS3!$1:$1,0))=0,0,INDEX(DATOS3!$1:$19397,A157,MATCH("Dose_Area_Product_Total",DATOS3!$1:$1,0)))</f>
        <v>#N/A</v>
      </c>
      <c r="J157" t="e">
        <f>IF(INDEX(DATOS3!$1:$19397,A157,MATCH("Dose_RP_Total",DATOS3!$1:$1,0))=0,0,INDEX(DATOS3!$1:$19397,A157,MATCH("Dose_RP_Total",DATOS3!$1:$1,0)))</f>
        <v>#N/A</v>
      </c>
      <c r="K157" t="e">
        <f>IF(INDEX(DATOS3!$1:$19397,A157,MATCH("Total_Fluoro_Time",DATOS3!$1:$1,0))=0,0,INDEX(DATOS3!$1:$19397,A157,MATCH("Total_Fluoro_Time",DATOS3!$1:$1,0)))</f>
        <v>#N/A</v>
      </c>
      <c r="L157" t="e">
        <f>IF(INDEX(DATOS3!$1:$19397,A157,MATCH("Total_Acquisition_Time",DATOS3!$1:$1,0))=0,0,INDEX(DATOS3!$1:$19397,A157,MATCH("Total_Acquisition_Time",DATOS3!$1:$1,0)))</f>
        <v>#N/A</v>
      </c>
    </row>
    <row r="158" spans="1:12" x14ac:dyDescent="0.25">
      <c r="A158">
        <v>158</v>
      </c>
      <c r="B158" t="e">
        <f t="shared" si="2"/>
        <v>#N/A</v>
      </c>
      <c r="D158" t="e">
        <f>IF(INDEX(DATOS3!$1:$19397,A158,MATCH("PatientID",DATOS3!$1:$1,0))=0,"",INDEX(DATOS3!$1:$19397,A158,MATCH("PatientID",DATOS3!$1:$1,0)))</f>
        <v>#N/A</v>
      </c>
      <c r="F158" t="e">
        <f>IF(INDEX(DATOS3!$1:$19397,A158,MATCH("SeriesDate",DATOS3!$1:$1,0))=0,"",INDEX(DATOS3!$1:$19397,A158,MATCH("SeriesDate",DATOS3!$1:$1,0)))</f>
        <v>#N/A</v>
      </c>
      <c r="G158" t="e">
        <f>IF(INDEX(DATOS3!$1:$19397,A158,MATCH("SeriesTime",DATOS3!$1:$1,0))=0,"",INDEX(DATOS3!$1:$19397,A158,MATCH("SeriesTime",DATOS3!$1:$1,0)))</f>
        <v>#N/A</v>
      </c>
      <c r="H158" t="e">
        <f>IF(INDEX(DATOS3!$1:$19397,A158,MATCH("StudyDescription",DATOS3!$1:$1,0))=0,"",INDEX(DATOS3!$1:$19397,A158,MATCH("StudyDescription",DATOS3!$1:$1,0)))</f>
        <v>#N/A</v>
      </c>
      <c r="I158" t="e">
        <f>IF(INDEX(DATOS3!$1:$19397,A158,MATCH("Dose_Area_Product_Total",DATOS3!$1:$1,0))=0,0,INDEX(DATOS3!$1:$19397,A158,MATCH("Dose_Area_Product_Total",DATOS3!$1:$1,0)))</f>
        <v>#N/A</v>
      </c>
      <c r="J158" t="e">
        <f>IF(INDEX(DATOS3!$1:$19397,A158,MATCH("Dose_RP_Total",DATOS3!$1:$1,0))=0,0,INDEX(DATOS3!$1:$19397,A158,MATCH("Dose_RP_Total",DATOS3!$1:$1,0)))</f>
        <v>#N/A</v>
      </c>
      <c r="K158" t="e">
        <f>IF(INDEX(DATOS3!$1:$19397,A158,MATCH("Total_Fluoro_Time",DATOS3!$1:$1,0))=0,0,INDEX(DATOS3!$1:$19397,A158,MATCH("Total_Fluoro_Time",DATOS3!$1:$1,0)))</f>
        <v>#N/A</v>
      </c>
      <c r="L158" t="e">
        <f>IF(INDEX(DATOS3!$1:$19397,A158,MATCH("Total_Acquisition_Time",DATOS3!$1:$1,0))=0,0,INDEX(DATOS3!$1:$19397,A158,MATCH("Total_Acquisition_Time",DATOS3!$1:$1,0)))</f>
        <v>#N/A</v>
      </c>
    </row>
    <row r="159" spans="1:12" x14ac:dyDescent="0.25">
      <c r="A159">
        <v>159</v>
      </c>
      <c r="B159" t="e">
        <f t="shared" si="2"/>
        <v>#N/A</v>
      </c>
      <c r="D159" t="e">
        <f>IF(INDEX(DATOS3!$1:$19397,A159,MATCH("PatientID",DATOS3!$1:$1,0))=0,"",INDEX(DATOS3!$1:$19397,A159,MATCH("PatientID",DATOS3!$1:$1,0)))</f>
        <v>#N/A</v>
      </c>
      <c r="F159" t="e">
        <f>IF(INDEX(DATOS3!$1:$19397,A159,MATCH("SeriesDate",DATOS3!$1:$1,0))=0,"",INDEX(DATOS3!$1:$19397,A159,MATCH("SeriesDate",DATOS3!$1:$1,0)))</f>
        <v>#N/A</v>
      </c>
      <c r="G159" t="e">
        <f>IF(INDEX(DATOS3!$1:$19397,A159,MATCH("SeriesTime",DATOS3!$1:$1,0))=0,"",INDEX(DATOS3!$1:$19397,A159,MATCH("SeriesTime",DATOS3!$1:$1,0)))</f>
        <v>#N/A</v>
      </c>
      <c r="H159" t="e">
        <f>IF(INDEX(DATOS3!$1:$19397,A159,MATCH("StudyDescription",DATOS3!$1:$1,0))=0,"",INDEX(DATOS3!$1:$19397,A159,MATCH("StudyDescription",DATOS3!$1:$1,0)))</f>
        <v>#N/A</v>
      </c>
      <c r="I159" t="e">
        <f>IF(INDEX(DATOS3!$1:$19397,A159,MATCH("Dose_Area_Product_Total",DATOS3!$1:$1,0))=0,0,INDEX(DATOS3!$1:$19397,A159,MATCH("Dose_Area_Product_Total",DATOS3!$1:$1,0)))</f>
        <v>#N/A</v>
      </c>
      <c r="J159" t="e">
        <f>IF(INDEX(DATOS3!$1:$19397,A159,MATCH("Dose_RP_Total",DATOS3!$1:$1,0))=0,0,INDEX(DATOS3!$1:$19397,A159,MATCH("Dose_RP_Total",DATOS3!$1:$1,0)))</f>
        <v>#N/A</v>
      </c>
      <c r="K159" t="e">
        <f>IF(INDEX(DATOS3!$1:$19397,A159,MATCH("Total_Fluoro_Time",DATOS3!$1:$1,0))=0,0,INDEX(DATOS3!$1:$19397,A159,MATCH("Total_Fluoro_Time",DATOS3!$1:$1,0)))</f>
        <v>#N/A</v>
      </c>
      <c r="L159" t="e">
        <f>IF(INDEX(DATOS3!$1:$19397,A159,MATCH("Total_Acquisition_Time",DATOS3!$1:$1,0))=0,0,INDEX(DATOS3!$1:$19397,A159,MATCH("Total_Acquisition_Time",DATOS3!$1:$1,0)))</f>
        <v>#N/A</v>
      </c>
    </row>
    <row r="160" spans="1:12" x14ac:dyDescent="0.25">
      <c r="A160">
        <v>160</v>
      </c>
      <c r="B160" t="e">
        <f t="shared" si="2"/>
        <v>#N/A</v>
      </c>
      <c r="D160" t="e">
        <f>IF(INDEX(DATOS3!$1:$19397,A160,MATCH("PatientID",DATOS3!$1:$1,0))=0,"",INDEX(DATOS3!$1:$19397,A160,MATCH("PatientID",DATOS3!$1:$1,0)))</f>
        <v>#N/A</v>
      </c>
      <c r="F160" t="e">
        <f>IF(INDEX(DATOS3!$1:$19397,A160,MATCH("SeriesDate",DATOS3!$1:$1,0))=0,"",INDEX(DATOS3!$1:$19397,A160,MATCH("SeriesDate",DATOS3!$1:$1,0)))</f>
        <v>#N/A</v>
      </c>
      <c r="G160" t="e">
        <f>IF(INDEX(DATOS3!$1:$19397,A160,MATCH("SeriesTime",DATOS3!$1:$1,0))=0,"",INDEX(DATOS3!$1:$19397,A160,MATCH("SeriesTime",DATOS3!$1:$1,0)))</f>
        <v>#N/A</v>
      </c>
      <c r="H160" t="e">
        <f>IF(INDEX(DATOS3!$1:$19397,A160,MATCH("StudyDescription",DATOS3!$1:$1,0))=0,"",INDEX(DATOS3!$1:$19397,A160,MATCH("StudyDescription",DATOS3!$1:$1,0)))</f>
        <v>#N/A</v>
      </c>
      <c r="I160" t="e">
        <f>IF(INDEX(DATOS3!$1:$19397,A160,MATCH("Dose_Area_Product_Total",DATOS3!$1:$1,0))=0,0,INDEX(DATOS3!$1:$19397,A160,MATCH("Dose_Area_Product_Total",DATOS3!$1:$1,0)))</f>
        <v>#N/A</v>
      </c>
      <c r="J160" t="e">
        <f>IF(INDEX(DATOS3!$1:$19397,A160,MATCH("Dose_RP_Total",DATOS3!$1:$1,0))=0,0,INDEX(DATOS3!$1:$19397,A160,MATCH("Dose_RP_Total",DATOS3!$1:$1,0)))</f>
        <v>#N/A</v>
      </c>
      <c r="K160" t="e">
        <f>IF(INDEX(DATOS3!$1:$19397,A160,MATCH("Total_Fluoro_Time",DATOS3!$1:$1,0))=0,0,INDEX(DATOS3!$1:$19397,A160,MATCH("Total_Fluoro_Time",DATOS3!$1:$1,0)))</f>
        <v>#N/A</v>
      </c>
      <c r="L160" t="e">
        <f>IF(INDEX(DATOS3!$1:$19397,A160,MATCH("Total_Acquisition_Time",DATOS3!$1:$1,0))=0,0,INDEX(DATOS3!$1:$19397,A160,MATCH("Total_Acquisition_Time",DATOS3!$1:$1,0)))</f>
        <v>#N/A</v>
      </c>
    </row>
    <row r="161" spans="1:12" x14ac:dyDescent="0.25">
      <c r="A161">
        <v>161</v>
      </c>
      <c r="B161" t="e">
        <f t="shared" si="2"/>
        <v>#N/A</v>
      </c>
      <c r="D161" t="e">
        <f>IF(INDEX(DATOS3!$1:$19397,A161,MATCH("PatientID",DATOS3!$1:$1,0))=0,"",INDEX(DATOS3!$1:$19397,A161,MATCH("PatientID",DATOS3!$1:$1,0)))</f>
        <v>#N/A</v>
      </c>
      <c r="F161" t="e">
        <f>IF(INDEX(DATOS3!$1:$19397,A161,MATCH("SeriesDate",DATOS3!$1:$1,0))=0,"",INDEX(DATOS3!$1:$19397,A161,MATCH("SeriesDate",DATOS3!$1:$1,0)))</f>
        <v>#N/A</v>
      </c>
      <c r="G161" t="e">
        <f>IF(INDEX(DATOS3!$1:$19397,A161,MATCH("SeriesTime",DATOS3!$1:$1,0))=0,"",INDEX(DATOS3!$1:$19397,A161,MATCH("SeriesTime",DATOS3!$1:$1,0)))</f>
        <v>#N/A</v>
      </c>
      <c r="H161" t="e">
        <f>IF(INDEX(DATOS3!$1:$19397,A161,MATCH("StudyDescription",DATOS3!$1:$1,0))=0,"",INDEX(DATOS3!$1:$19397,A161,MATCH("StudyDescription",DATOS3!$1:$1,0)))</f>
        <v>#N/A</v>
      </c>
      <c r="I161" t="e">
        <f>IF(INDEX(DATOS3!$1:$19397,A161,MATCH("Dose_Area_Product_Total",DATOS3!$1:$1,0))=0,0,INDEX(DATOS3!$1:$19397,A161,MATCH("Dose_Area_Product_Total",DATOS3!$1:$1,0)))</f>
        <v>#N/A</v>
      </c>
      <c r="J161" t="e">
        <f>IF(INDEX(DATOS3!$1:$19397,A161,MATCH("Dose_RP_Total",DATOS3!$1:$1,0))=0,0,INDEX(DATOS3!$1:$19397,A161,MATCH("Dose_RP_Total",DATOS3!$1:$1,0)))</f>
        <v>#N/A</v>
      </c>
      <c r="K161" t="e">
        <f>IF(INDEX(DATOS3!$1:$19397,A161,MATCH("Total_Fluoro_Time",DATOS3!$1:$1,0))=0,0,INDEX(DATOS3!$1:$19397,A161,MATCH("Total_Fluoro_Time",DATOS3!$1:$1,0)))</f>
        <v>#N/A</v>
      </c>
      <c r="L161" t="e">
        <f>IF(INDEX(DATOS3!$1:$19397,A161,MATCH("Total_Acquisition_Time",DATOS3!$1:$1,0))=0,0,INDEX(DATOS3!$1:$19397,A161,MATCH("Total_Acquisition_Time",DATOS3!$1:$1,0)))</f>
        <v>#N/A</v>
      </c>
    </row>
    <row r="162" spans="1:12" x14ac:dyDescent="0.25">
      <c r="A162">
        <v>162</v>
      </c>
      <c r="B162" t="e">
        <f t="shared" si="2"/>
        <v>#N/A</v>
      </c>
      <c r="D162" t="e">
        <f>IF(INDEX(DATOS3!$1:$19397,A162,MATCH("PatientID",DATOS3!$1:$1,0))=0,"",INDEX(DATOS3!$1:$19397,A162,MATCH("PatientID",DATOS3!$1:$1,0)))</f>
        <v>#N/A</v>
      </c>
      <c r="F162" t="e">
        <f>IF(INDEX(DATOS3!$1:$19397,A162,MATCH("SeriesDate",DATOS3!$1:$1,0))=0,"",INDEX(DATOS3!$1:$19397,A162,MATCH("SeriesDate",DATOS3!$1:$1,0)))</f>
        <v>#N/A</v>
      </c>
      <c r="G162" t="e">
        <f>IF(INDEX(DATOS3!$1:$19397,A162,MATCH("SeriesTime",DATOS3!$1:$1,0))=0,"",INDEX(DATOS3!$1:$19397,A162,MATCH("SeriesTime",DATOS3!$1:$1,0)))</f>
        <v>#N/A</v>
      </c>
      <c r="H162" t="e">
        <f>IF(INDEX(DATOS3!$1:$19397,A162,MATCH("StudyDescription",DATOS3!$1:$1,0))=0,"",INDEX(DATOS3!$1:$19397,A162,MATCH("StudyDescription",DATOS3!$1:$1,0)))</f>
        <v>#N/A</v>
      </c>
      <c r="I162" t="e">
        <f>IF(INDEX(DATOS3!$1:$19397,A162,MATCH("Dose_Area_Product_Total",DATOS3!$1:$1,0))=0,0,INDEX(DATOS3!$1:$19397,A162,MATCH("Dose_Area_Product_Total",DATOS3!$1:$1,0)))</f>
        <v>#N/A</v>
      </c>
      <c r="J162" t="e">
        <f>IF(INDEX(DATOS3!$1:$19397,A162,MATCH("Dose_RP_Total",DATOS3!$1:$1,0))=0,0,INDEX(DATOS3!$1:$19397,A162,MATCH("Dose_RP_Total",DATOS3!$1:$1,0)))</f>
        <v>#N/A</v>
      </c>
      <c r="K162" t="e">
        <f>IF(INDEX(DATOS3!$1:$19397,A162,MATCH("Total_Fluoro_Time",DATOS3!$1:$1,0))=0,0,INDEX(DATOS3!$1:$19397,A162,MATCH("Total_Fluoro_Time",DATOS3!$1:$1,0)))</f>
        <v>#N/A</v>
      </c>
      <c r="L162" t="e">
        <f>IF(INDEX(DATOS3!$1:$19397,A162,MATCH("Total_Acquisition_Time",DATOS3!$1:$1,0))=0,0,INDEX(DATOS3!$1:$19397,A162,MATCH("Total_Acquisition_Time",DATOS3!$1:$1,0)))</f>
        <v>#N/A</v>
      </c>
    </row>
    <row r="163" spans="1:12" x14ac:dyDescent="0.25">
      <c r="A163">
        <v>163</v>
      </c>
      <c r="B163" t="e">
        <f t="shared" si="2"/>
        <v>#N/A</v>
      </c>
      <c r="D163" t="e">
        <f>IF(INDEX(DATOS3!$1:$19397,A163,MATCH("PatientID",DATOS3!$1:$1,0))=0,"",INDEX(DATOS3!$1:$19397,A163,MATCH("PatientID",DATOS3!$1:$1,0)))</f>
        <v>#N/A</v>
      </c>
      <c r="F163" t="e">
        <f>IF(INDEX(DATOS3!$1:$19397,A163,MATCH("SeriesDate",DATOS3!$1:$1,0))=0,"",INDEX(DATOS3!$1:$19397,A163,MATCH("SeriesDate",DATOS3!$1:$1,0)))</f>
        <v>#N/A</v>
      </c>
      <c r="G163" t="e">
        <f>IF(INDEX(DATOS3!$1:$19397,A163,MATCH("SeriesTime",DATOS3!$1:$1,0))=0,"",INDEX(DATOS3!$1:$19397,A163,MATCH("SeriesTime",DATOS3!$1:$1,0)))</f>
        <v>#N/A</v>
      </c>
      <c r="H163" t="e">
        <f>IF(INDEX(DATOS3!$1:$19397,A163,MATCH("StudyDescription",DATOS3!$1:$1,0))=0,"",INDEX(DATOS3!$1:$19397,A163,MATCH("StudyDescription",DATOS3!$1:$1,0)))</f>
        <v>#N/A</v>
      </c>
      <c r="I163" t="e">
        <f>IF(INDEX(DATOS3!$1:$19397,A163,MATCH("Dose_Area_Product_Total",DATOS3!$1:$1,0))=0,0,INDEX(DATOS3!$1:$19397,A163,MATCH("Dose_Area_Product_Total",DATOS3!$1:$1,0)))</f>
        <v>#N/A</v>
      </c>
      <c r="J163" t="e">
        <f>IF(INDEX(DATOS3!$1:$19397,A163,MATCH("Dose_RP_Total",DATOS3!$1:$1,0))=0,0,INDEX(DATOS3!$1:$19397,A163,MATCH("Dose_RP_Total",DATOS3!$1:$1,0)))</f>
        <v>#N/A</v>
      </c>
      <c r="K163" t="e">
        <f>IF(INDEX(DATOS3!$1:$19397,A163,MATCH("Total_Fluoro_Time",DATOS3!$1:$1,0))=0,0,INDEX(DATOS3!$1:$19397,A163,MATCH("Total_Fluoro_Time",DATOS3!$1:$1,0)))</f>
        <v>#N/A</v>
      </c>
      <c r="L163" t="e">
        <f>IF(INDEX(DATOS3!$1:$19397,A163,MATCH("Total_Acquisition_Time",DATOS3!$1:$1,0))=0,0,INDEX(DATOS3!$1:$19397,A163,MATCH("Total_Acquisition_Time",DATOS3!$1:$1,0)))</f>
        <v>#N/A</v>
      </c>
    </row>
    <row r="164" spans="1:12" x14ac:dyDescent="0.25">
      <c r="A164">
        <v>164</v>
      </c>
      <c r="B164" t="e">
        <f t="shared" si="2"/>
        <v>#N/A</v>
      </c>
      <c r="D164" t="e">
        <f>IF(INDEX(DATOS3!$1:$19397,A164,MATCH("PatientID",DATOS3!$1:$1,0))=0,"",INDEX(DATOS3!$1:$19397,A164,MATCH("PatientID",DATOS3!$1:$1,0)))</f>
        <v>#N/A</v>
      </c>
      <c r="F164" t="e">
        <f>IF(INDEX(DATOS3!$1:$19397,A164,MATCH("SeriesDate",DATOS3!$1:$1,0))=0,"",INDEX(DATOS3!$1:$19397,A164,MATCH("SeriesDate",DATOS3!$1:$1,0)))</f>
        <v>#N/A</v>
      </c>
      <c r="G164" t="e">
        <f>IF(INDEX(DATOS3!$1:$19397,A164,MATCH("SeriesTime",DATOS3!$1:$1,0))=0,"",INDEX(DATOS3!$1:$19397,A164,MATCH("SeriesTime",DATOS3!$1:$1,0)))</f>
        <v>#N/A</v>
      </c>
      <c r="H164" t="e">
        <f>IF(INDEX(DATOS3!$1:$19397,A164,MATCH("StudyDescription",DATOS3!$1:$1,0))=0,"",INDEX(DATOS3!$1:$19397,A164,MATCH("StudyDescription",DATOS3!$1:$1,0)))</f>
        <v>#N/A</v>
      </c>
      <c r="I164" t="e">
        <f>IF(INDEX(DATOS3!$1:$19397,A164,MATCH("Dose_Area_Product_Total",DATOS3!$1:$1,0))=0,0,INDEX(DATOS3!$1:$19397,A164,MATCH("Dose_Area_Product_Total",DATOS3!$1:$1,0)))</f>
        <v>#N/A</v>
      </c>
      <c r="J164" t="e">
        <f>IF(INDEX(DATOS3!$1:$19397,A164,MATCH("Dose_RP_Total",DATOS3!$1:$1,0))=0,0,INDEX(DATOS3!$1:$19397,A164,MATCH("Dose_RP_Total",DATOS3!$1:$1,0)))</f>
        <v>#N/A</v>
      </c>
      <c r="K164" t="e">
        <f>IF(INDEX(DATOS3!$1:$19397,A164,MATCH("Total_Fluoro_Time",DATOS3!$1:$1,0))=0,0,INDEX(DATOS3!$1:$19397,A164,MATCH("Total_Fluoro_Time",DATOS3!$1:$1,0)))</f>
        <v>#N/A</v>
      </c>
      <c r="L164" t="e">
        <f>IF(INDEX(DATOS3!$1:$19397,A164,MATCH("Total_Acquisition_Time",DATOS3!$1:$1,0))=0,0,INDEX(DATOS3!$1:$19397,A164,MATCH("Total_Acquisition_Time",DATOS3!$1:$1,0)))</f>
        <v>#N/A</v>
      </c>
    </row>
    <row r="165" spans="1:12" x14ac:dyDescent="0.25">
      <c r="A165">
        <v>165</v>
      </c>
      <c r="B165" t="e">
        <f t="shared" si="2"/>
        <v>#N/A</v>
      </c>
      <c r="D165" t="e">
        <f>IF(INDEX(DATOS3!$1:$19397,A165,MATCH("PatientID",DATOS3!$1:$1,0))=0,"",INDEX(DATOS3!$1:$19397,A165,MATCH("PatientID",DATOS3!$1:$1,0)))</f>
        <v>#N/A</v>
      </c>
      <c r="F165" t="e">
        <f>IF(INDEX(DATOS3!$1:$19397,A165,MATCH("SeriesDate",DATOS3!$1:$1,0))=0,"",INDEX(DATOS3!$1:$19397,A165,MATCH("SeriesDate",DATOS3!$1:$1,0)))</f>
        <v>#N/A</v>
      </c>
      <c r="G165" t="e">
        <f>IF(INDEX(DATOS3!$1:$19397,A165,MATCH("SeriesTime",DATOS3!$1:$1,0))=0,"",INDEX(DATOS3!$1:$19397,A165,MATCH("SeriesTime",DATOS3!$1:$1,0)))</f>
        <v>#N/A</v>
      </c>
      <c r="H165" t="e">
        <f>IF(INDEX(DATOS3!$1:$19397,A165,MATCH("StudyDescription",DATOS3!$1:$1,0))=0,"",INDEX(DATOS3!$1:$19397,A165,MATCH("StudyDescription",DATOS3!$1:$1,0)))</f>
        <v>#N/A</v>
      </c>
      <c r="I165" t="e">
        <f>IF(INDEX(DATOS3!$1:$19397,A165,MATCH("Dose_Area_Product_Total",DATOS3!$1:$1,0))=0,0,INDEX(DATOS3!$1:$19397,A165,MATCH("Dose_Area_Product_Total",DATOS3!$1:$1,0)))</f>
        <v>#N/A</v>
      </c>
      <c r="J165" t="e">
        <f>IF(INDEX(DATOS3!$1:$19397,A165,MATCH("Dose_RP_Total",DATOS3!$1:$1,0))=0,0,INDEX(DATOS3!$1:$19397,A165,MATCH("Dose_RP_Total",DATOS3!$1:$1,0)))</f>
        <v>#N/A</v>
      </c>
      <c r="K165" t="e">
        <f>IF(INDEX(DATOS3!$1:$19397,A165,MATCH("Total_Fluoro_Time",DATOS3!$1:$1,0))=0,0,INDEX(DATOS3!$1:$19397,A165,MATCH("Total_Fluoro_Time",DATOS3!$1:$1,0)))</f>
        <v>#N/A</v>
      </c>
      <c r="L165" t="e">
        <f>IF(INDEX(DATOS3!$1:$19397,A165,MATCH("Total_Acquisition_Time",DATOS3!$1:$1,0))=0,0,INDEX(DATOS3!$1:$19397,A165,MATCH("Total_Acquisition_Time",DATOS3!$1:$1,0)))</f>
        <v>#N/A</v>
      </c>
    </row>
    <row r="166" spans="1:12" x14ac:dyDescent="0.25">
      <c r="A166">
        <v>166</v>
      </c>
      <c r="B166" t="e">
        <f t="shared" si="2"/>
        <v>#N/A</v>
      </c>
      <c r="D166" t="e">
        <f>IF(INDEX(DATOS3!$1:$19397,A166,MATCH("PatientID",DATOS3!$1:$1,0))=0,"",INDEX(DATOS3!$1:$19397,A166,MATCH("PatientID",DATOS3!$1:$1,0)))</f>
        <v>#N/A</v>
      </c>
      <c r="F166" t="e">
        <f>IF(INDEX(DATOS3!$1:$19397,A166,MATCH("SeriesDate",DATOS3!$1:$1,0))=0,"",INDEX(DATOS3!$1:$19397,A166,MATCH("SeriesDate",DATOS3!$1:$1,0)))</f>
        <v>#N/A</v>
      </c>
      <c r="G166" t="e">
        <f>IF(INDEX(DATOS3!$1:$19397,A166,MATCH("SeriesTime",DATOS3!$1:$1,0))=0,"",INDEX(DATOS3!$1:$19397,A166,MATCH("SeriesTime",DATOS3!$1:$1,0)))</f>
        <v>#N/A</v>
      </c>
      <c r="H166" t="e">
        <f>IF(INDEX(DATOS3!$1:$19397,A166,MATCH("StudyDescription",DATOS3!$1:$1,0))=0,"",INDEX(DATOS3!$1:$19397,A166,MATCH("StudyDescription",DATOS3!$1:$1,0)))</f>
        <v>#N/A</v>
      </c>
      <c r="I166" t="e">
        <f>IF(INDEX(DATOS3!$1:$19397,A166,MATCH("Dose_Area_Product_Total",DATOS3!$1:$1,0))=0,0,INDEX(DATOS3!$1:$19397,A166,MATCH("Dose_Area_Product_Total",DATOS3!$1:$1,0)))</f>
        <v>#N/A</v>
      </c>
      <c r="J166" t="e">
        <f>IF(INDEX(DATOS3!$1:$19397,A166,MATCH("Dose_RP_Total",DATOS3!$1:$1,0))=0,0,INDEX(DATOS3!$1:$19397,A166,MATCH("Dose_RP_Total",DATOS3!$1:$1,0)))</f>
        <v>#N/A</v>
      </c>
      <c r="K166" t="e">
        <f>IF(INDEX(DATOS3!$1:$19397,A166,MATCH("Total_Fluoro_Time",DATOS3!$1:$1,0))=0,0,INDEX(DATOS3!$1:$19397,A166,MATCH("Total_Fluoro_Time",DATOS3!$1:$1,0)))</f>
        <v>#N/A</v>
      </c>
      <c r="L166" t="e">
        <f>IF(INDEX(DATOS3!$1:$19397,A166,MATCH("Total_Acquisition_Time",DATOS3!$1:$1,0))=0,0,INDEX(DATOS3!$1:$19397,A166,MATCH("Total_Acquisition_Time",DATOS3!$1:$1,0)))</f>
        <v>#N/A</v>
      </c>
    </row>
    <row r="167" spans="1:12" x14ac:dyDescent="0.25">
      <c r="A167">
        <v>167</v>
      </c>
      <c r="B167" t="e">
        <f t="shared" si="2"/>
        <v>#N/A</v>
      </c>
      <c r="D167" t="e">
        <f>IF(INDEX(DATOS3!$1:$19397,A167,MATCH("PatientID",DATOS3!$1:$1,0))=0,"",INDEX(DATOS3!$1:$19397,A167,MATCH("PatientID",DATOS3!$1:$1,0)))</f>
        <v>#N/A</v>
      </c>
      <c r="F167" t="e">
        <f>IF(INDEX(DATOS3!$1:$19397,A167,MATCH("SeriesDate",DATOS3!$1:$1,0))=0,"",INDEX(DATOS3!$1:$19397,A167,MATCH("SeriesDate",DATOS3!$1:$1,0)))</f>
        <v>#N/A</v>
      </c>
      <c r="G167" t="e">
        <f>IF(INDEX(DATOS3!$1:$19397,A167,MATCH("SeriesTime",DATOS3!$1:$1,0))=0,"",INDEX(DATOS3!$1:$19397,A167,MATCH("SeriesTime",DATOS3!$1:$1,0)))</f>
        <v>#N/A</v>
      </c>
      <c r="H167" t="e">
        <f>IF(INDEX(DATOS3!$1:$19397,A167,MATCH("StudyDescription",DATOS3!$1:$1,0))=0,"",INDEX(DATOS3!$1:$19397,A167,MATCH("StudyDescription",DATOS3!$1:$1,0)))</f>
        <v>#N/A</v>
      </c>
      <c r="I167" t="e">
        <f>IF(INDEX(DATOS3!$1:$19397,A167,MATCH("Dose_Area_Product_Total",DATOS3!$1:$1,0))=0,0,INDEX(DATOS3!$1:$19397,A167,MATCH("Dose_Area_Product_Total",DATOS3!$1:$1,0)))</f>
        <v>#N/A</v>
      </c>
      <c r="J167" t="e">
        <f>IF(INDEX(DATOS3!$1:$19397,A167,MATCH("Dose_RP_Total",DATOS3!$1:$1,0))=0,0,INDEX(DATOS3!$1:$19397,A167,MATCH("Dose_RP_Total",DATOS3!$1:$1,0)))</f>
        <v>#N/A</v>
      </c>
      <c r="K167" t="e">
        <f>IF(INDEX(DATOS3!$1:$19397,A167,MATCH("Total_Fluoro_Time",DATOS3!$1:$1,0))=0,0,INDEX(DATOS3!$1:$19397,A167,MATCH("Total_Fluoro_Time",DATOS3!$1:$1,0)))</f>
        <v>#N/A</v>
      </c>
      <c r="L167" t="e">
        <f>IF(INDEX(DATOS3!$1:$19397,A167,MATCH("Total_Acquisition_Time",DATOS3!$1:$1,0))=0,0,INDEX(DATOS3!$1:$19397,A167,MATCH("Total_Acquisition_Time",DATOS3!$1:$1,0)))</f>
        <v>#N/A</v>
      </c>
    </row>
    <row r="168" spans="1:12" x14ac:dyDescent="0.25">
      <c r="A168">
        <v>168</v>
      </c>
      <c r="B168" t="e">
        <f t="shared" si="2"/>
        <v>#N/A</v>
      </c>
      <c r="D168" t="e">
        <f>IF(INDEX(DATOS3!$1:$19397,A168,MATCH("PatientID",DATOS3!$1:$1,0))=0,"",INDEX(DATOS3!$1:$19397,A168,MATCH("PatientID",DATOS3!$1:$1,0)))</f>
        <v>#N/A</v>
      </c>
      <c r="F168" t="e">
        <f>IF(INDEX(DATOS3!$1:$19397,A168,MATCH("SeriesDate",DATOS3!$1:$1,0))=0,"",INDEX(DATOS3!$1:$19397,A168,MATCH("SeriesDate",DATOS3!$1:$1,0)))</f>
        <v>#N/A</v>
      </c>
      <c r="G168" t="e">
        <f>IF(INDEX(DATOS3!$1:$19397,A168,MATCH("SeriesTime",DATOS3!$1:$1,0))=0,"",INDEX(DATOS3!$1:$19397,A168,MATCH("SeriesTime",DATOS3!$1:$1,0)))</f>
        <v>#N/A</v>
      </c>
      <c r="H168" t="e">
        <f>IF(INDEX(DATOS3!$1:$19397,A168,MATCH("StudyDescription",DATOS3!$1:$1,0))=0,"",INDEX(DATOS3!$1:$19397,A168,MATCH("StudyDescription",DATOS3!$1:$1,0)))</f>
        <v>#N/A</v>
      </c>
      <c r="I168" t="e">
        <f>IF(INDEX(DATOS3!$1:$19397,A168,MATCH("Dose_Area_Product_Total",DATOS3!$1:$1,0))=0,0,INDEX(DATOS3!$1:$19397,A168,MATCH("Dose_Area_Product_Total",DATOS3!$1:$1,0)))</f>
        <v>#N/A</v>
      </c>
      <c r="J168" t="e">
        <f>IF(INDEX(DATOS3!$1:$19397,A168,MATCH("Dose_RP_Total",DATOS3!$1:$1,0))=0,0,INDEX(DATOS3!$1:$19397,A168,MATCH("Dose_RP_Total",DATOS3!$1:$1,0)))</f>
        <v>#N/A</v>
      </c>
      <c r="K168" t="e">
        <f>IF(INDEX(DATOS3!$1:$19397,A168,MATCH("Total_Fluoro_Time",DATOS3!$1:$1,0))=0,0,INDEX(DATOS3!$1:$19397,A168,MATCH("Total_Fluoro_Time",DATOS3!$1:$1,0)))</f>
        <v>#N/A</v>
      </c>
      <c r="L168" t="e">
        <f>IF(INDEX(DATOS3!$1:$19397,A168,MATCH("Total_Acquisition_Time",DATOS3!$1:$1,0))=0,0,INDEX(DATOS3!$1:$19397,A168,MATCH("Total_Acquisition_Time",DATOS3!$1:$1,0)))</f>
        <v>#N/A</v>
      </c>
    </row>
    <row r="169" spans="1:12" x14ac:dyDescent="0.25">
      <c r="A169">
        <v>169</v>
      </c>
      <c r="B169" t="e">
        <f t="shared" si="2"/>
        <v>#N/A</v>
      </c>
      <c r="D169" t="e">
        <f>IF(INDEX(DATOS3!$1:$19397,A169,MATCH("PatientID",DATOS3!$1:$1,0))=0,"",INDEX(DATOS3!$1:$19397,A169,MATCH("PatientID",DATOS3!$1:$1,0)))</f>
        <v>#N/A</v>
      </c>
      <c r="F169" t="e">
        <f>IF(INDEX(DATOS3!$1:$19397,A169,MATCH("SeriesDate",DATOS3!$1:$1,0))=0,"",INDEX(DATOS3!$1:$19397,A169,MATCH("SeriesDate",DATOS3!$1:$1,0)))</f>
        <v>#N/A</v>
      </c>
      <c r="G169" t="e">
        <f>IF(INDEX(DATOS3!$1:$19397,A169,MATCH("SeriesTime",DATOS3!$1:$1,0))=0,"",INDEX(DATOS3!$1:$19397,A169,MATCH("SeriesTime",DATOS3!$1:$1,0)))</f>
        <v>#N/A</v>
      </c>
      <c r="H169" t="e">
        <f>IF(INDEX(DATOS3!$1:$19397,A169,MATCH("StudyDescription",DATOS3!$1:$1,0))=0,"",INDEX(DATOS3!$1:$19397,A169,MATCH("StudyDescription",DATOS3!$1:$1,0)))</f>
        <v>#N/A</v>
      </c>
      <c r="I169" t="e">
        <f>IF(INDEX(DATOS3!$1:$19397,A169,MATCH("Dose_Area_Product_Total",DATOS3!$1:$1,0))=0,0,INDEX(DATOS3!$1:$19397,A169,MATCH("Dose_Area_Product_Total",DATOS3!$1:$1,0)))</f>
        <v>#N/A</v>
      </c>
      <c r="J169" t="e">
        <f>IF(INDEX(DATOS3!$1:$19397,A169,MATCH("Dose_RP_Total",DATOS3!$1:$1,0))=0,0,INDEX(DATOS3!$1:$19397,A169,MATCH("Dose_RP_Total",DATOS3!$1:$1,0)))</f>
        <v>#N/A</v>
      </c>
      <c r="K169" t="e">
        <f>IF(INDEX(DATOS3!$1:$19397,A169,MATCH("Total_Fluoro_Time",DATOS3!$1:$1,0))=0,0,INDEX(DATOS3!$1:$19397,A169,MATCH("Total_Fluoro_Time",DATOS3!$1:$1,0)))</f>
        <v>#N/A</v>
      </c>
      <c r="L169" t="e">
        <f>IF(INDEX(DATOS3!$1:$19397,A169,MATCH("Total_Acquisition_Time",DATOS3!$1:$1,0))=0,0,INDEX(DATOS3!$1:$19397,A169,MATCH("Total_Acquisition_Time",DATOS3!$1:$1,0)))</f>
        <v>#N/A</v>
      </c>
    </row>
    <row r="170" spans="1:12" x14ac:dyDescent="0.25">
      <c r="A170">
        <v>170</v>
      </c>
      <c r="B170" t="e">
        <f t="shared" si="2"/>
        <v>#N/A</v>
      </c>
      <c r="D170" t="e">
        <f>IF(INDEX(DATOS3!$1:$19397,A170,MATCH("PatientID",DATOS3!$1:$1,0))=0,"",INDEX(DATOS3!$1:$19397,A170,MATCH("PatientID",DATOS3!$1:$1,0)))</f>
        <v>#N/A</v>
      </c>
      <c r="F170" t="e">
        <f>IF(INDEX(DATOS3!$1:$19397,A170,MATCH("SeriesDate",DATOS3!$1:$1,0))=0,"",INDEX(DATOS3!$1:$19397,A170,MATCH("SeriesDate",DATOS3!$1:$1,0)))</f>
        <v>#N/A</v>
      </c>
      <c r="G170" t="e">
        <f>IF(INDEX(DATOS3!$1:$19397,A170,MATCH("SeriesTime",DATOS3!$1:$1,0))=0,"",INDEX(DATOS3!$1:$19397,A170,MATCH("SeriesTime",DATOS3!$1:$1,0)))</f>
        <v>#N/A</v>
      </c>
      <c r="H170" t="e">
        <f>IF(INDEX(DATOS3!$1:$19397,A170,MATCH("StudyDescription",DATOS3!$1:$1,0))=0,"",INDEX(DATOS3!$1:$19397,A170,MATCH("StudyDescription",DATOS3!$1:$1,0)))</f>
        <v>#N/A</v>
      </c>
      <c r="I170" t="e">
        <f>IF(INDEX(DATOS3!$1:$19397,A170,MATCH("Dose_Area_Product_Total",DATOS3!$1:$1,0))=0,0,INDEX(DATOS3!$1:$19397,A170,MATCH("Dose_Area_Product_Total",DATOS3!$1:$1,0)))</f>
        <v>#N/A</v>
      </c>
      <c r="J170" t="e">
        <f>IF(INDEX(DATOS3!$1:$19397,A170,MATCH("Dose_RP_Total",DATOS3!$1:$1,0))=0,0,INDEX(DATOS3!$1:$19397,A170,MATCH("Dose_RP_Total",DATOS3!$1:$1,0)))</f>
        <v>#N/A</v>
      </c>
      <c r="K170" t="e">
        <f>IF(INDEX(DATOS3!$1:$19397,A170,MATCH("Total_Fluoro_Time",DATOS3!$1:$1,0))=0,0,INDEX(DATOS3!$1:$19397,A170,MATCH("Total_Fluoro_Time",DATOS3!$1:$1,0)))</f>
        <v>#N/A</v>
      </c>
      <c r="L170" t="e">
        <f>IF(INDEX(DATOS3!$1:$19397,A170,MATCH("Total_Acquisition_Time",DATOS3!$1:$1,0))=0,0,INDEX(DATOS3!$1:$19397,A170,MATCH("Total_Acquisition_Time",DATOS3!$1:$1,0)))</f>
        <v>#N/A</v>
      </c>
    </row>
    <row r="171" spans="1:12" x14ac:dyDescent="0.25">
      <c r="A171">
        <v>171</v>
      </c>
      <c r="B171" t="e">
        <f t="shared" si="2"/>
        <v>#N/A</v>
      </c>
      <c r="D171" t="e">
        <f>IF(INDEX(DATOS3!$1:$19397,A171,MATCH("PatientID",DATOS3!$1:$1,0))=0,"",INDEX(DATOS3!$1:$19397,A171,MATCH("PatientID",DATOS3!$1:$1,0)))</f>
        <v>#N/A</v>
      </c>
      <c r="F171" t="e">
        <f>IF(INDEX(DATOS3!$1:$19397,A171,MATCH("SeriesDate",DATOS3!$1:$1,0))=0,"",INDEX(DATOS3!$1:$19397,A171,MATCH("SeriesDate",DATOS3!$1:$1,0)))</f>
        <v>#N/A</v>
      </c>
      <c r="G171" t="e">
        <f>IF(INDEX(DATOS3!$1:$19397,A171,MATCH("SeriesTime",DATOS3!$1:$1,0))=0,"",INDEX(DATOS3!$1:$19397,A171,MATCH("SeriesTime",DATOS3!$1:$1,0)))</f>
        <v>#N/A</v>
      </c>
      <c r="H171" t="e">
        <f>IF(INDEX(DATOS3!$1:$19397,A171,MATCH("StudyDescription",DATOS3!$1:$1,0))=0,"",INDEX(DATOS3!$1:$19397,A171,MATCH("StudyDescription",DATOS3!$1:$1,0)))</f>
        <v>#N/A</v>
      </c>
      <c r="I171" t="e">
        <f>IF(INDEX(DATOS3!$1:$19397,A171,MATCH("Dose_Area_Product_Total",DATOS3!$1:$1,0))=0,0,INDEX(DATOS3!$1:$19397,A171,MATCH("Dose_Area_Product_Total",DATOS3!$1:$1,0)))</f>
        <v>#N/A</v>
      </c>
      <c r="J171" t="e">
        <f>IF(INDEX(DATOS3!$1:$19397,A171,MATCH("Dose_RP_Total",DATOS3!$1:$1,0))=0,0,INDEX(DATOS3!$1:$19397,A171,MATCH("Dose_RP_Total",DATOS3!$1:$1,0)))</f>
        <v>#N/A</v>
      </c>
      <c r="K171" t="e">
        <f>IF(INDEX(DATOS3!$1:$19397,A171,MATCH("Total_Fluoro_Time",DATOS3!$1:$1,0))=0,0,INDEX(DATOS3!$1:$19397,A171,MATCH("Total_Fluoro_Time",DATOS3!$1:$1,0)))</f>
        <v>#N/A</v>
      </c>
      <c r="L171" t="e">
        <f>IF(INDEX(DATOS3!$1:$19397,A171,MATCH("Total_Acquisition_Time",DATOS3!$1:$1,0))=0,0,INDEX(DATOS3!$1:$19397,A171,MATCH("Total_Acquisition_Time",DATOS3!$1:$1,0)))</f>
        <v>#N/A</v>
      </c>
    </row>
    <row r="172" spans="1:12" x14ac:dyDescent="0.25">
      <c r="A172">
        <v>172</v>
      </c>
      <c r="B172" t="e">
        <f t="shared" si="2"/>
        <v>#N/A</v>
      </c>
      <c r="D172" t="e">
        <f>IF(INDEX(DATOS3!$1:$19397,A172,MATCH("PatientID",DATOS3!$1:$1,0))=0,"",INDEX(DATOS3!$1:$19397,A172,MATCH("PatientID",DATOS3!$1:$1,0)))</f>
        <v>#N/A</v>
      </c>
      <c r="F172" t="e">
        <f>IF(INDEX(DATOS3!$1:$19397,A172,MATCH("SeriesDate",DATOS3!$1:$1,0))=0,"",INDEX(DATOS3!$1:$19397,A172,MATCH("SeriesDate",DATOS3!$1:$1,0)))</f>
        <v>#N/A</v>
      </c>
      <c r="G172" t="e">
        <f>IF(INDEX(DATOS3!$1:$19397,A172,MATCH("SeriesTime",DATOS3!$1:$1,0))=0,"",INDEX(DATOS3!$1:$19397,A172,MATCH("SeriesTime",DATOS3!$1:$1,0)))</f>
        <v>#N/A</v>
      </c>
      <c r="H172" t="e">
        <f>IF(INDEX(DATOS3!$1:$19397,A172,MATCH("StudyDescription",DATOS3!$1:$1,0))=0,"",INDEX(DATOS3!$1:$19397,A172,MATCH("StudyDescription",DATOS3!$1:$1,0)))</f>
        <v>#N/A</v>
      </c>
      <c r="I172" t="e">
        <f>IF(INDEX(DATOS3!$1:$19397,A172,MATCH("Dose_Area_Product_Total",DATOS3!$1:$1,0))=0,0,INDEX(DATOS3!$1:$19397,A172,MATCH("Dose_Area_Product_Total",DATOS3!$1:$1,0)))</f>
        <v>#N/A</v>
      </c>
      <c r="J172" t="e">
        <f>IF(INDEX(DATOS3!$1:$19397,A172,MATCH("Dose_RP_Total",DATOS3!$1:$1,0))=0,0,INDEX(DATOS3!$1:$19397,A172,MATCH("Dose_RP_Total",DATOS3!$1:$1,0)))</f>
        <v>#N/A</v>
      </c>
      <c r="K172" t="e">
        <f>IF(INDEX(DATOS3!$1:$19397,A172,MATCH("Total_Fluoro_Time",DATOS3!$1:$1,0))=0,0,INDEX(DATOS3!$1:$19397,A172,MATCH("Total_Fluoro_Time",DATOS3!$1:$1,0)))</f>
        <v>#N/A</v>
      </c>
      <c r="L172" t="e">
        <f>IF(INDEX(DATOS3!$1:$19397,A172,MATCH("Total_Acquisition_Time",DATOS3!$1:$1,0))=0,0,INDEX(DATOS3!$1:$19397,A172,MATCH("Total_Acquisition_Time",DATOS3!$1:$1,0)))</f>
        <v>#N/A</v>
      </c>
    </row>
    <row r="173" spans="1:12" x14ac:dyDescent="0.25">
      <c r="A173">
        <v>173</v>
      </c>
      <c r="B173" t="e">
        <f t="shared" si="2"/>
        <v>#N/A</v>
      </c>
      <c r="D173" t="e">
        <f>IF(INDEX(DATOS3!$1:$19397,A173,MATCH("PatientID",DATOS3!$1:$1,0))=0,"",INDEX(DATOS3!$1:$19397,A173,MATCH("PatientID",DATOS3!$1:$1,0)))</f>
        <v>#N/A</v>
      </c>
      <c r="F173" t="e">
        <f>IF(INDEX(DATOS3!$1:$19397,A173,MATCH("SeriesDate",DATOS3!$1:$1,0))=0,"",INDEX(DATOS3!$1:$19397,A173,MATCH("SeriesDate",DATOS3!$1:$1,0)))</f>
        <v>#N/A</v>
      </c>
      <c r="G173" t="e">
        <f>IF(INDEX(DATOS3!$1:$19397,A173,MATCH("SeriesTime",DATOS3!$1:$1,0))=0,"",INDEX(DATOS3!$1:$19397,A173,MATCH("SeriesTime",DATOS3!$1:$1,0)))</f>
        <v>#N/A</v>
      </c>
      <c r="H173" t="e">
        <f>IF(INDEX(DATOS3!$1:$19397,A173,MATCH("StudyDescription",DATOS3!$1:$1,0))=0,"",INDEX(DATOS3!$1:$19397,A173,MATCH("StudyDescription",DATOS3!$1:$1,0)))</f>
        <v>#N/A</v>
      </c>
      <c r="I173" t="e">
        <f>IF(INDEX(DATOS3!$1:$19397,A173,MATCH("Dose_Area_Product_Total",DATOS3!$1:$1,0))=0,0,INDEX(DATOS3!$1:$19397,A173,MATCH("Dose_Area_Product_Total",DATOS3!$1:$1,0)))</f>
        <v>#N/A</v>
      </c>
      <c r="J173" t="e">
        <f>IF(INDEX(DATOS3!$1:$19397,A173,MATCH("Dose_RP_Total",DATOS3!$1:$1,0))=0,0,INDEX(DATOS3!$1:$19397,A173,MATCH("Dose_RP_Total",DATOS3!$1:$1,0)))</f>
        <v>#N/A</v>
      </c>
      <c r="K173" t="e">
        <f>IF(INDEX(DATOS3!$1:$19397,A173,MATCH("Total_Fluoro_Time",DATOS3!$1:$1,0))=0,0,INDEX(DATOS3!$1:$19397,A173,MATCH("Total_Fluoro_Time",DATOS3!$1:$1,0)))</f>
        <v>#N/A</v>
      </c>
      <c r="L173" t="e">
        <f>IF(INDEX(DATOS3!$1:$19397,A173,MATCH("Total_Acquisition_Time",DATOS3!$1:$1,0))=0,0,INDEX(DATOS3!$1:$19397,A173,MATCH("Total_Acquisition_Time",DATOS3!$1:$1,0)))</f>
        <v>#N/A</v>
      </c>
    </row>
    <row r="174" spans="1:12" x14ac:dyDescent="0.25">
      <c r="A174">
        <v>174</v>
      </c>
      <c r="B174" t="e">
        <f t="shared" si="2"/>
        <v>#N/A</v>
      </c>
      <c r="D174" t="e">
        <f>IF(INDEX(DATOS3!$1:$19397,A174,MATCH("PatientID",DATOS3!$1:$1,0))=0,"",INDEX(DATOS3!$1:$19397,A174,MATCH("PatientID",DATOS3!$1:$1,0)))</f>
        <v>#N/A</v>
      </c>
      <c r="F174" t="e">
        <f>IF(INDEX(DATOS3!$1:$19397,A174,MATCH("SeriesDate",DATOS3!$1:$1,0))=0,"",INDEX(DATOS3!$1:$19397,A174,MATCH("SeriesDate",DATOS3!$1:$1,0)))</f>
        <v>#N/A</v>
      </c>
      <c r="G174" t="e">
        <f>IF(INDEX(DATOS3!$1:$19397,A174,MATCH("SeriesTime",DATOS3!$1:$1,0))=0,"",INDEX(DATOS3!$1:$19397,A174,MATCH("SeriesTime",DATOS3!$1:$1,0)))</f>
        <v>#N/A</v>
      </c>
      <c r="H174" t="e">
        <f>IF(INDEX(DATOS3!$1:$19397,A174,MATCH("StudyDescription",DATOS3!$1:$1,0))=0,"",INDEX(DATOS3!$1:$19397,A174,MATCH("StudyDescription",DATOS3!$1:$1,0)))</f>
        <v>#N/A</v>
      </c>
      <c r="I174" t="e">
        <f>IF(INDEX(DATOS3!$1:$19397,A174,MATCH("Dose_Area_Product_Total",DATOS3!$1:$1,0))=0,0,INDEX(DATOS3!$1:$19397,A174,MATCH("Dose_Area_Product_Total",DATOS3!$1:$1,0)))</f>
        <v>#N/A</v>
      </c>
      <c r="J174" t="e">
        <f>IF(INDEX(DATOS3!$1:$19397,A174,MATCH("Dose_RP_Total",DATOS3!$1:$1,0))=0,0,INDEX(DATOS3!$1:$19397,A174,MATCH("Dose_RP_Total",DATOS3!$1:$1,0)))</f>
        <v>#N/A</v>
      </c>
      <c r="K174" t="e">
        <f>IF(INDEX(DATOS3!$1:$19397,A174,MATCH("Total_Fluoro_Time",DATOS3!$1:$1,0))=0,0,INDEX(DATOS3!$1:$19397,A174,MATCH("Total_Fluoro_Time",DATOS3!$1:$1,0)))</f>
        <v>#N/A</v>
      </c>
      <c r="L174" t="e">
        <f>IF(INDEX(DATOS3!$1:$19397,A174,MATCH("Total_Acquisition_Time",DATOS3!$1:$1,0))=0,0,INDEX(DATOS3!$1:$19397,A174,MATCH("Total_Acquisition_Time",DATOS3!$1:$1,0)))</f>
        <v>#N/A</v>
      </c>
    </row>
    <row r="175" spans="1:12" x14ac:dyDescent="0.25">
      <c r="A175">
        <v>175</v>
      </c>
      <c r="B175" t="e">
        <f t="shared" si="2"/>
        <v>#N/A</v>
      </c>
      <c r="D175" t="e">
        <f>IF(INDEX(DATOS3!$1:$19397,A175,MATCH("PatientID",DATOS3!$1:$1,0))=0,"",INDEX(DATOS3!$1:$19397,A175,MATCH("PatientID",DATOS3!$1:$1,0)))</f>
        <v>#N/A</v>
      </c>
      <c r="F175" t="e">
        <f>IF(INDEX(DATOS3!$1:$19397,A175,MATCH("SeriesDate",DATOS3!$1:$1,0))=0,"",INDEX(DATOS3!$1:$19397,A175,MATCH("SeriesDate",DATOS3!$1:$1,0)))</f>
        <v>#N/A</v>
      </c>
      <c r="G175" t="e">
        <f>IF(INDEX(DATOS3!$1:$19397,A175,MATCH("SeriesTime",DATOS3!$1:$1,0))=0,"",INDEX(DATOS3!$1:$19397,A175,MATCH("SeriesTime",DATOS3!$1:$1,0)))</f>
        <v>#N/A</v>
      </c>
      <c r="H175" t="e">
        <f>IF(INDEX(DATOS3!$1:$19397,A175,MATCH("StudyDescription",DATOS3!$1:$1,0))=0,"",INDEX(DATOS3!$1:$19397,A175,MATCH("StudyDescription",DATOS3!$1:$1,0)))</f>
        <v>#N/A</v>
      </c>
      <c r="I175" t="e">
        <f>IF(INDEX(DATOS3!$1:$19397,A175,MATCH("Dose_Area_Product_Total",DATOS3!$1:$1,0))=0,0,INDEX(DATOS3!$1:$19397,A175,MATCH("Dose_Area_Product_Total",DATOS3!$1:$1,0)))</f>
        <v>#N/A</v>
      </c>
      <c r="J175" t="e">
        <f>IF(INDEX(DATOS3!$1:$19397,A175,MATCH("Dose_RP_Total",DATOS3!$1:$1,0))=0,0,INDEX(DATOS3!$1:$19397,A175,MATCH("Dose_RP_Total",DATOS3!$1:$1,0)))</f>
        <v>#N/A</v>
      </c>
      <c r="K175" t="e">
        <f>IF(INDEX(DATOS3!$1:$19397,A175,MATCH("Total_Fluoro_Time",DATOS3!$1:$1,0))=0,0,INDEX(DATOS3!$1:$19397,A175,MATCH("Total_Fluoro_Time",DATOS3!$1:$1,0)))</f>
        <v>#N/A</v>
      </c>
      <c r="L175" t="e">
        <f>IF(INDEX(DATOS3!$1:$19397,A175,MATCH("Total_Acquisition_Time",DATOS3!$1:$1,0))=0,0,INDEX(DATOS3!$1:$19397,A175,MATCH("Total_Acquisition_Time",DATOS3!$1:$1,0)))</f>
        <v>#N/A</v>
      </c>
    </row>
    <row r="176" spans="1:12" x14ac:dyDescent="0.25">
      <c r="A176">
        <v>176</v>
      </c>
      <c r="B176" t="e">
        <f t="shared" si="2"/>
        <v>#N/A</v>
      </c>
      <c r="D176" t="e">
        <f>IF(INDEX(DATOS3!$1:$19397,A176,MATCH("PatientID",DATOS3!$1:$1,0))=0,"",INDEX(DATOS3!$1:$19397,A176,MATCH("PatientID",DATOS3!$1:$1,0)))</f>
        <v>#N/A</v>
      </c>
      <c r="F176" t="e">
        <f>IF(INDEX(DATOS3!$1:$19397,A176,MATCH("SeriesDate",DATOS3!$1:$1,0))=0,"",INDEX(DATOS3!$1:$19397,A176,MATCH("SeriesDate",DATOS3!$1:$1,0)))</f>
        <v>#N/A</v>
      </c>
      <c r="G176" t="e">
        <f>IF(INDEX(DATOS3!$1:$19397,A176,MATCH("SeriesTime",DATOS3!$1:$1,0))=0,"",INDEX(DATOS3!$1:$19397,A176,MATCH("SeriesTime",DATOS3!$1:$1,0)))</f>
        <v>#N/A</v>
      </c>
      <c r="H176" t="e">
        <f>IF(INDEX(DATOS3!$1:$19397,A176,MATCH("StudyDescription",DATOS3!$1:$1,0))=0,"",INDEX(DATOS3!$1:$19397,A176,MATCH("StudyDescription",DATOS3!$1:$1,0)))</f>
        <v>#N/A</v>
      </c>
      <c r="I176" t="e">
        <f>IF(INDEX(DATOS3!$1:$19397,A176,MATCH("Dose_Area_Product_Total",DATOS3!$1:$1,0))=0,0,INDEX(DATOS3!$1:$19397,A176,MATCH("Dose_Area_Product_Total",DATOS3!$1:$1,0)))</f>
        <v>#N/A</v>
      </c>
      <c r="J176" t="e">
        <f>IF(INDEX(DATOS3!$1:$19397,A176,MATCH("Dose_RP_Total",DATOS3!$1:$1,0))=0,0,INDEX(DATOS3!$1:$19397,A176,MATCH("Dose_RP_Total",DATOS3!$1:$1,0)))</f>
        <v>#N/A</v>
      </c>
      <c r="K176" t="e">
        <f>IF(INDEX(DATOS3!$1:$19397,A176,MATCH("Total_Fluoro_Time",DATOS3!$1:$1,0))=0,0,INDEX(DATOS3!$1:$19397,A176,MATCH("Total_Fluoro_Time",DATOS3!$1:$1,0)))</f>
        <v>#N/A</v>
      </c>
      <c r="L176" t="e">
        <f>IF(INDEX(DATOS3!$1:$19397,A176,MATCH("Total_Acquisition_Time",DATOS3!$1:$1,0))=0,0,INDEX(DATOS3!$1:$19397,A176,MATCH("Total_Acquisition_Time",DATOS3!$1:$1,0)))</f>
        <v>#N/A</v>
      </c>
    </row>
    <row r="177" spans="1:12" x14ac:dyDescent="0.25">
      <c r="A177">
        <v>177</v>
      </c>
      <c r="B177" t="e">
        <f t="shared" si="2"/>
        <v>#N/A</v>
      </c>
      <c r="D177" t="e">
        <f>IF(INDEX(DATOS3!$1:$19397,A177,MATCH("PatientID",DATOS3!$1:$1,0))=0,"",INDEX(DATOS3!$1:$19397,A177,MATCH("PatientID",DATOS3!$1:$1,0)))</f>
        <v>#N/A</v>
      </c>
      <c r="F177" t="e">
        <f>IF(INDEX(DATOS3!$1:$19397,A177,MATCH("SeriesDate",DATOS3!$1:$1,0))=0,"",INDEX(DATOS3!$1:$19397,A177,MATCH("SeriesDate",DATOS3!$1:$1,0)))</f>
        <v>#N/A</v>
      </c>
      <c r="G177" t="e">
        <f>IF(INDEX(DATOS3!$1:$19397,A177,MATCH("SeriesTime",DATOS3!$1:$1,0))=0,"",INDEX(DATOS3!$1:$19397,A177,MATCH("SeriesTime",DATOS3!$1:$1,0)))</f>
        <v>#N/A</v>
      </c>
      <c r="H177" t="e">
        <f>IF(INDEX(DATOS3!$1:$19397,A177,MATCH("StudyDescription",DATOS3!$1:$1,0))=0,"",INDEX(DATOS3!$1:$19397,A177,MATCH("StudyDescription",DATOS3!$1:$1,0)))</f>
        <v>#N/A</v>
      </c>
      <c r="I177" t="e">
        <f>IF(INDEX(DATOS3!$1:$19397,A177,MATCH("Dose_Area_Product_Total",DATOS3!$1:$1,0))=0,0,INDEX(DATOS3!$1:$19397,A177,MATCH("Dose_Area_Product_Total",DATOS3!$1:$1,0)))</f>
        <v>#N/A</v>
      </c>
      <c r="J177" t="e">
        <f>IF(INDEX(DATOS3!$1:$19397,A177,MATCH("Dose_RP_Total",DATOS3!$1:$1,0))=0,0,INDEX(DATOS3!$1:$19397,A177,MATCH("Dose_RP_Total",DATOS3!$1:$1,0)))</f>
        <v>#N/A</v>
      </c>
      <c r="K177" t="e">
        <f>IF(INDEX(DATOS3!$1:$19397,A177,MATCH("Total_Fluoro_Time",DATOS3!$1:$1,0))=0,0,INDEX(DATOS3!$1:$19397,A177,MATCH("Total_Fluoro_Time",DATOS3!$1:$1,0)))</f>
        <v>#N/A</v>
      </c>
      <c r="L177" t="e">
        <f>IF(INDEX(DATOS3!$1:$19397,A177,MATCH("Total_Acquisition_Time",DATOS3!$1:$1,0))=0,0,INDEX(DATOS3!$1:$19397,A177,MATCH("Total_Acquisition_Time",DATOS3!$1:$1,0)))</f>
        <v>#N/A</v>
      </c>
    </row>
    <row r="178" spans="1:12" x14ac:dyDescent="0.25">
      <c r="A178">
        <v>178</v>
      </c>
      <c r="B178" t="e">
        <f t="shared" si="2"/>
        <v>#N/A</v>
      </c>
      <c r="D178" t="e">
        <f>IF(INDEX(DATOS3!$1:$19397,A178,MATCH("PatientID",DATOS3!$1:$1,0))=0,"",INDEX(DATOS3!$1:$19397,A178,MATCH("PatientID",DATOS3!$1:$1,0)))</f>
        <v>#N/A</v>
      </c>
      <c r="F178" t="e">
        <f>IF(INDEX(DATOS3!$1:$19397,A178,MATCH("SeriesDate",DATOS3!$1:$1,0))=0,"",INDEX(DATOS3!$1:$19397,A178,MATCH("SeriesDate",DATOS3!$1:$1,0)))</f>
        <v>#N/A</v>
      </c>
      <c r="G178" t="e">
        <f>IF(INDEX(DATOS3!$1:$19397,A178,MATCH("SeriesTime",DATOS3!$1:$1,0))=0,"",INDEX(DATOS3!$1:$19397,A178,MATCH("SeriesTime",DATOS3!$1:$1,0)))</f>
        <v>#N/A</v>
      </c>
      <c r="H178" t="e">
        <f>IF(INDEX(DATOS3!$1:$19397,A178,MATCH("StudyDescription",DATOS3!$1:$1,0))=0,"",INDEX(DATOS3!$1:$19397,A178,MATCH("StudyDescription",DATOS3!$1:$1,0)))</f>
        <v>#N/A</v>
      </c>
      <c r="I178" t="e">
        <f>IF(INDEX(DATOS3!$1:$19397,A178,MATCH("Dose_Area_Product_Total",DATOS3!$1:$1,0))=0,0,INDEX(DATOS3!$1:$19397,A178,MATCH("Dose_Area_Product_Total",DATOS3!$1:$1,0)))</f>
        <v>#N/A</v>
      </c>
      <c r="J178" t="e">
        <f>IF(INDEX(DATOS3!$1:$19397,A178,MATCH("Dose_RP_Total",DATOS3!$1:$1,0))=0,0,INDEX(DATOS3!$1:$19397,A178,MATCH("Dose_RP_Total",DATOS3!$1:$1,0)))</f>
        <v>#N/A</v>
      </c>
      <c r="K178" t="e">
        <f>IF(INDEX(DATOS3!$1:$19397,A178,MATCH("Total_Fluoro_Time",DATOS3!$1:$1,0))=0,0,INDEX(DATOS3!$1:$19397,A178,MATCH("Total_Fluoro_Time",DATOS3!$1:$1,0)))</f>
        <v>#N/A</v>
      </c>
      <c r="L178" t="e">
        <f>IF(INDEX(DATOS3!$1:$19397,A178,MATCH("Total_Acquisition_Time",DATOS3!$1:$1,0))=0,0,INDEX(DATOS3!$1:$19397,A178,MATCH("Total_Acquisition_Time",DATOS3!$1:$1,0)))</f>
        <v>#N/A</v>
      </c>
    </row>
    <row r="179" spans="1:12" x14ac:dyDescent="0.25">
      <c r="A179">
        <v>179</v>
      </c>
      <c r="B179" t="e">
        <f t="shared" si="2"/>
        <v>#N/A</v>
      </c>
      <c r="D179" t="e">
        <f>IF(INDEX(DATOS3!$1:$19397,A179,MATCH("PatientID",DATOS3!$1:$1,0))=0,"",INDEX(DATOS3!$1:$19397,A179,MATCH("PatientID",DATOS3!$1:$1,0)))</f>
        <v>#N/A</v>
      </c>
      <c r="F179" t="e">
        <f>IF(INDEX(DATOS3!$1:$19397,A179,MATCH("SeriesDate",DATOS3!$1:$1,0))=0,"",INDEX(DATOS3!$1:$19397,A179,MATCH("SeriesDate",DATOS3!$1:$1,0)))</f>
        <v>#N/A</v>
      </c>
      <c r="G179" t="e">
        <f>IF(INDEX(DATOS3!$1:$19397,A179,MATCH("SeriesTime",DATOS3!$1:$1,0))=0,"",INDEX(DATOS3!$1:$19397,A179,MATCH("SeriesTime",DATOS3!$1:$1,0)))</f>
        <v>#N/A</v>
      </c>
      <c r="H179" t="e">
        <f>IF(INDEX(DATOS3!$1:$19397,A179,MATCH("StudyDescription",DATOS3!$1:$1,0))=0,"",INDEX(DATOS3!$1:$19397,A179,MATCH("StudyDescription",DATOS3!$1:$1,0)))</f>
        <v>#N/A</v>
      </c>
      <c r="I179" t="e">
        <f>IF(INDEX(DATOS3!$1:$19397,A179,MATCH("Dose_Area_Product_Total",DATOS3!$1:$1,0))=0,0,INDEX(DATOS3!$1:$19397,A179,MATCH("Dose_Area_Product_Total",DATOS3!$1:$1,0)))</f>
        <v>#N/A</v>
      </c>
      <c r="J179" t="e">
        <f>IF(INDEX(DATOS3!$1:$19397,A179,MATCH("Dose_RP_Total",DATOS3!$1:$1,0))=0,0,INDEX(DATOS3!$1:$19397,A179,MATCH("Dose_RP_Total",DATOS3!$1:$1,0)))</f>
        <v>#N/A</v>
      </c>
      <c r="K179" t="e">
        <f>IF(INDEX(DATOS3!$1:$19397,A179,MATCH("Total_Fluoro_Time",DATOS3!$1:$1,0))=0,0,INDEX(DATOS3!$1:$19397,A179,MATCH("Total_Fluoro_Time",DATOS3!$1:$1,0)))</f>
        <v>#N/A</v>
      </c>
      <c r="L179" t="e">
        <f>IF(INDEX(DATOS3!$1:$19397,A179,MATCH("Total_Acquisition_Time",DATOS3!$1:$1,0))=0,0,INDEX(DATOS3!$1:$19397,A179,MATCH("Total_Acquisition_Time",DATOS3!$1:$1,0)))</f>
        <v>#N/A</v>
      </c>
    </row>
    <row r="180" spans="1:12" x14ac:dyDescent="0.25">
      <c r="A180">
        <v>180</v>
      </c>
      <c r="B180" t="e">
        <f t="shared" si="2"/>
        <v>#N/A</v>
      </c>
      <c r="D180" t="e">
        <f>IF(INDEX(DATOS3!$1:$19397,A180,MATCH("PatientID",DATOS3!$1:$1,0))=0,"",INDEX(DATOS3!$1:$19397,A180,MATCH("PatientID",DATOS3!$1:$1,0)))</f>
        <v>#N/A</v>
      </c>
      <c r="F180" t="e">
        <f>IF(INDEX(DATOS3!$1:$19397,A180,MATCH("SeriesDate",DATOS3!$1:$1,0))=0,"",INDEX(DATOS3!$1:$19397,A180,MATCH("SeriesDate",DATOS3!$1:$1,0)))</f>
        <v>#N/A</v>
      </c>
      <c r="G180" t="e">
        <f>IF(INDEX(DATOS3!$1:$19397,A180,MATCH("SeriesTime",DATOS3!$1:$1,0))=0,"",INDEX(DATOS3!$1:$19397,A180,MATCH("SeriesTime",DATOS3!$1:$1,0)))</f>
        <v>#N/A</v>
      </c>
      <c r="H180" t="e">
        <f>IF(INDEX(DATOS3!$1:$19397,A180,MATCH("StudyDescription",DATOS3!$1:$1,0))=0,"",INDEX(DATOS3!$1:$19397,A180,MATCH("StudyDescription",DATOS3!$1:$1,0)))</f>
        <v>#N/A</v>
      </c>
      <c r="I180" t="e">
        <f>IF(INDEX(DATOS3!$1:$19397,A180,MATCH("Dose_Area_Product_Total",DATOS3!$1:$1,0))=0,0,INDEX(DATOS3!$1:$19397,A180,MATCH("Dose_Area_Product_Total",DATOS3!$1:$1,0)))</f>
        <v>#N/A</v>
      </c>
      <c r="J180" t="e">
        <f>IF(INDEX(DATOS3!$1:$19397,A180,MATCH("Dose_RP_Total",DATOS3!$1:$1,0))=0,0,INDEX(DATOS3!$1:$19397,A180,MATCH("Dose_RP_Total",DATOS3!$1:$1,0)))</f>
        <v>#N/A</v>
      </c>
      <c r="K180" t="e">
        <f>IF(INDEX(DATOS3!$1:$19397,A180,MATCH("Total_Fluoro_Time",DATOS3!$1:$1,0))=0,0,INDEX(DATOS3!$1:$19397,A180,MATCH("Total_Fluoro_Time",DATOS3!$1:$1,0)))</f>
        <v>#N/A</v>
      </c>
      <c r="L180" t="e">
        <f>IF(INDEX(DATOS3!$1:$19397,A180,MATCH("Total_Acquisition_Time",DATOS3!$1:$1,0))=0,0,INDEX(DATOS3!$1:$19397,A180,MATCH("Total_Acquisition_Time",DATOS3!$1:$1,0)))</f>
        <v>#N/A</v>
      </c>
    </row>
    <row r="181" spans="1:12" x14ac:dyDescent="0.25">
      <c r="A181">
        <v>181</v>
      </c>
      <c r="B181" t="e">
        <f t="shared" si="2"/>
        <v>#N/A</v>
      </c>
      <c r="D181" t="e">
        <f>IF(INDEX(DATOS3!$1:$19397,A181,MATCH("PatientID",DATOS3!$1:$1,0))=0,"",INDEX(DATOS3!$1:$19397,A181,MATCH("PatientID",DATOS3!$1:$1,0)))</f>
        <v>#N/A</v>
      </c>
      <c r="F181" t="e">
        <f>IF(INDEX(DATOS3!$1:$19397,A181,MATCH("SeriesDate",DATOS3!$1:$1,0))=0,"",INDEX(DATOS3!$1:$19397,A181,MATCH("SeriesDate",DATOS3!$1:$1,0)))</f>
        <v>#N/A</v>
      </c>
      <c r="G181" t="e">
        <f>IF(INDEX(DATOS3!$1:$19397,A181,MATCH("SeriesTime",DATOS3!$1:$1,0))=0,"",INDEX(DATOS3!$1:$19397,A181,MATCH("SeriesTime",DATOS3!$1:$1,0)))</f>
        <v>#N/A</v>
      </c>
      <c r="H181" t="e">
        <f>IF(INDEX(DATOS3!$1:$19397,A181,MATCH("StudyDescription",DATOS3!$1:$1,0))=0,"",INDEX(DATOS3!$1:$19397,A181,MATCH("StudyDescription",DATOS3!$1:$1,0)))</f>
        <v>#N/A</v>
      </c>
      <c r="I181" t="e">
        <f>IF(INDEX(DATOS3!$1:$19397,A181,MATCH("Dose_Area_Product_Total",DATOS3!$1:$1,0))=0,0,INDEX(DATOS3!$1:$19397,A181,MATCH("Dose_Area_Product_Total",DATOS3!$1:$1,0)))</f>
        <v>#N/A</v>
      </c>
      <c r="J181" t="e">
        <f>IF(INDEX(DATOS3!$1:$19397,A181,MATCH("Dose_RP_Total",DATOS3!$1:$1,0))=0,0,INDEX(DATOS3!$1:$19397,A181,MATCH("Dose_RP_Total",DATOS3!$1:$1,0)))</f>
        <v>#N/A</v>
      </c>
      <c r="K181" t="e">
        <f>IF(INDEX(DATOS3!$1:$19397,A181,MATCH("Total_Fluoro_Time",DATOS3!$1:$1,0))=0,0,INDEX(DATOS3!$1:$19397,A181,MATCH("Total_Fluoro_Time",DATOS3!$1:$1,0)))</f>
        <v>#N/A</v>
      </c>
      <c r="L181" t="e">
        <f>IF(INDEX(DATOS3!$1:$19397,A181,MATCH("Total_Acquisition_Time",DATOS3!$1:$1,0))=0,0,INDEX(DATOS3!$1:$19397,A181,MATCH("Total_Acquisition_Time",DATOS3!$1:$1,0)))</f>
        <v>#N/A</v>
      </c>
    </row>
    <row r="182" spans="1:12" x14ac:dyDescent="0.25">
      <c r="A182">
        <v>182</v>
      </c>
      <c r="B182" t="e">
        <f t="shared" si="2"/>
        <v>#N/A</v>
      </c>
      <c r="D182" t="e">
        <f>IF(INDEX(DATOS3!$1:$19397,A182,MATCH("PatientID",DATOS3!$1:$1,0))=0,"",INDEX(DATOS3!$1:$19397,A182,MATCH("PatientID",DATOS3!$1:$1,0)))</f>
        <v>#N/A</v>
      </c>
      <c r="F182" t="e">
        <f>IF(INDEX(DATOS3!$1:$19397,A182,MATCH("SeriesDate",DATOS3!$1:$1,0))=0,"",INDEX(DATOS3!$1:$19397,A182,MATCH("SeriesDate",DATOS3!$1:$1,0)))</f>
        <v>#N/A</v>
      </c>
      <c r="G182" t="e">
        <f>IF(INDEX(DATOS3!$1:$19397,A182,MATCH("SeriesTime",DATOS3!$1:$1,0))=0,"",INDEX(DATOS3!$1:$19397,A182,MATCH("SeriesTime",DATOS3!$1:$1,0)))</f>
        <v>#N/A</v>
      </c>
      <c r="H182" t="e">
        <f>IF(INDEX(DATOS3!$1:$19397,A182,MATCH("StudyDescription",DATOS3!$1:$1,0))=0,"",INDEX(DATOS3!$1:$19397,A182,MATCH("StudyDescription",DATOS3!$1:$1,0)))</f>
        <v>#N/A</v>
      </c>
      <c r="I182" t="e">
        <f>IF(INDEX(DATOS3!$1:$19397,A182,MATCH("Dose_Area_Product_Total",DATOS3!$1:$1,0))=0,0,INDEX(DATOS3!$1:$19397,A182,MATCH("Dose_Area_Product_Total",DATOS3!$1:$1,0)))</f>
        <v>#N/A</v>
      </c>
      <c r="J182" t="e">
        <f>IF(INDEX(DATOS3!$1:$19397,A182,MATCH("Dose_RP_Total",DATOS3!$1:$1,0))=0,0,INDEX(DATOS3!$1:$19397,A182,MATCH("Dose_RP_Total",DATOS3!$1:$1,0)))</f>
        <v>#N/A</v>
      </c>
      <c r="K182" t="e">
        <f>IF(INDEX(DATOS3!$1:$19397,A182,MATCH("Total_Fluoro_Time",DATOS3!$1:$1,0))=0,0,INDEX(DATOS3!$1:$19397,A182,MATCH("Total_Fluoro_Time",DATOS3!$1:$1,0)))</f>
        <v>#N/A</v>
      </c>
      <c r="L182" t="e">
        <f>IF(INDEX(DATOS3!$1:$19397,A182,MATCH("Total_Acquisition_Time",DATOS3!$1:$1,0))=0,0,INDEX(DATOS3!$1:$19397,A182,MATCH("Total_Acquisition_Time",DATOS3!$1:$1,0)))</f>
        <v>#N/A</v>
      </c>
    </row>
    <row r="183" spans="1:12" x14ac:dyDescent="0.25">
      <c r="A183">
        <v>183</v>
      </c>
      <c r="B183" t="e">
        <f t="shared" si="2"/>
        <v>#N/A</v>
      </c>
      <c r="D183" t="e">
        <f>IF(INDEX(DATOS3!$1:$19397,A183,MATCH("PatientID",DATOS3!$1:$1,0))=0,"",INDEX(DATOS3!$1:$19397,A183,MATCH("PatientID",DATOS3!$1:$1,0)))</f>
        <v>#N/A</v>
      </c>
      <c r="F183" t="e">
        <f>IF(INDEX(DATOS3!$1:$19397,A183,MATCH("SeriesDate",DATOS3!$1:$1,0))=0,"",INDEX(DATOS3!$1:$19397,A183,MATCH("SeriesDate",DATOS3!$1:$1,0)))</f>
        <v>#N/A</v>
      </c>
      <c r="G183" t="e">
        <f>IF(INDEX(DATOS3!$1:$19397,A183,MATCH("SeriesTime",DATOS3!$1:$1,0))=0,"",INDEX(DATOS3!$1:$19397,A183,MATCH("SeriesTime",DATOS3!$1:$1,0)))</f>
        <v>#N/A</v>
      </c>
      <c r="H183" t="e">
        <f>IF(INDEX(DATOS3!$1:$19397,A183,MATCH("StudyDescription",DATOS3!$1:$1,0))=0,"",INDEX(DATOS3!$1:$19397,A183,MATCH("StudyDescription",DATOS3!$1:$1,0)))</f>
        <v>#N/A</v>
      </c>
      <c r="I183" t="e">
        <f>IF(INDEX(DATOS3!$1:$19397,A183,MATCH("Dose_Area_Product_Total",DATOS3!$1:$1,0))=0,0,INDEX(DATOS3!$1:$19397,A183,MATCH("Dose_Area_Product_Total",DATOS3!$1:$1,0)))</f>
        <v>#N/A</v>
      </c>
      <c r="J183" t="e">
        <f>IF(INDEX(DATOS3!$1:$19397,A183,MATCH("Dose_RP_Total",DATOS3!$1:$1,0))=0,0,INDEX(DATOS3!$1:$19397,A183,MATCH("Dose_RP_Total",DATOS3!$1:$1,0)))</f>
        <v>#N/A</v>
      </c>
      <c r="K183" t="e">
        <f>IF(INDEX(DATOS3!$1:$19397,A183,MATCH("Total_Fluoro_Time",DATOS3!$1:$1,0))=0,0,INDEX(DATOS3!$1:$19397,A183,MATCH("Total_Fluoro_Time",DATOS3!$1:$1,0)))</f>
        <v>#N/A</v>
      </c>
      <c r="L183" t="e">
        <f>IF(INDEX(DATOS3!$1:$19397,A183,MATCH("Total_Acquisition_Time",DATOS3!$1:$1,0))=0,0,INDEX(DATOS3!$1:$19397,A183,MATCH("Total_Acquisition_Time",DATOS3!$1:$1,0)))</f>
        <v>#N/A</v>
      </c>
    </row>
    <row r="184" spans="1:12" x14ac:dyDescent="0.25">
      <c r="A184">
        <v>184</v>
      </c>
      <c r="B184" t="e">
        <f t="shared" si="2"/>
        <v>#N/A</v>
      </c>
      <c r="D184" t="e">
        <f>IF(INDEX(DATOS3!$1:$19397,A184,MATCH("PatientID",DATOS3!$1:$1,0))=0,"",INDEX(DATOS3!$1:$19397,A184,MATCH("PatientID",DATOS3!$1:$1,0)))</f>
        <v>#N/A</v>
      </c>
      <c r="F184" t="e">
        <f>IF(INDEX(DATOS3!$1:$19397,A184,MATCH("SeriesDate",DATOS3!$1:$1,0))=0,"",INDEX(DATOS3!$1:$19397,A184,MATCH("SeriesDate",DATOS3!$1:$1,0)))</f>
        <v>#N/A</v>
      </c>
      <c r="G184" t="e">
        <f>IF(INDEX(DATOS3!$1:$19397,A184,MATCH("SeriesTime",DATOS3!$1:$1,0))=0,"",INDEX(DATOS3!$1:$19397,A184,MATCH("SeriesTime",DATOS3!$1:$1,0)))</f>
        <v>#N/A</v>
      </c>
      <c r="H184" t="e">
        <f>IF(INDEX(DATOS3!$1:$19397,A184,MATCH("StudyDescription",DATOS3!$1:$1,0))=0,"",INDEX(DATOS3!$1:$19397,A184,MATCH("StudyDescription",DATOS3!$1:$1,0)))</f>
        <v>#N/A</v>
      </c>
      <c r="I184" t="e">
        <f>IF(INDEX(DATOS3!$1:$19397,A184,MATCH("Dose_Area_Product_Total",DATOS3!$1:$1,0))=0,0,INDEX(DATOS3!$1:$19397,A184,MATCH("Dose_Area_Product_Total",DATOS3!$1:$1,0)))</f>
        <v>#N/A</v>
      </c>
      <c r="J184" t="e">
        <f>IF(INDEX(DATOS3!$1:$19397,A184,MATCH("Dose_RP_Total",DATOS3!$1:$1,0))=0,0,INDEX(DATOS3!$1:$19397,A184,MATCH("Dose_RP_Total",DATOS3!$1:$1,0)))</f>
        <v>#N/A</v>
      </c>
      <c r="K184" t="e">
        <f>IF(INDEX(DATOS3!$1:$19397,A184,MATCH("Total_Fluoro_Time",DATOS3!$1:$1,0))=0,0,INDEX(DATOS3!$1:$19397,A184,MATCH("Total_Fluoro_Time",DATOS3!$1:$1,0)))</f>
        <v>#N/A</v>
      </c>
      <c r="L184" t="e">
        <f>IF(INDEX(DATOS3!$1:$19397,A184,MATCH("Total_Acquisition_Time",DATOS3!$1:$1,0))=0,0,INDEX(DATOS3!$1:$19397,A184,MATCH("Total_Acquisition_Time",DATOS3!$1:$1,0)))</f>
        <v>#N/A</v>
      </c>
    </row>
    <row r="185" spans="1:12" x14ac:dyDescent="0.25">
      <c r="A185">
        <v>185</v>
      </c>
      <c r="B185" t="e">
        <f t="shared" si="2"/>
        <v>#N/A</v>
      </c>
      <c r="D185" t="e">
        <f>IF(INDEX(DATOS3!$1:$19397,A185,MATCH("PatientID",DATOS3!$1:$1,0))=0,"",INDEX(DATOS3!$1:$19397,A185,MATCH("PatientID",DATOS3!$1:$1,0)))</f>
        <v>#N/A</v>
      </c>
      <c r="F185" t="e">
        <f>IF(INDEX(DATOS3!$1:$19397,A185,MATCH("SeriesDate",DATOS3!$1:$1,0))=0,"",INDEX(DATOS3!$1:$19397,A185,MATCH("SeriesDate",DATOS3!$1:$1,0)))</f>
        <v>#N/A</v>
      </c>
      <c r="G185" t="e">
        <f>IF(INDEX(DATOS3!$1:$19397,A185,MATCH("SeriesTime",DATOS3!$1:$1,0))=0,"",INDEX(DATOS3!$1:$19397,A185,MATCH("SeriesTime",DATOS3!$1:$1,0)))</f>
        <v>#N/A</v>
      </c>
      <c r="H185" t="e">
        <f>IF(INDEX(DATOS3!$1:$19397,A185,MATCH("StudyDescription",DATOS3!$1:$1,0))=0,"",INDEX(DATOS3!$1:$19397,A185,MATCH("StudyDescription",DATOS3!$1:$1,0)))</f>
        <v>#N/A</v>
      </c>
      <c r="I185" t="e">
        <f>IF(INDEX(DATOS3!$1:$19397,A185,MATCH("Dose_Area_Product_Total",DATOS3!$1:$1,0))=0,0,INDEX(DATOS3!$1:$19397,A185,MATCH("Dose_Area_Product_Total",DATOS3!$1:$1,0)))</f>
        <v>#N/A</v>
      </c>
      <c r="J185" t="e">
        <f>IF(INDEX(DATOS3!$1:$19397,A185,MATCH("Dose_RP_Total",DATOS3!$1:$1,0))=0,0,INDEX(DATOS3!$1:$19397,A185,MATCH("Dose_RP_Total",DATOS3!$1:$1,0)))</f>
        <v>#N/A</v>
      </c>
      <c r="K185" t="e">
        <f>IF(INDEX(DATOS3!$1:$19397,A185,MATCH("Total_Fluoro_Time",DATOS3!$1:$1,0))=0,0,INDEX(DATOS3!$1:$19397,A185,MATCH("Total_Fluoro_Time",DATOS3!$1:$1,0)))</f>
        <v>#N/A</v>
      </c>
      <c r="L185" t="e">
        <f>IF(INDEX(DATOS3!$1:$19397,A185,MATCH("Total_Acquisition_Time",DATOS3!$1:$1,0))=0,0,INDEX(DATOS3!$1:$19397,A185,MATCH("Total_Acquisition_Time",DATOS3!$1:$1,0)))</f>
        <v>#N/A</v>
      </c>
    </row>
    <row r="186" spans="1:12" x14ac:dyDescent="0.25">
      <c r="A186">
        <v>186</v>
      </c>
      <c r="B186" t="e">
        <f t="shared" si="2"/>
        <v>#N/A</v>
      </c>
      <c r="D186" t="e">
        <f>IF(INDEX(DATOS3!$1:$19397,A186,MATCH("PatientID",DATOS3!$1:$1,0))=0,"",INDEX(DATOS3!$1:$19397,A186,MATCH("PatientID",DATOS3!$1:$1,0)))</f>
        <v>#N/A</v>
      </c>
      <c r="F186" t="e">
        <f>IF(INDEX(DATOS3!$1:$19397,A186,MATCH("SeriesDate",DATOS3!$1:$1,0))=0,"",INDEX(DATOS3!$1:$19397,A186,MATCH("SeriesDate",DATOS3!$1:$1,0)))</f>
        <v>#N/A</v>
      </c>
      <c r="G186" t="e">
        <f>IF(INDEX(DATOS3!$1:$19397,A186,MATCH("SeriesTime",DATOS3!$1:$1,0))=0,"",INDEX(DATOS3!$1:$19397,A186,MATCH("SeriesTime",DATOS3!$1:$1,0)))</f>
        <v>#N/A</v>
      </c>
      <c r="H186" t="e">
        <f>IF(INDEX(DATOS3!$1:$19397,A186,MATCH("StudyDescription",DATOS3!$1:$1,0))=0,"",INDEX(DATOS3!$1:$19397,A186,MATCH("StudyDescription",DATOS3!$1:$1,0)))</f>
        <v>#N/A</v>
      </c>
      <c r="I186" t="e">
        <f>IF(INDEX(DATOS3!$1:$19397,A186,MATCH("Dose_Area_Product_Total",DATOS3!$1:$1,0))=0,0,INDEX(DATOS3!$1:$19397,A186,MATCH("Dose_Area_Product_Total",DATOS3!$1:$1,0)))</f>
        <v>#N/A</v>
      </c>
      <c r="J186" t="e">
        <f>IF(INDEX(DATOS3!$1:$19397,A186,MATCH("Dose_RP_Total",DATOS3!$1:$1,0))=0,0,INDEX(DATOS3!$1:$19397,A186,MATCH("Dose_RP_Total",DATOS3!$1:$1,0)))</f>
        <v>#N/A</v>
      </c>
      <c r="K186" t="e">
        <f>IF(INDEX(DATOS3!$1:$19397,A186,MATCH("Total_Fluoro_Time",DATOS3!$1:$1,0))=0,0,INDEX(DATOS3!$1:$19397,A186,MATCH("Total_Fluoro_Time",DATOS3!$1:$1,0)))</f>
        <v>#N/A</v>
      </c>
      <c r="L186" t="e">
        <f>IF(INDEX(DATOS3!$1:$19397,A186,MATCH("Total_Acquisition_Time",DATOS3!$1:$1,0))=0,0,INDEX(DATOS3!$1:$19397,A186,MATCH("Total_Acquisition_Time",DATOS3!$1:$1,0)))</f>
        <v>#N/A</v>
      </c>
    </row>
    <row r="187" spans="1:12" x14ac:dyDescent="0.25">
      <c r="A187">
        <v>187</v>
      </c>
      <c r="B187" t="e">
        <f t="shared" si="2"/>
        <v>#N/A</v>
      </c>
      <c r="D187" t="e">
        <f>IF(INDEX(DATOS3!$1:$19397,A187,MATCH("PatientID",DATOS3!$1:$1,0))=0,"",INDEX(DATOS3!$1:$19397,A187,MATCH("PatientID",DATOS3!$1:$1,0)))</f>
        <v>#N/A</v>
      </c>
      <c r="F187" t="e">
        <f>IF(INDEX(DATOS3!$1:$19397,A187,MATCH("SeriesDate",DATOS3!$1:$1,0))=0,"",INDEX(DATOS3!$1:$19397,A187,MATCH("SeriesDate",DATOS3!$1:$1,0)))</f>
        <v>#N/A</v>
      </c>
      <c r="G187" t="e">
        <f>IF(INDEX(DATOS3!$1:$19397,A187,MATCH("SeriesTime",DATOS3!$1:$1,0))=0,"",INDEX(DATOS3!$1:$19397,A187,MATCH("SeriesTime",DATOS3!$1:$1,0)))</f>
        <v>#N/A</v>
      </c>
      <c r="H187" t="e">
        <f>IF(INDEX(DATOS3!$1:$19397,A187,MATCH("StudyDescription",DATOS3!$1:$1,0))=0,"",INDEX(DATOS3!$1:$19397,A187,MATCH("StudyDescription",DATOS3!$1:$1,0)))</f>
        <v>#N/A</v>
      </c>
      <c r="I187" t="e">
        <f>IF(INDEX(DATOS3!$1:$19397,A187,MATCH("Dose_Area_Product_Total",DATOS3!$1:$1,0))=0,0,INDEX(DATOS3!$1:$19397,A187,MATCH("Dose_Area_Product_Total",DATOS3!$1:$1,0)))</f>
        <v>#N/A</v>
      </c>
      <c r="J187" t="e">
        <f>IF(INDEX(DATOS3!$1:$19397,A187,MATCH("Dose_RP_Total",DATOS3!$1:$1,0))=0,0,INDEX(DATOS3!$1:$19397,A187,MATCH("Dose_RP_Total",DATOS3!$1:$1,0)))</f>
        <v>#N/A</v>
      </c>
      <c r="K187" t="e">
        <f>IF(INDEX(DATOS3!$1:$19397,A187,MATCH("Total_Fluoro_Time",DATOS3!$1:$1,0))=0,0,INDEX(DATOS3!$1:$19397,A187,MATCH("Total_Fluoro_Time",DATOS3!$1:$1,0)))</f>
        <v>#N/A</v>
      </c>
      <c r="L187" t="e">
        <f>IF(INDEX(DATOS3!$1:$19397,A187,MATCH("Total_Acquisition_Time",DATOS3!$1:$1,0))=0,0,INDEX(DATOS3!$1:$19397,A187,MATCH("Total_Acquisition_Time",DATOS3!$1:$1,0)))</f>
        <v>#N/A</v>
      </c>
    </row>
    <row r="188" spans="1:12" x14ac:dyDescent="0.25">
      <c r="A188">
        <v>188</v>
      </c>
      <c r="B188" t="e">
        <f t="shared" si="2"/>
        <v>#N/A</v>
      </c>
      <c r="D188" t="e">
        <f>IF(INDEX(DATOS3!$1:$19397,A188,MATCH("PatientID",DATOS3!$1:$1,0))=0,"",INDEX(DATOS3!$1:$19397,A188,MATCH("PatientID",DATOS3!$1:$1,0)))</f>
        <v>#N/A</v>
      </c>
      <c r="F188" t="e">
        <f>IF(INDEX(DATOS3!$1:$19397,A188,MATCH("SeriesDate",DATOS3!$1:$1,0))=0,"",INDEX(DATOS3!$1:$19397,A188,MATCH("SeriesDate",DATOS3!$1:$1,0)))</f>
        <v>#N/A</v>
      </c>
      <c r="G188" t="e">
        <f>IF(INDEX(DATOS3!$1:$19397,A188,MATCH("SeriesTime",DATOS3!$1:$1,0))=0,"",INDEX(DATOS3!$1:$19397,A188,MATCH("SeriesTime",DATOS3!$1:$1,0)))</f>
        <v>#N/A</v>
      </c>
      <c r="H188" t="e">
        <f>IF(INDEX(DATOS3!$1:$19397,A188,MATCH("StudyDescription",DATOS3!$1:$1,0))=0,"",INDEX(DATOS3!$1:$19397,A188,MATCH("StudyDescription",DATOS3!$1:$1,0)))</f>
        <v>#N/A</v>
      </c>
      <c r="I188" t="e">
        <f>IF(INDEX(DATOS3!$1:$19397,A188,MATCH("Dose_Area_Product_Total",DATOS3!$1:$1,0))=0,0,INDEX(DATOS3!$1:$19397,A188,MATCH("Dose_Area_Product_Total",DATOS3!$1:$1,0)))</f>
        <v>#N/A</v>
      </c>
      <c r="J188" t="e">
        <f>IF(INDEX(DATOS3!$1:$19397,A188,MATCH("Dose_RP_Total",DATOS3!$1:$1,0))=0,0,INDEX(DATOS3!$1:$19397,A188,MATCH("Dose_RP_Total",DATOS3!$1:$1,0)))</f>
        <v>#N/A</v>
      </c>
      <c r="K188" t="e">
        <f>IF(INDEX(DATOS3!$1:$19397,A188,MATCH("Total_Fluoro_Time",DATOS3!$1:$1,0))=0,0,INDEX(DATOS3!$1:$19397,A188,MATCH("Total_Fluoro_Time",DATOS3!$1:$1,0)))</f>
        <v>#N/A</v>
      </c>
      <c r="L188" t="e">
        <f>IF(INDEX(DATOS3!$1:$19397,A188,MATCH("Total_Acquisition_Time",DATOS3!$1:$1,0))=0,0,INDEX(DATOS3!$1:$19397,A188,MATCH("Total_Acquisition_Time",DATOS3!$1:$1,0)))</f>
        <v>#N/A</v>
      </c>
    </row>
    <row r="189" spans="1:12" x14ac:dyDescent="0.25">
      <c r="A189">
        <v>189</v>
      </c>
      <c r="B189" t="e">
        <f t="shared" si="2"/>
        <v>#N/A</v>
      </c>
      <c r="D189" t="e">
        <f>IF(INDEX(DATOS3!$1:$19397,A189,MATCH("PatientID",DATOS3!$1:$1,0))=0,"",INDEX(DATOS3!$1:$19397,A189,MATCH("PatientID",DATOS3!$1:$1,0)))</f>
        <v>#N/A</v>
      </c>
      <c r="F189" t="e">
        <f>IF(INDEX(DATOS3!$1:$19397,A189,MATCH("SeriesDate",DATOS3!$1:$1,0))=0,"",INDEX(DATOS3!$1:$19397,A189,MATCH("SeriesDate",DATOS3!$1:$1,0)))</f>
        <v>#N/A</v>
      </c>
      <c r="G189" t="e">
        <f>IF(INDEX(DATOS3!$1:$19397,A189,MATCH("SeriesTime",DATOS3!$1:$1,0))=0,"",INDEX(DATOS3!$1:$19397,A189,MATCH("SeriesTime",DATOS3!$1:$1,0)))</f>
        <v>#N/A</v>
      </c>
      <c r="H189" t="e">
        <f>IF(INDEX(DATOS3!$1:$19397,A189,MATCH("StudyDescription",DATOS3!$1:$1,0))=0,"",INDEX(DATOS3!$1:$19397,A189,MATCH("StudyDescription",DATOS3!$1:$1,0)))</f>
        <v>#N/A</v>
      </c>
      <c r="I189" t="e">
        <f>IF(INDEX(DATOS3!$1:$19397,A189,MATCH("Dose_Area_Product_Total",DATOS3!$1:$1,0))=0,0,INDEX(DATOS3!$1:$19397,A189,MATCH("Dose_Area_Product_Total",DATOS3!$1:$1,0)))</f>
        <v>#N/A</v>
      </c>
      <c r="J189" t="e">
        <f>IF(INDEX(DATOS3!$1:$19397,A189,MATCH("Dose_RP_Total",DATOS3!$1:$1,0))=0,0,INDEX(DATOS3!$1:$19397,A189,MATCH("Dose_RP_Total",DATOS3!$1:$1,0)))</f>
        <v>#N/A</v>
      </c>
      <c r="K189" t="e">
        <f>IF(INDEX(DATOS3!$1:$19397,A189,MATCH("Total_Fluoro_Time",DATOS3!$1:$1,0))=0,0,INDEX(DATOS3!$1:$19397,A189,MATCH("Total_Fluoro_Time",DATOS3!$1:$1,0)))</f>
        <v>#N/A</v>
      </c>
      <c r="L189" t="e">
        <f>IF(INDEX(DATOS3!$1:$19397,A189,MATCH("Total_Acquisition_Time",DATOS3!$1:$1,0))=0,0,INDEX(DATOS3!$1:$19397,A189,MATCH("Total_Acquisition_Time",DATOS3!$1:$1,0)))</f>
        <v>#N/A</v>
      </c>
    </row>
    <row r="190" spans="1:12" x14ac:dyDescent="0.25">
      <c r="A190">
        <v>190</v>
      </c>
      <c r="B190" t="e">
        <f t="shared" si="2"/>
        <v>#N/A</v>
      </c>
      <c r="D190" t="e">
        <f>IF(INDEX(DATOS3!$1:$19397,A190,MATCH("PatientID",DATOS3!$1:$1,0))=0,"",INDEX(DATOS3!$1:$19397,A190,MATCH("PatientID",DATOS3!$1:$1,0)))</f>
        <v>#N/A</v>
      </c>
      <c r="F190" t="e">
        <f>IF(INDEX(DATOS3!$1:$19397,A190,MATCH("SeriesDate",DATOS3!$1:$1,0))=0,"",INDEX(DATOS3!$1:$19397,A190,MATCH("SeriesDate",DATOS3!$1:$1,0)))</f>
        <v>#N/A</v>
      </c>
      <c r="G190" t="e">
        <f>IF(INDEX(DATOS3!$1:$19397,A190,MATCH("SeriesTime",DATOS3!$1:$1,0))=0,"",INDEX(DATOS3!$1:$19397,A190,MATCH("SeriesTime",DATOS3!$1:$1,0)))</f>
        <v>#N/A</v>
      </c>
      <c r="H190" t="e">
        <f>IF(INDEX(DATOS3!$1:$19397,A190,MATCH("StudyDescription",DATOS3!$1:$1,0))=0,"",INDEX(DATOS3!$1:$19397,A190,MATCH("StudyDescription",DATOS3!$1:$1,0)))</f>
        <v>#N/A</v>
      </c>
      <c r="I190" t="e">
        <f>IF(INDEX(DATOS3!$1:$19397,A190,MATCH("Dose_Area_Product_Total",DATOS3!$1:$1,0))=0,0,INDEX(DATOS3!$1:$19397,A190,MATCH("Dose_Area_Product_Total",DATOS3!$1:$1,0)))</f>
        <v>#N/A</v>
      </c>
      <c r="J190" t="e">
        <f>IF(INDEX(DATOS3!$1:$19397,A190,MATCH("Dose_RP_Total",DATOS3!$1:$1,0))=0,0,INDEX(DATOS3!$1:$19397,A190,MATCH("Dose_RP_Total",DATOS3!$1:$1,0)))</f>
        <v>#N/A</v>
      </c>
      <c r="K190" t="e">
        <f>IF(INDEX(DATOS3!$1:$19397,A190,MATCH("Total_Fluoro_Time",DATOS3!$1:$1,0))=0,0,INDEX(DATOS3!$1:$19397,A190,MATCH("Total_Fluoro_Time",DATOS3!$1:$1,0)))</f>
        <v>#N/A</v>
      </c>
      <c r="L190" t="e">
        <f>IF(INDEX(DATOS3!$1:$19397,A190,MATCH("Total_Acquisition_Time",DATOS3!$1:$1,0))=0,0,INDEX(DATOS3!$1:$19397,A190,MATCH("Total_Acquisition_Time",DATOS3!$1:$1,0)))</f>
        <v>#N/A</v>
      </c>
    </row>
    <row r="191" spans="1:12" x14ac:dyDescent="0.25">
      <c r="A191">
        <v>191</v>
      </c>
      <c r="B191" t="e">
        <f t="shared" si="2"/>
        <v>#N/A</v>
      </c>
      <c r="D191" t="e">
        <f>IF(INDEX(DATOS3!$1:$19397,A191,MATCH("PatientID",DATOS3!$1:$1,0))=0,"",INDEX(DATOS3!$1:$19397,A191,MATCH("PatientID",DATOS3!$1:$1,0)))</f>
        <v>#N/A</v>
      </c>
      <c r="F191" t="e">
        <f>IF(INDEX(DATOS3!$1:$19397,A191,MATCH("SeriesDate",DATOS3!$1:$1,0))=0,"",INDEX(DATOS3!$1:$19397,A191,MATCH("SeriesDate",DATOS3!$1:$1,0)))</f>
        <v>#N/A</v>
      </c>
      <c r="G191" t="e">
        <f>IF(INDEX(DATOS3!$1:$19397,A191,MATCH("SeriesTime",DATOS3!$1:$1,0))=0,"",INDEX(DATOS3!$1:$19397,A191,MATCH("SeriesTime",DATOS3!$1:$1,0)))</f>
        <v>#N/A</v>
      </c>
      <c r="H191" t="e">
        <f>IF(INDEX(DATOS3!$1:$19397,A191,MATCH("StudyDescription",DATOS3!$1:$1,0))=0,"",INDEX(DATOS3!$1:$19397,A191,MATCH("StudyDescription",DATOS3!$1:$1,0)))</f>
        <v>#N/A</v>
      </c>
      <c r="I191" t="e">
        <f>IF(INDEX(DATOS3!$1:$19397,A191,MATCH("Dose_Area_Product_Total",DATOS3!$1:$1,0))=0,0,INDEX(DATOS3!$1:$19397,A191,MATCH("Dose_Area_Product_Total",DATOS3!$1:$1,0)))</f>
        <v>#N/A</v>
      </c>
      <c r="J191" t="e">
        <f>IF(INDEX(DATOS3!$1:$19397,A191,MATCH("Dose_RP_Total",DATOS3!$1:$1,0))=0,0,INDEX(DATOS3!$1:$19397,A191,MATCH("Dose_RP_Total",DATOS3!$1:$1,0)))</f>
        <v>#N/A</v>
      </c>
      <c r="K191" t="e">
        <f>IF(INDEX(DATOS3!$1:$19397,A191,MATCH("Total_Fluoro_Time",DATOS3!$1:$1,0))=0,0,INDEX(DATOS3!$1:$19397,A191,MATCH("Total_Fluoro_Time",DATOS3!$1:$1,0)))</f>
        <v>#N/A</v>
      </c>
      <c r="L191" t="e">
        <f>IF(INDEX(DATOS3!$1:$19397,A191,MATCH("Total_Acquisition_Time",DATOS3!$1:$1,0))=0,0,INDEX(DATOS3!$1:$19397,A191,MATCH("Total_Acquisition_Time",DATOS3!$1:$1,0)))</f>
        <v>#N/A</v>
      </c>
    </row>
    <row r="192" spans="1:12" x14ac:dyDescent="0.25">
      <c r="A192">
        <v>192</v>
      </c>
      <c r="B192" t="e">
        <f t="shared" si="2"/>
        <v>#N/A</v>
      </c>
      <c r="D192" t="e">
        <f>IF(INDEX(DATOS3!$1:$19397,A192,MATCH("PatientID",DATOS3!$1:$1,0))=0,"",INDEX(DATOS3!$1:$19397,A192,MATCH("PatientID",DATOS3!$1:$1,0)))</f>
        <v>#N/A</v>
      </c>
      <c r="F192" t="e">
        <f>IF(INDEX(DATOS3!$1:$19397,A192,MATCH("SeriesDate",DATOS3!$1:$1,0))=0,"",INDEX(DATOS3!$1:$19397,A192,MATCH("SeriesDate",DATOS3!$1:$1,0)))</f>
        <v>#N/A</v>
      </c>
      <c r="G192" t="e">
        <f>IF(INDEX(DATOS3!$1:$19397,A192,MATCH("SeriesTime",DATOS3!$1:$1,0))=0,"",INDEX(DATOS3!$1:$19397,A192,MATCH("SeriesTime",DATOS3!$1:$1,0)))</f>
        <v>#N/A</v>
      </c>
      <c r="H192" t="e">
        <f>IF(INDEX(DATOS3!$1:$19397,A192,MATCH("StudyDescription",DATOS3!$1:$1,0))=0,"",INDEX(DATOS3!$1:$19397,A192,MATCH("StudyDescription",DATOS3!$1:$1,0)))</f>
        <v>#N/A</v>
      </c>
      <c r="I192" t="e">
        <f>IF(INDEX(DATOS3!$1:$19397,A192,MATCH("Dose_Area_Product_Total",DATOS3!$1:$1,0))=0,0,INDEX(DATOS3!$1:$19397,A192,MATCH("Dose_Area_Product_Total",DATOS3!$1:$1,0)))</f>
        <v>#N/A</v>
      </c>
      <c r="J192" t="e">
        <f>IF(INDEX(DATOS3!$1:$19397,A192,MATCH("Dose_RP_Total",DATOS3!$1:$1,0))=0,0,INDEX(DATOS3!$1:$19397,A192,MATCH("Dose_RP_Total",DATOS3!$1:$1,0)))</f>
        <v>#N/A</v>
      </c>
      <c r="K192" t="e">
        <f>IF(INDEX(DATOS3!$1:$19397,A192,MATCH("Total_Fluoro_Time",DATOS3!$1:$1,0))=0,0,INDEX(DATOS3!$1:$19397,A192,MATCH("Total_Fluoro_Time",DATOS3!$1:$1,0)))</f>
        <v>#N/A</v>
      </c>
      <c r="L192" t="e">
        <f>IF(INDEX(DATOS3!$1:$19397,A192,MATCH("Total_Acquisition_Time",DATOS3!$1:$1,0))=0,0,INDEX(DATOS3!$1:$19397,A192,MATCH("Total_Acquisition_Time",DATOS3!$1:$1,0)))</f>
        <v>#N/A</v>
      </c>
    </row>
    <row r="193" spans="1:12" x14ac:dyDescent="0.25">
      <c r="A193">
        <v>193</v>
      </c>
      <c r="B193" t="e">
        <f t="shared" si="2"/>
        <v>#N/A</v>
      </c>
      <c r="D193" t="e">
        <f>IF(INDEX(DATOS3!$1:$19397,A193,MATCH("PatientID",DATOS3!$1:$1,0))=0,"",INDEX(DATOS3!$1:$19397,A193,MATCH("PatientID",DATOS3!$1:$1,0)))</f>
        <v>#N/A</v>
      </c>
      <c r="F193" t="e">
        <f>IF(INDEX(DATOS3!$1:$19397,A193,MATCH("SeriesDate",DATOS3!$1:$1,0))=0,"",INDEX(DATOS3!$1:$19397,A193,MATCH("SeriesDate",DATOS3!$1:$1,0)))</f>
        <v>#N/A</v>
      </c>
      <c r="G193" t="e">
        <f>IF(INDEX(DATOS3!$1:$19397,A193,MATCH("SeriesTime",DATOS3!$1:$1,0))=0,"",INDEX(DATOS3!$1:$19397,A193,MATCH("SeriesTime",DATOS3!$1:$1,0)))</f>
        <v>#N/A</v>
      </c>
      <c r="H193" t="e">
        <f>IF(INDEX(DATOS3!$1:$19397,A193,MATCH("StudyDescription",DATOS3!$1:$1,0))=0,"",INDEX(DATOS3!$1:$19397,A193,MATCH("StudyDescription",DATOS3!$1:$1,0)))</f>
        <v>#N/A</v>
      </c>
      <c r="I193" t="e">
        <f>IF(INDEX(DATOS3!$1:$19397,A193,MATCH("Dose_Area_Product_Total",DATOS3!$1:$1,0))=0,0,INDEX(DATOS3!$1:$19397,A193,MATCH("Dose_Area_Product_Total",DATOS3!$1:$1,0)))</f>
        <v>#N/A</v>
      </c>
      <c r="J193" t="e">
        <f>IF(INDEX(DATOS3!$1:$19397,A193,MATCH("Dose_RP_Total",DATOS3!$1:$1,0))=0,0,INDEX(DATOS3!$1:$19397,A193,MATCH("Dose_RP_Total",DATOS3!$1:$1,0)))</f>
        <v>#N/A</v>
      </c>
      <c r="K193" t="e">
        <f>IF(INDEX(DATOS3!$1:$19397,A193,MATCH("Total_Fluoro_Time",DATOS3!$1:$1,0))=0,0,INDEX(DATOS3!$1:$19397,A193,MATCH("Total_Fluoro_Time",DATOS3!$1:$1,0)))</f>
        <v>#N/A</v>
      </c>
      <c r="L193" t="e">
        <f>IF(INDEX(DATOS3!$1:$19397,A193,MATCH("Total_Acquisition_Time",DATOS3!$1:$1,0))=0,0,INDEX(DATOS3!$1:$19397,A193,MATCH("Total_Acquisition_Time",DATOS3!$1:$1,0)))</f>
        <v>#N/A</v>
      </c>
    </row>
    <row r="194" spans="1:12" x14ac:dyDescent="0.25">
      <c r="A194">
        <v>194</v>
      </c>
      <c r="B194" t="e">
        <f t="shared" si="2"/>
        <v>#N/A</v>
      </c>
      <c r="D194" t="e">
        <f>IF(INDEX(DATOS3!$1:$19397,A194,MATCH("PatientID",DATOS3!$1:$1,0))=0,"",INDEX(DATOS3!$1:$19397,A194,MATCH("PatientID",DATOS3!$1:$1,0)))</f>
        <v>#N/A</v>
      </c>
      <c r="F194" t="e">
        <f>IF(INDEX(DATOS3!$1:$19397,A194,MATCH("SeriesDate",DATOS3!$1:$1,0))=0,"",INDEX(DATOS3!$1:$19397,A194,MATCH("SeriesDate",DATOS3!$1:$1,0)))</f>
        <v>#N/A</v>
      </c>
      <c r="G194" t="e">
        <f>IF(INDEX(DATOS3!$1:$19397,A194,MATCH("SeriesTime",DATOS3!$1:$1,0))=0,"",INDEX(DATOS3!$1:$19397,A194,MATCH("SeriesTime",DATOS3!$1:$1,0)))</f>
        <v>#N/A</v>
      </c>
      <c r="H194" t="e">
        <f>IF(INDEX(DATOS3!$1:$19397,A194,MATCH("StudyDescription",DATOS3!$1:$1,0))=0,"",INDEX(DATOS3!$1:$19397,A194,MATCH("StudyDescription",DATOS3!$1:$1,0)))</f>
        <v>#N/A</v>
      </c>
      <c r="I194" t="e">
        <f>IF(INDEX(DATOS3!$1:$19397,A194,MATCH("Dose_Area_Product_Total",DATOS3!$1:$1,0))=0,0,INDEX(DATOS3!$1:$19397,A194,MATCH("Dose_Area_Product_Total",DATOS3!$1:$1,0)))</f>
        <v>#N/A</v>
      </c>
      <c r="J194" t="e">
        <f>IF(INDEX(DATOS3!$1:$19397,A194,MATCH("Dose_RP_Total",DATOS3!$1:$1,0))=0,0,INDEX(DATOS3!$1:$19397,A194,MATCH("Dose_RP_Total",DATOS3!$1:$1,0)))</f>
        <v>#N/A</v>
      </c>
      <c r="K194" t="e">
        <f>IF(INDEX(DATOS3!$1:$19397,A194,MATCH("Total_Fluoro_Time",DATOS3!$1:$1,0))=0,0,INDEX(DATOS3!$1:$19397,A194,MATCH("Total_Fluoro_Time",DATOS3!$1:$1,0)))</f>
        <v>#N/A</v>
      </c>
      <c r="L194" t="e">
        <f>IF(INDEX(DATOS3!$1:$19397,A194,MATCH("Total_Acquisition_Time",DATOS3!$1:$1,0))=0,0,INDEX(DATOS3!$1:$19397,A194,MATCH("Total_Acquisition_Time",DATOS3!$1:$1,0)))</f>
        <v>#N/A</v>
      </c>
    </row>
    <row r="195" spans="1:12" x14ac:dyDescent="0.25">
      <c r="A195">
        <v>195</v>
      </c>
      <c r="B195" t="e">
        <f t="shared" ref="B195:B258" si="3">IF(D195="","","HIBRIDO")</f>
        <v>#N/A</v>
      </c>
      <c r="D195" t="e">
        <f>IF(INDEX(DATOS3!$1:$19397,A195,MATCH("PatientID",DATOS3!$1:$1,0))=0,"",INDEX(DATOS3!$1:$19397,A195,MATCH("PatientID",DATOS3!$1:$1,0)))</f>
        <v>#N/A</v>
      </c>
      <c r="F195" t="e">
        <f>IF(INDEX(DATOS3!$1:$19397,A195,MATCH("SeriesDate",DATOS3!$1:$1,0))=0,"",INDEX(DATOS3!$1:$19397,A195,MATCH("SeriesDate",DATOS3!$1:$1,0)))</f>
        <v>#N/A</v>
      </c>
      <c r="G195" t="e">
        <f>IF(INDEX(DATOS3!$1:$19397,A195,MATCH("SeriesTime",DATOS3!$1:$1,0))=0,"",INDEX(DATOS3!$1:$19397,A195,MATCH("SeriesTime",DATOS3!$1:$1,0)))</f>
        <v>#N/A</v>
      </c>
      <c r="H195" t="e">
        <f>IF(INDEX(DATOS3!$1:$19397,A195,MATCH("StudyDescription",DATOS3!$1:$1,0))=0,"",INDEX(DATOS3!$1:$19397,A195,MATCH("StudyDescription",DATOS3!$1:$1,0)))</f>
        <v>#N/A</v>
      </c>
      <c r="I195" t="e">
        <f>IF(INDEX(DATOS3!$1:$19397,A195,MATCH("Dose_Area_Product_Total",DATOS3!$1:$1,0))=0,0,INDEX(DATOS3!$1:$19397,A195,MATCH("Dose_Area_Product_Total",DATOS3!$1:$1,0)))</f>
        <v>#N/A</v>
      </c>
      <c r="J195" t="e">
        <f>IF(INDEX(DATOS3!$1:$19397,A195,MATCH("Dose_RP_Total",DATOS3!$1:$1,0))=0,0,INDEX(DATOS3!$1:$19397,A195,MATCH("Dose_RP_Total",DATOS3!$1:$1,0)))</f>
        <v>#N/A</v>
      </c>
      <c r="K195" t="e">
        <f>IF(INDEX(DATOS3!$1:$19397,A195,MATCH("Total_Fluoro_Time",DATOS3!$1:$1,0))=0,0,INDEX(DATOS3!$1:$19397,A195,MATCH("Total_Fluoro_Time",DATOS3!$1:$1,0)))</f>
        <v>#N/A</v>
      </c>
      <c r="L195" t="e">
        <f>IF(INDEX(DATOS3!$1:$19397,A195,MATCH("Total_Acquisition_Time",DATOS3!$1:$1,0))=0,0,INDEX(DATOS3!$1:$19397,A195,MATCH("Total_Acquisition_Time",DATOS3!$1:$1,0)))</f>
        <v>#N/A</v>
      </c>
    </row>
    <row r="196" spans="1:12" x14ac:dyDescent="0.25">
      <c r="A196">
        <v>196</v>
      </c>
      <c r="B196" t="e">
        <f t="shared" si="3"/>
        <v>#N/A</v>
      </c>
      <c r="D196" t="e">
        <f>IF(INDEX(DATOS3!$1:$19397,A196,MATCH("PatientID",DATOS3!$1:$1,0))=0,"",INDEX(DATOS3!$1:$19397,A196,MATCH("PatientID",DATOS3!$1:$1,0)))</f>
        <v>#N/A</v>
      </c>
      <c r="F196" t="e">
        <f>IF(INDEX(DATOS3!$1:$19397,A196,MATCH("SeriesDate",DATOS3!$1:$1,0))=0,"",INDEX(DATOS3!$1:$19397,A196,MATCH("SeriesDate",DATOS3!$1:$1,0)))</f>
        <v>#N/A</v>
      </c>
      <c r="G196" t="e">
        <f>IF(INDEX(DATOS3!$1:$19397,A196,MATCH("SeriesTime",DATOS3!$1:$1,0))=0,"",INDEX(DATOS3!$1:$19397,A196,MATCH("SeriesTime",DATOS3!$1:$1,0)))</f>
        <v>#N/A</v>
      </c>
      <c r="H196" t="e">
        <f>IF(INDEX(DATOS3!$1:$19397,A196,MATCH("StudyDescription",DATOS3!$1:$1,0))=0,"",INDEX(DATOS3!$1:$19397,A196,MATCH("StudyDescription",DATOS3!$1:$1,0)))</f>
        <v>#N/A</v>
      </c>
      <c r="I196" t="e">
        <f>IF(INDEX(DATOS3!$1:$19397,A196,MATCH("Dose_Area_Product_Total",DATOS3!$1:$1,0))=0,0,INDEX(DATOS3!$1:$19397,A196,MATCH("Dose_Area_Product_Total",DATOS3!$1:$1,0)))</f>
        <v>#N/A</v>
      </c>
      <c r="J196" t="e">
        <f>IF(INDEX(DATOS3!$1:$19397,A196,MATCH("Dose_RP_Total",DATOS3!$1:$1,0))=0,0,INDEX(DATOS3!$1:$19397,A196,MATCH("Dose_RP_Total",DATOS3!$1:$1,0)))</f>
        <v>#N/A</v>
      </c>
      <c r="K196" t="e">
        <f>IF(INDEX(DATOS3!$1:$19397,A196,MATCH("Total_Fluoro_Time",DATOS3!$1:$1,0))=0,0,INDEX(DATOS3!$1:$19397,A196,MATCH("Total_Fluoro_Time",DATOS3!$1:$1,0)))</f>
        <v>#N/A</v>
      </c>
      <c r="L196" t="e">
        <f>IF(INDEX(DATOS3!$1:$19397,A196,MATCH("Total_Acquisition_Time",DATOS3!$1:$1,0))=0,0,INDEX(DATOS3!$1:$19397,A196,MATCH("Total_Acquisition_Time",DATOS3!$1:$1,0)))</f>
        <v>#N/A</v>
      </c>
    </row>
    <row r="197" spans="1:12" x14ac:dyDescent="0.25">
      <c r="A197">
        <v>197</v>
      </c>
      <c r="B197" t="e">
        <f t="shared" si="3"/>
        <v>#N/A</v>
      </c>
      <c r="D197" t="e">
        <f>IF(INDEX(DATOS3!$1:$19397,A197,MATCH("PatientID",DATOS3!$1:$1,0))=0,"",INDEX(DATOS3!$1:$19397,A197,MATCH("PatientID",DATOS3!$1:$1,0)))</f>
        <v>#N/A</v>
      </c>
      <c r="F197" t="e">
        <f>IF(INDEX(DATOS3!$1:$19397,A197,MATCH("SeriesDate",DATOS3!$1:$1,0))=0,"",INDEX(DATOS3!$1:$19397,A197,MATCH("SeriesDate",DATOS3!$1:$1,0)))</f>
        <v>#N/A</v>
      </c>
      <c r="G197" t="e">
        <f>IF(INDEX(DATOS3!$1:$19397,A197,MATCH("SeriesTime",DATOS3!$1:$1,0))=0,"",INDEX(DATOS3!$1:$19397,A197,MATCH("SeriesTime",DATOS3!$1:$1,0)))</f>
        <v>#N/A</v>
      </c>
      <c r="H197" t="e">
        <f>IF(INDEX(DATOS3!$1:$19397,A197,MATCH("StudyDescription",DATOS3!$1:$1,0))=0,"",INDEX(DATOS3!$1:$19397,A197,MATCH("StudyDescription",DATOS3!$1:$1,0)))</f>
        <v>#N/A</v>
      </c>
      <c r="I197" t="e">
        <f>IF(INDEX(DATOS3!$1:$19397,A197,MATCH("Dose_Area_Product_Total",DATOS3!$1:$1,0))=0,0,INDEX(DATOS3!$1:$19397,A197,MATCH("Dose_Area_Product_Total",DATOS3!$1:$1,0)))</f>
        <v>#N/A</v>
      </c>
      <c r="J197" t="e">
        <f>IF(INDEX(DATOS3!$1:$19397,A197,MATCH("Dose_RP_Total",DATOS3!$1:$1,0))=0,0,INDEX(DATOS3!$1:$19397,A197,MATCH("Dose_RP_Total",DATOS3!$1:$1,0)))</f>
        <v>#N/A</v>
      </c>
      <c r="K197" t="e">
        <f>IF(INDEX(DATOS3!$1:$19397,A197,MATCH("Total_Fluoro_Time",DATOS3!$1:$1,0))=0,0,INDEX(DATOS3!$1:$19397,A197,MATCH("Total_Fluoro_Time",DATOS3!$1:$1,0)))</f>
        <v>#N/A</v>
      </c>
      <c r="L197" t="e">
        <f>IF(INDEX(DATOS3!$1:$19397,A197,MATCH("Total_Acquisition_Time",DATOS3!$1:$1,0))=0,0,INDEX(DATOS3!$1:$19397,A197,MATCH("Total_Acquisition_Time",DATOS3!$1:$1,0)))</f>
        <v>#N/A</v>
      </c>
    </row>
    <row r="198" spans="1:12" x14ac:dyDescent="0.25">
      <c r="A198">
        <v>198</v>
      </c>
      <c r="B198" t="e">
        <f t="shared" si="3"/>
        <v>#N/A</v>
      </c>
      <c r="D198" t="e">
        <f>IF(INDEX(DATOS3!$1:$19397,A198,MATCH("PatientID",DATOS3!$1:$1,0))=0,"",INDEX(DATOS3!$1:$19397,A198,MATCH("PatientID",DATOS3!$1:$1,0)))</f>
        <v>#N/A</v>
      </c>
      <c r="F198" t="e">
        <f>IF(INDEX(DATOS3!$1:$19397,A198,MATCH("SeriesDate",DATOS3!$1:$1,0))=0,"",INDEX(DATOS3!$1:$19397,A198,MATCH("SeriesDate",DATOS3!$1:$1,0)))</f>
        <v>#N/A</v>
      </c>
      <c r="G198" t="e">
        <f>IF(INDEX(DATOS3!$1:$19397,A198,MATCH("SeriesTime",DATOS3!$1:$1,0))=0,"",INDEX(DATOS3!$1:$19397,A198,MATCH("SeriesTime",DATOS3!$1:$1,0)))</f>
        <v>#N/A</v>
      </c>
      <c r="H198" t="e">
        <f>IF(INDEX(DATOS3!$1:$19397,A198,MATCH("StudyDescription",DATOS3!$1:$1,0))=0,"",INDEX(DATOS3!$1:$19397,A198,MATCH("StudyDescription",DATOS3!$1:$1,0)))</f>
        <v>#N/A</v>
      </c>
      <c r="I198" t="e">
        <f>IF(INDEX(DATOS3!$1:$19397,A198,MATCH("Dose_Area_Product_Total",DATOS3!$1:$1,0))=0,0,INDEX(DATOS3!$1:$19397,A198,MATCH("Dose_Area_Product_Total",DATOS3!$1:$1,0)))</f>
        <v>#N/A</v>
      </c>
      <c r="J198" t="e">
        <f>IF(INDEX(DATOS3!$1:$19397,A198,MATCH("Dose_RP_Total",DATOS3!$1:$1,0))=0,0,INDEX(DATOS3!$1:$19397,A198,MATCH("Dose_RP_Total",DATOS3!$1:$1,0)))</f>
        <v>#N/A</v>
      </c>
      <c r="K198" t="e">
        <f>IF(INDEX(DATOS3!$1:$19397,A198,MATCH("Total_Fluoro_Time",DATOS3!$1:$1,0))=0,0,INDEX(DATOS3!$1:$19397,A198,MATCH("Total_Fluoro_Time",DATOS3!$1:$1,0)))</f>
        <v>#N/A</v>
      </c>
      <c r="L198" t="e">
        <f>IF(INDEX(DATOS3!$1:$19397,A198,MATCH("Total_Acquisition_Time",DATOS3!$1:$1,0))=0,0,INDEX(DATOS3!$1:$19397,A198,MATCH("Total_Acquisition_Time",DATOS3!$1:$1,0)))</f>
        <v>#N/A</v>
      </c>
    </row>
    <row r="199" spans="1:12" x14ac:dyDescent="0.25">
      <c r="A199">
        <v>199</v>
      </c>
      <c r="B199" t="e">
        <f t="shared" si="3"/>
        <v>#N/A</v>
      </c>
      <c r="D199" t="e">
        <f>IF(INDEX(DATOS3!$1:$19397,A199,MATCH("PatientID",DATOS3!$1:$1,0))=0,"",INDEX(DATOS3!$1:$19397,A199,MATCH("PatientID",DATOS3!$1:$1,0)))</f>
        <v>#N/A</v>
      </c>
      <c r="F199" t="e">
        <f>IF(INDEX(DATOS3!$1:$19397,A199,MATCH("SeriesDate",DATOS3!$1:$1,0))=0,"",INDEX(DATOS3!$1:$19397,A199,MATCH("SeriesDate",DATOS3!$1:$1,0)))</f>
        <v>#N/A</v>
      </c>
      <c r="G199" t="e">
        <f>IF(INDEX(DATOS3!$1:$19397,A199,MATCH("SeriesTime",DATOS3!$1:$1,0))=0,"",INDEX(DATOS3!$1:$19397,A199,MATCH("SeriesTime",DATOS3!$1:$1,0)))</f>
        <v>#N/A</v>
      </c>
      <c r="H199" t="e">
        <f>IF(INDEX(DATOS3!$1:$19397,A199,MATCH("StudyDescription",DATOS3!$1:$1,0))=0,"",INDEX(DATOS3!$1:$19397,A199,MATCH("StudyDescription",DATOS3!$1:$1,0)))</f>
        <v>#N/A</v>
      </c>
      <c r="I199" t="e">
        <f>IF(INDEX(DATOS3!$1:$19397,A199,MATCH("Dose_Area_Product_Total",DATOS3!$1:$1,0))=0,0,INDEX(DATOS3!$1:$19397,A199,MATCH("Dose_Area_Product_Total",DATOS3!$1:$1,0)))</f>
        <v>#N/A</v>
      </c>
      <c r="J199" t="e">
        <f>IF(INDEX(DATOS3!$1:$19397,A199,MATCH("Dose_RP_Total",DATOS3!$1:$1,0))=0,0,INDEX(DATOS3!$1:$19397,A199,MATCH("Dose_RP_Total",DATOS3!$1:$1,0)))</f>
        <v>#N/A</v>
      </c>
      <c r="K199" t="e">
        <f>IF(INDEX(DATOS3!$1:$19397,A199,MATCH("Total_Fluoro_Time",DATOS3!$1:$1,0))=0,0,INDEX(DATOS3!$1:$19397,A199,MATCH("Total_Fluoro_Time",DATOS3!$1:$1,0)))</f>
        <v>#N/A</v>
      </c>
      <c r="L199" t="e">
        <f>IF(INDEX(DATOS3!$1:$19397,A199,MATCH("Total_Acquisition_Time",DATOS3!$1:$1,0))=0,0,INDEX(DATOS3!$1:$19397,A199,MATCH("Total_Acquisition_Time",DATOS3!$1:$1,0)))</f>
        <v>#N/A</v>
      </c>
    </row>
    <row r="200" spans="1:12" x14ac:dyDescent="0.25">
      <c r="A200">
        <v>200</v>
      </c>
      <c r="B200" t="e">
        <f t="shared" si="3"/>
        <v>#N/A</v>
      </c>
      <c r="D200" t="e">
        <f>IF(INDEX(DATOS3!$1:$19397,A200,MATCH("PatientID",DATOS3!$1:$1,0))=0,"",INDEX(DATOS3!$1:$19397,A200,MATCH("PatientID",DATOS3!$1:$1,0)))</f>
        <v>#N/A</v>
      </c>
      <c r="F200" t="e">
        <f>IF(INDEX(DATOS3!$1:$19397,A200,MATCH("SeriesDate",DATOS3!$1:$1,0))=0,"",INDEX(DATOS3!$1:$19397,A200,MATCH("SeriesDate",DATOS3!$1:$1,0)))</f>
        <v>#N/A</v>
      </c>
      <c r="G200" t="e">
        <f>IF(INDEX(DATOS3!$1:$19397,A200,MATCH("SeriesTime",DATOS3!$1:$1,0))=0,"",INDEX(DATOS3!$1:$19397,A200,MATCH("SeriesTime",DATOS3!$1:$1,0)))</f>
        <v>#N/A</v>
      </c>
      <c r="H200" t="e">
        <f>IF(INDEX(DATOS3!$1:$19397,A200,MATCH("StudyDescription",DATOS3!$1:$1,0))=0,"",INDEX(DATOS3!$1:$19397,A200,MATCH("StudyDescription",DATOS3!$1:$1,0)))</f>
        <v>#N/A</v>
      </c>
      <c r="I200" t="e">
        <f>IF(INDEX(DATOS3!$1:$19397,A200,MATCH("Dose_Area_Product_Total",DATOS3!$1:$1,0))=0,0,INDEX(DATOS3!$1:$19397,A200,MATCH("Dose_Area_Product_Total",DATOS3!$1:$1,0)))</f>
        <v>#N/A</v>
      </c>
      <c r="J200" t="e">
        <f>IF(INDEX(DATOS3!$1:$19397,A200,MATCH("Dose_RP_Total",DATOS3!$1:$1,0))=0,0,INDEX(DATOS3!$1:$19397,A200,MATCH("Dose_RP_Total",DATOS3!$1:$1,0)))</f>
        <v>#N/A</v>
      </c>
      <c r="K200" t="e">
        <f>IF(INDEX(DATOS3!$1:$19397,A200,MATCH("Total_Fluoro_Time",DATOS3!$1:$1,0))=0,0,INDEX(DATOS3!$1:$19397,A200,MATCH("Total_Fluoro_Time",DATOS3!$1:$1,0)))</f>
        <v>#N/A</v>
      </c>
      <c r="L200" t="e">
        <f>IF(INDEX(DATOS3!$1:$19397,A200,MATCH("Total_Acquisition_Time",DATOS3!$1:$1,0))=0,0,INDEX(DATOS3!$1:$19397,A200,MATCH("Total_Acquisition_Time",DATOS3!$1:$1,0)))</f>
        <v>#N/A</v>
      </c>
    </row>
    <row r="201" spans="1:12" x14ac:dyDescent="0.25">
      <c r="A201">
        <v>201</v>
      </c>
      <c r="B201" t="e">
        <f t="shared" si="3"/>
        <v>#N/A</v>
      </c>
      <c r="D201" t="e">
        <f>IF(INDEX(DATOS3!$1:$19397,A201,MATCH("PatientID",DATOS3!$1:$1,0))=0,"",INDEX(DATOS3!$1:$19397,A201,MATCH("PatientID",DATOS3!$1:$1,0)))</f>
        <v>#N/A</v>
      </c>
      <c r="F201" t="e">
        <f>IF(INDEX(DATOS3!$1:$19397,A201,MATCH("SeriesDate",DATOS3!$1:$1,0))=0,"",INDEX(DATOS3!$1:$19397,A201,MATCH("SeriesDate",DATOS3!$1:$1,0)))</f>
        <v>#N/A</v>
      </c>
      <c r="G201" t="e">
        <f>IF(INDEX(DATOS3!$1:$19397,A201,MATCH("SeriesTime",DATOS3!$1:$1,0))=0,"",INDEX(DATOS3!$1:$19397,A201,MATCH("SeriesTime",DATOS3!$1:$1,0)))</f>
        <v>#N/A</v>
      </c>
      <c r="H201" t="e">
        <f>IF(INDEX(DATOS3!$1:$19397,A201,MATCH("StudyDescription",DATOS3!$1:$1,0))=0,"",INDEX(DATOS3!$1:$19397,A201,MATCH("StudyDescription",DATOS3!$1:$1,0)))</f>
        <v>#N/A</v>
      </c>
      <c r="I201" t="e">
        <f>IF(INDEX(DATOS3!$1:$19397,A201,MATCH("Dose_Area_Product_Total",DATOS3!$1:$1,0))=0,0,INDEX(DATOS3!$1:$19397,A201,MATCH("Dose_Area_Product_Total",DATOS3!$1:$1,0)))</f>
        <v>#N/A</v>
      </c>
      <c r="J201" t="e">
        <f>IF(INDEX(DATOS3!$1:$19397,A201,MATCH("Dose_RP_Total",DATOS3!$1:$1,0))=0,0,INDEX(DATOS3!$1:$19397,A201,MATCH("Dose_RP_Total",DATOS3!$1:$1,0)))</f>
        <v>#N/A</v>
      </c>
      <c r="K201" t="e">
        <f>IF(INDEX(DATOS3!$1:$19397,A201,MATCH("Total_Fluoro_Time",DATOS3!$1:$1,0))=0,0,INDEX(DATOS3!$1:$19397,A201,MATCH("Total_Fluoro_Time",DATOS3!$1:$1,0)))</f>
        <v>#N/A</v>
      </c>
      <c r="L201" t="e">
        <f>IF(INDEX(DATOS3!$1:$19397,A201,MATCH("Total_Acquisition_Time",DATOS3!$1:$1,0))=0,0,INDEX(DATOS3!$1:$19397,A201,MATCH("Total_Acquisition_Time",DATOS3!$1:$1,0)))</f>
        <v>#N/A</v>
      </c>
    </row>
    <row r="202" spans="1:12" x14ac:dyDescent="0.25">
      <c r="A202">
        <v>202</v>
      </c>
      <c r="B202" t="e">
        <f t="shared" si="3"/>
        <v>#N/A</v>
      </c>
      <c r="D202" t="e">
        <f>IF(INDEX(DATOS3!$1:$19397,A202,MATCH("PatientID",DATOS3!$1:$1,0))=0,"",INDEX(DATOS3!$1:$19397,A202,MATCH("PatientID",DATOS3!$1:$1,0)))</f>
        <v>#N/A</v>
      </c>
      <c r="F202" t="e">
        <f>IF(INDEX(DATOS3!$1:$19397,A202,MATCH("SeriesDate",DATOS3!$1:$1,0))=0,"",INDEX(DATOS3!$1:$19397,A202,MATCH("SeriesDate",DATOS3!$1:$1,0)))</f>
        <v>#N/A</v>
      </c>
      <c r="G202" t="e">
        <f>IF(INDEX(DATOS3!$1:$19397,A202,MATCH("SeriesTime",DATOS3!$1:$1,0))=0,"",INDEX(DATOS3!$1:$19397,A202,MATCH("SeriesTime",DATOS3!$1:$1,0)))</f>
        <v>#N/A</v>
      </c>
      <c r="H202" t="e">
        <f>IF(INDEX(DATOS3!$1:$19397,A202,MATCH("StudyDescription",DATOS3!$1:$1,0))=0,"",INDEX(DATOS3!$1:$19397,A202,MATCH("StudyDescription",DATOS3!$1:$1,0)))</f>
        <v>#N/A</v>
      </c>
      <c r="I202" t="e">
        <f>IF(INDEX(DATOS3!$1:$19397,A202,MATCH("Dose_Area_Product_Total",DATOS3!$1:$1,0))=0,0,INDEX(DATOS3!$1:$19397,A202,MATCH("Dose_Area_Product_Total",DATOS3!$1:$1,0)))</f>
        <v>#N/A</v>
      </c>
      <c r="J202" t="e">
        <f>IF(INDEX(DATOS3!$1:$19397,A202,MATCH("Dose_RP_Total",DATOS3!$1:$1,0))=0,0,INDEX(DATOS3!$1:$19397,A202,MATCH("Dose_RP_Total",DATOS3!$1:$1,0)))</f>
        <v>#N/A</v>
      </c>
      <c r="K202" t="e">
        <f>IF(INDEX(DATOS3!$1:$19397,A202,MATCH("Total_Fluoro_Time",DATOS3!$1:$1,0))=0,0,INDEX(DATOS3!$1:$19397,A202,MATCH("Total_Fluoro_Time",DATOS3!$1:$1,0)))</f>
        <v>#N/A</v>
      </c>
      <c r="L202" t="e">
        <f>IF(INDEX(DATOS3!$1:$19397,A202,MATCH("Total_Acquisition_Time",DATOS3!$1:$1,0))=0,0,INDEX(DATOS3!$1:$19397,A202,MATCH("Total_Acquisition_Time",DATOS3!$1:$1,0)))</f>
        <v>#N/A</v>
      </c>
    </row>
    <row r="203" spans="1:12" x14ac:dyDescent="0.25">
      <c r="A203">
        <v>203</v>
      </c>
      <c r="B203" t="e">
        <f t="shared" si="3"/>
        <v>#N/A</v>
      </c>
      <c r="D203" t="e">
        <f>IF(INDEX(DATOS3!$1:$19397,A203,MATCH("PatientID",DATOS3!$1:$1,0))=0,"",INDEX(DATOS3!$1:$19397,A203,MATCH("PatientID",DATOS3!$1:$1,0)))</f>
        <v>#N/A</v>
      </c>
      <c r="F203" t="e">
        <f>IF(INDEX(DATOS3!$1:$19397,A203,MATCH("SeriesDate",DATOS3!$1:$1,0))=0,"",INDEX(DATOS3!$1:$19397,A203,MATCH("SeriesDate",DATOS3!$1:$1,0)))</f>
        <v>#N/A</v>
      </c>
      <c r="G203" t="e">
        <f>IF(INDEX(DATOS3!$1:$19397,A203,MATCH("SeriesTime",DATOS3!$1:$1,0))=0,"",INDEX(DATOS3!$1:$19397,A203,MATCH("SeriesTime",DATOS3!$1:$1,0)))</f>
        <v>#N/A</v>
      </c>
      <c r="H203" t="e">
        <f>IF(INDEX(DATOS3!$1:$19397,A203,MATCH("StudyDescription",DATOS3!$1:$1,0))=0,"",INDEX(DATOS3!$1:$19397,A203,MATCH("StudyDescription",DATOS3!$1:$1,0)))</f>
        <v>#N/A</v>
      </c>
      <c r="I203" t="e">
        <f>IF(INDEX(DATOS3!$1:$19397,A203,MATCH("Dose_Area_Product_Total",DATOS3!$1:$1,0))=0,0,INDEX(DATOS3!$1:$19397,A203,MATCH("Dose_Area_Product_Total",DATOS3!$1:$1,0)))</f>
        <v>#N/A</v>
      </c>
      <c r="J203" t="e">
        <f>IF(INDEX(DATOS3!$1:$19397,A203,MATCH("Dose_RP_Total",DATOS3!$1:$1,0))=0,0,INDEX(DATOS3!$1:$19397,A203,MATCH("Dose_RP_Total",DATOS3!$1:$1,0)))</f>
        <v>#N/A</v>
      </c>
      <c r="K203" t="e">
        <f>IF(INDEX(DATOS3!$1:$19397,A203,MATCH("Total_Fluoro_Time",DATOS3!$1:$1,0))=0,0,INDEX(DATOS3!$1:$19397,A203,MATCH("Total_Fluoro_Time",DATOS3!$1:$1,0)))</f>
        <v>#N/A</v>
      </c>
      <c r="L203" t="e">
        <f>IF(INDEX(DATOS3!$1:$19397,A203,MATCH("Total_Acquisition_Time",DATOS3!$1:$1,0))=0,0,INDEX(DATOS3!$1:$19397,A203,MATCH("Total_Acquisition_Time",DATOS3!$1:$1,0)))</f>
        <v>#N/A</v>
      </c>
    </row>
    <row r="204" spans="1:12" x14ac:dyDescent="0.25">
      <c r="A204">
        <v>204</v>
      </c>
      <c r="B204" t="e">
        <f t="shared" si="3"/>
        <v>#N/A</v>
      </c>
      <c r="D204" t="e">
        <f>IF(INDEX(DATOS3!$1:$19397,A204,MATCH("PatientID",DATOS3!$1:$1,0))=0,"",INDEX(DATOS3!$1:$19397,A204,MATCH("PatientID",DATOS3!$1:$1,0)))</f>
        <v>#N/A</v>
      </c>
      <c r="F204" t="e">
        <f>IF(INDEX(DATOS3!$1:$19397,A204,MATCH("SeriesDate",DATOS3!$1:$1,0))=0,"",INDEX(DATOS3!$1:$19397,A204,MATCH("SeriesDate",DATOS3!$1:$1,0)))</f>
        <v>#N/A</v>
      </c>
      <c r="G204" t="e">
        <f>IF(INDEX(DATOS3!$1:$19397,A204,MATCH("SeriesTime",DATOS3!$1:$1,0))=0,"",INDEX(DATOS3!$1:$19397,A204,MATCH("SeriesTime",DATOS3!$1:$1,0)))</f>
        <v>#N/A</v>
      </c>
      <c r="H204" t="e">
        <f>IF(INDEX(DATOS3!$1:$19397,A204,MATCH("StudyDescription",DATOS3!$1:$1,0))=0,"",INDEX(DATOS3!$1:$19397,A204,MATCH("StudyDescription",DATOS3!$1:$1,0)))</f>
        <v>#N/A</v>
      </c>
      <c r="I204" t="e">
        <f>IF(INDEX(DATOS3!$1:$19397,A204,MATCH("Dose_Area_Product_Total",DATOS3!$1:$1,0))=0,0,INDEX(DATOS3!$1:$19397,A204,MATCH("Dose_Area_Product_Total",DATOS3!$1:$1,0)))</f>
        <v>#N/A</v>
      </c>
      <c r="J204" t="e">
        <f>IF(INDEX(DATOS3!$1:$19397,A204,MATCH("Dose_RP_Total",DATOS3!$1:$1,0))=0,0,INDEX(DATOS3!$1:$19397,A204,MATCH("Dose_RP_Total",DATOS3!$1:$1,0)))</f>
        <v>#N/A</v>
      </c>
      <c r="K204" t="e">
        <f>IF(INDEX(DATOS3!$1:$19397,A204,MATCH("Total_Fluoro_Time",DATOS3!$1:$1,0))=0,0,INDEX(DATOS3!$1:$19397,A204,MATCH("Total_Fluoro_Time",DATOS3!$1:$1,0)))</f>
        <v>#N/A</v>
      </c>
      <c r="L204" t="e">
        <f>IF(INDEX(DATOS3!$1:$19397,A204,MATCH("Total_Acquisition_Time",DATOS3!$1:$1,0))=0,0,INDEX(DATOS3!$1:$19397,A204,MATCH("Total_Acquisition_Time",DATOS3!$1:$1,0)))</f>
        <v>#N/A</v>
      </c>
    </row>
    <row r="205" spans="1:12" x14ac:dyDescent="0.25">
      <c r="A205">
        <v>205</v>
      </c>
      <c r="B205" t="e">
        <f t="shared" si="3"/>
        <v>#N/A</v>
      </c>
      <c r="D205" t="e">
        <f>IF(INDEX(DATOS3!$1:$19397,A205,MATCH("PatientID",DATOS3!$1:$1,0))=0,"",INDEX(DATOS3!$1:$19397,A205,MATCH("PatientID",DATOS3!$1:$1,0)))</f>
        <v>#N/A</v>
      </c>
      <c r="F205" t="e">
        <f>IF(INDEX(DATOS3!$1:$19397,A205,MATCH("SeriesDate",DATOS3!$1:$1,0))=0,"",INDEX(DATOS3!$1:$19397,A205,MATCH("SeriesDate",DATOS3!$1:$1,0)))</f>
        <v>#N/A</v>
      </c>
      <c r="G205" t="e">
        <f>IF(INDEX(DATOS3!$1:$19397,A205,MATCH("SeriesTime",DATOS3!$1:$1,0))=0,"",INDEX(DATOS3!$1:$19397,A205,MATCH("SeriesTime",DATOS3!$1:$1,0)))</f>
        <v>#N/A</v>
      </c>
      <c r="H205" t="e">
        <f>IF(INDEX(DATOS3!$1:$19397,A205,MATCH("StudyDescription",DATOS3!$1:$1,0))=0,"",INDEX(DATOS3!$1:$19397,A205,MATCH("StudyDescription",DATOS3!$1:$1,0)))</f>
        <v>#N/A</v>
      </c>
      <c r="I205" t="e">
        <f>IF(INDEX(DATOS3!$1:$19397,A205,MATCH("Dose_Area_Product_Total",DATOS3!$1:$1,0))=0,0,INDEX(DATOS3!$1:$19397,A205,MATCH("Dose_Area_Product_Total",DATOS3!$1:$1,0)))</f>
        <v>#N/A</v>
      </c>
      <c r="J205" t="e">
        <f>IF(INDEX(DATOS3!$1:$19397,A205,MATCH("Dose_RP_Total",DATOS3!$1:$1,0))=0,0,INDEX(DATOS3!$1:$19397,A205,MATCH("Dose_RP_Total",DATOS3!$1:$1,0)))</f>
        <v>#N/A</v>
      </c>
      <c r="K205" t="e">
        <f>IF(INDEX(DATOS3!$1:$19397,A205,MATCH("Total_Fluoro_Time",DATOS3!$1:$1,0))=0,0,INDEX(DATOS3!$1:$19397,A205,MATCH("Total_Fluoro_Time",DATOS3!$1:$1,0)))</f>
        <v>#N/A</v>
      </c>
      <c r="L205" t="e">
        <f>IF(INDEX(DATOS3!$1:$19397,A205,MATCH("Total_Acquisition_Time",DATOS3!$1:$1,0))=0,0,INDEX(DATOS3!$1:$19397,A205,MATCH("Total_Acquisition_Time",DATOS3!$1:$1,0)))</f>
        <v>#N/A</v>
      </c>
    </row>
    <row r="206" spans="1:12" x14ac:dyDescent="0.25">
      <c r="A206">
        <v>206</v>
      </c>
      <c r="B206" t="e">
        <f t="shared" si="3"/>
        <v>#N/A</v>
      </c>
      <c r="D206" t="e">
        <f>IF(INDEX(DATOS3!$1:$19397,A206,MATCH("PatientID",DATOS3!$1:$1,0))=0,"",INDEX(DATOS3!$1:$19397,A206,MATCH("PatientID",DATOS3!$1:$1,0)))</f>
        <v>#N/A</v>
      </c>
      <c r="F206" t="e">
        <f>IF(INDEX(DATOS3!$1:$19397,A206,MATCH("SeriesDate",DATOS3!$1:$1,0))=0,"",INDEX(DATOS3!$1:$19397,A206,MATCH("SeriesDate",DATOS3!$1:$1,0)))</f>
        <v>#N/A</v>
      </c>
      <c r="G206" t="e">
        <f>IF(INDEX(DATOS3!$1:$19397,A206,MATCH("SeriesTime",DATOS3!$1:$1,0))=0,"",INDEX(DATOS3!$1:$19397,A206,MATCH("SeriesTime",DATOS3!$1:$1,0)))</f>
        <v>#N/A</v>
      </c>
      <c r="H206" t="e">
        <f>IF(INDEX(DATOS3!$1:$19397,A206,MATCH("StudyDescription",DATOS3!$1:$1,0))=0,"",INDEX(DATOS3!$1:$19397,A206,MATCH("StudyDescription",DATOS3!$1:$1,0)))</f>
        <v>#N/A</v>
      </c>
      <c r="I206" t="e">
        <f>IF(INDEX(DATOS3!$1:$19397,A206,MATCH("Dose_Area_Product_Total",DATOS3!$1:$1,0))=0,0,INDEX(DATOS3!$1:$19397,A206,MATCH("Dose_Area_Product_Total",DATOS3!$1:$1,0)))</f>
        <v>#N/A</v>
      </c>
      <c r="J206" t="e">
        <f>IF(INDEX(DATOS3!$1:$19397,A206,MATCH("Dose_RP_Total",DATOS3!$1:$1,0))=0,0,INDEX(DATOS3!$1:$19397,A206,MATCH("Dose_RP_Total",DATOS3!$1:$1,0)))</f>
        <v>#N/A</v>
      </c>
      <c r="K206" t="e">
        <f>IF(INDEX(DATOS3!$1:$19397,A206,MATCH("Total_Fluoro_Time",DATOS3!$1:$1,0))=0,0,INDEX(DATOS3!$1:$19397,A206,MATCH("Total_Fluoro_Time",DATOS3!$1:$1,0)))</f>
        <v>#N/A</v>
      </c>
      <c r="L206" t="e">
        <f>IF(INDEX(DATOS3!$1:$19397,A206,MATCH("Total_Acquisition_Time",DATOS3!$1:$1,0))=0,0,INDEX(DATOS3!$1:$19397,A206,MATCH("Total_Acquisition_Time",DATOS3!$1:$1,0)))</f>
        <v>#N/A</v>
      </c>
    </row>
    <row r="207" spans="1:12" x14ac:dyDescent="0.25">
      <c r="A207">
        <v>207</v>
      </c>
      <c r="B207" t="e">
        <f t="shared" si="3"/>
        <v>#N/A</v>
      </c>
      <c r="D207" t="e">
        <f>IF(INDEX(DATOS3!$1:$19397,A207,MATCH("PatientID",DATOS3!$1:$1,0))=0,"",INDEX(DATOS3!$1:$19397,A207,MATCH("PatientID",DATOS3!$1:$1,0)))</f>
        <v>#N/A</v>
      </c>
      <c r="F207" t="e">
        <f>IF(INDEX(DATOS3!$1:$19397,A207,MATCH("SeriesDate",DATOS3!$1:$1,0))=0,"",INDEX(DATOS3!$1:$19397,A207,MATCH("SeriesDate",DATOS3!$1:$1,0)))</f>
        <v>#N/A</v>
      </c>
      <c r="G207" t="e">
        <f>IF(INDEX(DATOS3!$1:$19397,A207,MATCH("SeriesTime",DATOS3!$1:$1,0))=0,"",INDEX(DATOS3!$1:$19397,A207,MATCH("SeriesTime",DATOS3!$1:$1,0)))</f>
        <v>#N/A</v>
      </c>
      <c r="H207" t="e">
        <f>IF(INDEX(DATOS3!$1:$19397,A207,MATCH("StudyDescription",DATOS3!$1:$1,0))=0,"",INDEX(DATOS3!$1:$19397,A207,MATCH("StudyDescription",DATOS3!$1:$1,0)))</f>
        <v>#N/A</v>
      </c>
      <c r="I207" t="e">
        <f>IF(INDEX(DATOS3!$1:$19397,A207,MATCH("Dose_Area_Product_Total",DATOS3!$1:$1,0))=0,0,INDEX(DATOS3!$1:$19397,A207,MATCH("Dose_Area_Product_Total",DATOS3!$1:$1,0)))</f>
        <v>#N/A</v>
      </c>
      <c r="J207" t="e">
        <f>IF(INDEX(DATOS3!$1:$19397,A207,MATCH("Dose_RP_Total",DATOS3!$1:$1,0))=0,0,INDEX(DATOS3!$1:$19397,A207,MATCH("Dose_RP_Total",DATOS3!$1:$1,0)))</f>
        <v>#N/A</v>
      </c>
      <c r="K207" t="e">
        <f>IF(INDEX(DATOS3!$1:$19397,A207,MATCH("Total_Fluoro_Time",DATOS3!$1:$1,0))=0,0,INDEX(DATOS3!$1:$19397,A207,MATCH("Total_Fluoro_Time",DATOS3!$1:$1,0)))</f>
        <v>#N/A</v>
      </c>
      <c r="L207" t="e">
        <f>IF(INDEX(DATOS3!$1:$19397,A207,MATCH("Total_Acquisition_Time",DATOS3!$1:$1,0))=0,0,INDEX(DATOS3!$1:$19397,A207,MATCH("Total_Acquisition_Time",DATOS3!$1:$1,0)))</f>
        <v>#N/A</v>
      </c>
    </row>
    <row r="208" spans="1:12" x14ac:dyDescent="0.25">
      <c r="A208">
        <v>208</v>
      </c>
      <c r="B208" t="e">
        <f t="shared" si="3"/>
        <v>#N/A</v>
      </c>
      <c r="D208" t="e">
        <f>IF(INDEX(DATOS3!$1:$19397,A208,MATCH("PatientID",DATOS3!$1:$1,0))=0,"",INDEX(DATOS3!$1:$19397,A208,MATCH("PatientID",DATOS3!$1:$1,0)))</f>
        <v>#N/A</v>
      </c>
      <c r="F208" t="e">
        <f>IF(INDEX(DATOS3!$1:$19397,A208,MATCH("SeriesDate",DATOS3!$1:$1,0))=0,"",INDEX(DATOS3!$1:$19397,A208,MATCH("SeriesDate",DATOS3!$1:$1,0)))</f>
        <v>#N/A</v>
      </c>
      <c r="G208" t="e">
        <f>IF(INDEX(DATOS3!$1:$19397,A208,MATCH("SeriesTime",DATOS3!$1:$1,0))=0,"",INDEX(DATOS3!$1:$19397,A208,MATCH("SeriesTime",DATOS3!$1:$1,0)))</f>
        <v>#N/A</v>
      </c>
      <c r="H208" t="e">
        <f>IF(INDEX(DATOS3!$1:$19397,A208,MATCH("StudyDescription",DATOS3!$1:$1,0))=0,"",INDEX(DATOS3!$1:$19397,A208,MATCH("StudyDescription",DATOS3!$1:$1,0)))</f>
        <v>#N/A</v>
      </c>
      <c r="I208" t="e">
        <f>IF(INDEX(DATOS3!$1:$19397,A208,MATCH("Dose_Area_Product_Total",DATOS3!$1:$1,0))=0,0,INDEX(DATOS3!$1:$19397,A208,MATCH("Dose_Area_Product_Total",DATOS3!$1:$1,0)))</f>
        <v>#N/A</v>
      </c>
      <c r="J208" t="e">
        <f>IF(INDEX(DATOS3!$1:$19397,A208,MATCH("Dose_RP_Total",DATOS3!$1:$1,0))=0,0,INDEX(DATOS3!$1:$19397,A208,MATCH("Dose_RP_Total",DATOS3!$1:$1,0)))</f>
        <v>#N/A</v>
      </c>
      <c r="K208" t="e">
        <f>IF(INDEX(DATOS3!$1:$19397,A208,MATCH("Total_Fluoro_Time",DATOS3!$1:$1,0))=0,0,INDEX(DATOS3!$1:$19397,A208,MATCH("Total_Fluoro_Time",DATOS3!$1:$1,0)))</f>
        <v>#N/A</v>
      </c>
      <c r="L208" t="e">
        <f>IF(INDEX(DATOS3!$1:$19397,A208,MATCH("Total_Acquisition_Time",DATOS3!$1:$1,0))=0,0,INDEX(DATOS3!$1:$19397,A208,MATCH("Total_Acquisition_Time",DATOS3!$1:$1,0)))</f>
        <v>#N/A</v>
      </c>
    </row>
    <row r="209" spans="1:12" x14ac:dyDescent="0.25">
      <c r="A209">
        <v>209</v>
      </c>
      <c r="B209" t="e">
        <f t="shared" si="3"/>
        <v>#N/A</v>
      </c>
      <c r="D209" t="e">
        <f>IF(INDEX(DATOS3!$1:$19397,A209,MATCH("PatientID",DATOS3!$1:$1,0))=0,"",INDEX(DATOS3!$1:$19397,A209,MATCH("PatientID",DATOS3!$1:$1,0)))</f>
        <v>#N/A</v>
      </c>
      <c r="F209" t="e">
        <f>IF(INDEX(DATOS3!$1:$19397,A209,MATCH("SeriesDate",DATOS3!$1:$1,0))=0,"",INDEX(DATOS3!$1:$19397,A209,MATCH("SeriesDate",DATOS3!$1:$1,0)))</f>
        <v>#N/A</v>
      </c>
      <c r="G209" t="e">
        <f>IF(INDEX(DATOS3!$1:$19397,A209,MATCH("SeriesTime",DATOS3!$1:$1,0))=0,"",INDEX(DATOS3!$1:$19397,A209,MATCH("SeriesTime",DATOS3!$1:$1,0)))</f>
        <v>#N/A</v>
      </c>
      <c r="H209" t="e">
        <f>IF(INDEX(DATOS3!$1:$19397,A209,MATCH("StudyDescription",DATOS3!$1:$1,0))=0,"",INDEX(DATOS3!$1:$19397,A209,MATCH("StudyDescription",DATOS3!$1:$1,0)))</f>
        <v>#N/A</v>
      </c>
      <c r="I209" t="e">
        <f>IF(INDEX(DATOS3!$1:$19397,A209,MATCH("Dose_Area_Product_Total",DATOS3!$1:$1,0))=0,0,INDEX(DATOS3!$1:$19397,A209,MATCH("Dose_Area_Product_Total",DATOS3!$1:$1,0)))</f>
        <v>#N/A</v>
      </c>
      <c r="J209" t="e">
        <f>IF(INDEX(DATOS3!$1:$19397,A209,MATCH("Dose_RP_Total",DATOS3!$1:$1,0))=0,0,INDEX(DATOS3!$1:$19397,A209,MATCH("Dose_RP_Total",DATOS3!$1:$1,0)))</f>
        <v>#N/A</v>
      </c>
      <c r="K209" t="e">
        <f>IF(INDEX(DATOS3!$1:$19397,A209,MATCH("Total_Fluoro_Time",DATOS3!$1:$1,0))=0,0,INDEX(DATOS3!$1:$19397,A209,MATCH("Total_Fluoro_Time",DATOS3!$1:$1,0)))</f>
        <v>#N/A</v>
      </c>
      <c r="L209" t="e">
        <f>IF(INDEX(DATOS3!$1:$19397,A209,MATCH("Total_Acquisition_Time",DATOS3!$1:$1,0))=0,0,INDEX(DATOS3!$1:$19397,A209,MATCH("Total_Acquisition_Time",DATOS3!$1:$1,0)))</f>
        <v>#N/A</v>
      </c>
    </row>
    <row r="210" spans="1:12" x14ac:dyDescent="0.25">
      <c r="A210">
        <v>210</v>
      </c>
      <c r="B210" t="e">
        <f t="shared" si="3"/>
        <v>#N/A</v>
      </c>
      <c r="D210" t="e">
        <f>IF(INDEX(DATOS3!$1:$19397,A210,MATCH("PatientID",DATOS3!$1:$1,0))=0,"",INDEX(DATOS3!$1:$19397,A210,MATCH("PatientID",DATOS3!$1:$1,0)))</f>
        <v>#N/A</v>
      </c>
      <c r="F210" t="e">
        <f>IF(INDEX(DATOS3!$1:$19397,A210,MATCH("SeriesDate",DATOS3!$1:$1,0))=0,"",INDEX(DATOS3!$1:$19397,A210,MATCH("SeriesDate",DATOS3!$1:$1,0)))</f>
        <v>#N/A</v>
      </c>
      <c r="G210" t="e">
        <f>IF(INDEX(DATOS3!$1:$19397,A210,MATCH("SeriesTime",DATOS3!$1:$1,0))=0,"",INDEX(DATOS3!$1:$19397,A210,MATCH("SeriesTime",DATOS3!$1:$1,0)))</f>
        <v>#N/A</v>
      </c>
      <c r="H210" t="e">
        <f>IF(INDEX(DATOS3!$1:$19397,A210,MATCH("StudyDescription",DATOS3!$1:$1,0))=0,"",INDEX(DATOS3!$1:$19397,A210,MATCH("StudyDescription",DATOS3!$1:$1,0)))</f>
        <v>#N/A</v>
      </c>
      <c r="I210" t="e">
        <f>IF(INDEX(DATOS3!$1:$19397,A210,MATCH("Dose_Area_Product_Total",DATOS3!$1:$1,0))=0,0,INDEX(DATOS3!$1:$19397,A210,MATCH("Dose_Area_Product_Total",DATOS3!$1:$1,0)))</f>
        <v>#N/A</v>
      </c>
      <c r="J210" t="e">
        <f>IF(INDEX(DATOS3!$1:$19397,A210,MATCH("Dose_RP_Total",DATOS3!$1:$1,0))=0,0,INDEX(DATOS3!$1:$19397,A210,MATCH("Dose_RP_Total",DATOS3!$1:$1,0)))</f>
        <v>#N/A</v>
      </c>
      <c r="K210" t="e">
        <f>IF(INDEX(DATOS3!$1:$19397,A210,MATCH("Total_Fluoro_Time",DATOS3!$1:$1,0))=0,0,INDEX(DATOS3!$1:$19397,A210,MATCH("Total_Fluoro_Time",DATOS3!$1:$1,0)))</f>
        <v>#N/A</v>
      </c>
      <c r="L210" t="e">
        <f>IF(INDEX(DATOS3!$1:$19397,A210,MATCH("Total_Acquisition_Time",DATOS3!$1:$1,0))=0,0,INDEX(DATOS3!$1:$19397,A210,MATCH("Total_Acquisition_Time",DATOS3!$1:$1,0)))</f>
        <v>#N/A</v>
      </c>
    </row>
    <row r="211" spans="1:12" x14ac:dyDescent="0.25">
      <c r="A211">
        <v>211</v>
      </c>
      <c r="B211" t="e">
        <f t="shared" si="3"/>
        <v>#N/A</v>
      </c>
      <c r="D211" t="e">
        <f>IF(INDEX(DATOS3!$1:$19397,A211,MATCH("PatientID",DATOS3!$1:$1,0))=0,"",INDEX(DATOS3!$1:$19397,A211,MATCH("PatientID",DATOS3!$1:$1,0)))</f>
        <v>#N/A</v>
      </c>
      <c r="F211" t="e">
        <f>IF(INDEX(DATOS3!$1:$19397,A211,MATCH("SeriesDate",DATOS3!$1:$1,0))=0,"",INDEX(DATOS3!$1:$19397,A211,MATCH("SeriesDate",DATOS3!$1:$1,0)))</f>
        <v>#N/A</v>
      </c>
      <c r="G211" t="e">
        <f>IF(INDEX(DATOS3!$1:$19397,A211,MATCH("SeriesTime",DATOS3!$1:$1,0))=0,"",INDEX(DATOS3!$1:$19397,A211,MATCH("SeriesTime",DATOS3!$1:$1,0)))</f>
        <v>#N/A</v>
      </c>
      <c r="H211" t="e">
        <f>IF(INDEX(DATOS3!$1:$19397,A211,MATCH("StudyDescription",DATOS3!$1:$1,0))=0,"",INDEX(DATOS3!$1:$19397,A211,MATCH("StudyDescription",DATOS3!$1:$1,0)))</f>
        <v>#N/A</v>
      </c>
      <c r="I211" t="e">
        <f>IF(INDEX(DATOS3!$1:$19397,A211,MATCH("Dose_Area_Product_Total",DATOS3!$1:$1,0))=0,0,INDEX(DATOS3!$1:$19397,A211,MATCH("Dose_Area_Product_Total",DATOS3!$1:$1,0)))</f>
        <v>#N/A</v>
      </c>
      <c r="J211" t="e">
        <f>IF(INDEX(DATOS3!$1:$19397,A211,MATCH("Dose_RP_Total",DATOS3!$1:$1,0))=0,0,INDEX(DATOS3!$1:$19397,A211,MATCH("Dose_RP_Total",DATOS3!$1:$1,0)))</f>
        <v>#N/A</v>
      </c>
      <c r="K211" t="e">
        <f>IF(INDEX(DATOS3!$1:$19397,A211,MATCH("Total_Fluoro_Time",DATOS3!$1:$1,0))=0,0,INDEX(DATOS3!$1:$19397,A211,MATCH("Total_Fluoro_Time",DATOS3!$1:$1,0)))</f>
        <v>#N/A</v>
      </c>
      <c r="L211" t="e">
        <f>IF(INDEX(DATOS3!$1:$19397,A211,MATCH("Total_Acquisition_Time",DATOS3!$1:$1,0))=0,0,INDEX(DATOS3!$1:$19397,A211,MATCH("Total_Acquisition_Time",DATOS3!$1:$1,0)))</f>
        <v>#N/A</v>
      </c>
    </row>
    <row r="212" spans="1:12" x14ac:dyDescent="0.25">
      <c r="A212">
        <v>212</v>
      </c>
      <c r="B212" t="e">
        <f t="shared" si="3"/>
        <v>#N/A</v>
      </c>
      <c r="D212" t="e">
        <f>IF(INDEX(DATOS3!$1:$19397,A212,MATCH("PatientID",DATOS3!$1:$1,0))=0,"",INDEX(DATOS3!$1:$19397,A212,MATCH("PatientID",DATOS3!$1:$1,0)))</f>
        <v>#N/A</v>
      </c>
      <c r="F212" t="e">
        <f>IF(INDEX(DATOS3!$1:$19397,A212,MATCH("SeriesDate",DATOS3!$1:$1,0))=0,"",INDEX(DATOS3!$1:$19397,A212,MATCH("SeriesDate",DATOS3!$1:$1,0)))</f>
        <v>#N/A</v>
      </c>
      <c r="G212" t="e">
        <f>IF(INDEX(DATOS3!$1:$19397,A212,MATCH("SeriesTime",DATOS3!$1:$1,0))=0,"",INDEX(DATOS3!$1:$19397,A212,MATCH("SeriesTime",DATOS3!$1:$1,0)))</f>
        <v>#N/A</v>
      </c>
      <c r="H212" t="e">
        <f>IF(INDEX(DATOS3!$1:$19397,A212,MATCH("StudyDescription",DATOS3!$1:$1,0))=0,"",INDEX(DATOS3!$1:$19397,A212,MATCH("StudyDescription",DATOS3!$1:$1,0)))</f>
        <v>#N/A</v>
      </c>
      <c r="I212" t="e">
        <f>IF(INDEX(DATOS3!$1:$19397,A212,MATCH("Dose_Area_Product_Total",DATOS3!$1:$1,0))=0,0,INDEX(DATOS3!$1:$19397,A212,MATCH("Dose_Area_Product_Total",DATOS3!$1:$1,0)))</f>
        <v>#N/A</v>
      </c>
      <c r="J212" t="e">
        <f>IF(INDEX(DATOS3!$1:$19397,A212,MATCH("Dose_RP_Total",DATOS3!$1:$1,0))=0,0,INDEX(DATOS3!$1:$19397,A212,MATCH("Dose_RP_Total",DATOS3!$1:$1,0)))</f>
        <v>#N/A</v>
      </c>
      <c r="K212" t="e">
        <f>IF(INDEX(DATOS3!$1:$19397,A212,MATCH("Total_Fluoro_Time",DATOS3!$1:$1,0))=0,0,INDEX(DATOS3!$1:$19397,A212,MATCH("Total_Fluoro_Time",DATOS3!$1:$1,0)))</f>
        <v>#N/A</v>
      </c>
      <c r="L212" t="e">
        <f>IF(INDEX(DATOS3!$1:$19397,A212,MATCH("Total_Acquisition_Time",DATOS3!$1:$1,0))=0,0,INDEX(DATOS3!$1:$19397,A212,MATCH("Total_Acquisition_Time",DATOS3!$1:$1,0)))</f>
        <v>#N/A</v>
      </c>
    </row>
    <row r="213" spans="1:12" x14ac:dyDescent="0.25">
      <c r="A213">
        <v>213</v>
      </c>
      <c r="B213" t="e">
        <f t="shared" si="3"/>
        <v>#N/A</v>
      </c>
      <c r="D213" t="e">
        <f>IF(INDEX(DATOS3!$1:$19397,A213,MATCH("PatientID",DATOS3!$1:$1,0))=0,"",INDEX(DATOS3!$1:$19397,A213,MATCH("PatientID",DATOS3!$1:$1,0)))</f>
        <v>#N/A</v>
      </c>
      <c r="F213" t="e">
        <f>IF(INDEX(DATOS3!$1:$19397,A213,MATCH("SeriesDate",DATOS3!$1:$1,0))=0,"",INDEX(DATOS3!$1:$19397,A213,MATCH("SeriesDate",DATOS3!$1:$1,0)))</f>
        <v>#N/A</v>
      </c>
      <c r="G213" t="e">
        <f>IF(INDEX(DATOS3!$1:$19397,A213,MATCH("SeriesTime",DATOS3!$1:$1,0))=0,"",INDEX(DATOS3!$1:$19397,A213,MATCH("SeriesTime",DATOS3!$1:$1,0)))</f>
        <v>#N/A</v>
      </c>
      <c r="H213" t="e">
        <f>IF(INDEX(DATOS3!$1:$19397,A213,MATCH("StudyDescription",DATOS3!$1:$1,0))=0,"",INDEX(DATOS3!$1:$19397,A213,MATCH("StudyDescription",DATOS3!$1:$1,0)))</f>
        <v>#N/A</v>
      </c>
      <c r="I213" t="e">
        <f>IF(INDEX(DATOS3!$1:$19397,A213,MATCH("Dose_Area_Product_Total",DATOS3!$1:$1,0))=0,0,INDEX(DATOS3!$1:$19397,A213,MATCH("Dose_Area_Product_Total",DATOS3!$1:$1,0)))</f>
        <v>#N/A</v>
      </c>
      <c r="J213" t="e">
        <f>IF(INDEX(DATOS3!$1:$19397,A213,MATCH("Dose_RP_Total",DATOS3!$1:$1,0))=0,0,INDEX(DATOS3!$1:$19397,A213,MATCH("Dose_RP_Total",DATOS3!$1:$1,0)))</f>
        <v>#N/A</v>
      </c>
      <c r="K213" t="e">
        <f>IF(INDEX(DATOS3!$1:$19397,A213,MATCH("Total_Fluoro_Time",DATOS3!$1:$1,0))=0,0,INDEX(DATOS3!$1:$19397,A213,MATCH("Total_Fluoro_Time",DATOS3!$1:$1,0)))</f>
        <v>#N/A</v>
      </c>
      <c r="L213" t="e">
        <f>IF(INDEX(DATOS3!$1:$19397,A213,MATCH("Total_Acquisition_Time",DATOS3!$1:$1,0))=0,0,INDEX(DATOS3!$1:$19397,A213,MATCH("Total_Acquisition_Time",DATOS3!$1:$1,0)))</f>
        <v>#N/A</v>
      </c>
    </row>
    <row r="214" spans="1:12" x14ac:dyDescent="0.25">
      <c r="A214">
        <v>214</v>
      </c>
      <c r="B214" t="e">
        <f t="shared" si="3"/>
        <v>#N/A</v>
      </c>
      <c r="D214" t="e">
        <f>IF(INDEX(DATOS3!$1:$19397,A214,MATCH("PatientID",DATOS3!$1:$1,0))=0,"",INDEX(DATOS3!$1:$19397,A214,MATCH("PatientID",DATOS3!$1:$1,0)))</f>
        <v>#N/A</v>
      </c>
      <c r="F214" t="e">
        <f>IF(INDEX(DATOS3!$1:$19397,A214,MATCH("SeriesDate",DATOS3!$1:$1,0))=0,"",INDEX(DATOS3!$1:$19397,A214,MATCH("SeriesDate",DATOS3!$1:$1,0)))</f>
        <v>#N/A</v>
      </c>
      <c r="G214" t="e">
        <f>IF(INDEX(DATOS3!$1:$19397,A214,MATCH("SeriesTime",DATOS3!$1:$1,0))=0,"",INDEX(DATOS3!$1:$19397,A214,MATCH("SeriesTime",DATOS3!$1:$1,0)))</f>
        <v>#N/A</v>
      </c>
      <c r="H214" t="e">
        <f>IF(INDEX(DATOS3!$1:$19397,A214,MATCH("StudyDescription",DATOS3!$1:$1,0))=0,"",INDEX(DATOS3!$1:$19397,A214,MATCH("StudyDescription",DATOS3!$1:$1,0)))</f>
        <v>#N/A</v>
      </c>
      <c r="I214" t="e">
        <f>IF(INDEX(DATOS3!$1:$19397,A214,MATCH("Dose_Area_Product_Total",DATOS3!$1:$1,0))=0,0,INDEX(DATOS3!$1:$19397,A214,MATCH("Dose_Area_Product_Total",DATOS3!$1:$1,0)))</f>
        <v>#N/A</v>
      </c>
      <c r="J214" t="e">
        <f>IF(INDEX(DATOS3!$1:$19397,A214,MATCH("Dose_RP_Total",DATOS3!$1:$1,0))=0,0,INDEX(DATOS3!$1:$19397,A214,MATCH("Dose_RP_Total",DATOS3!$1:$1,0)))</f>
        <v>#N/A</v>
      </c>
      <c r="K214" t="e">
        <f>IF(INDEX(DATOS3!$1:$19397,A214,MATCH("Total_Fluoro_Time",DATOS3!$1:$1,0))=0,0,INDEX(DATOS3!$1:$19397,A214,MATCH("Total_Fluoro_Time",DATOS3!$1:$1,0)))</f>
        <v>#N/A</v>
      </c>
      <c r="L214" t="e">
        <f>IF(INDEX(DATOS3!$1:$19397,A214,MATCH("Total_Acquisition_Time",DATOS3!$1:$1,0))=0,0,INDEX(DATOS3!$1:$19397,A214,MATCH("Total_Acquisition_Time",DATOS3!$1:$1,0)))</f>
        <v>#N/A</v>
      </c>
    </row>
    <row r="215" spans="1:12" x14ac:dyDescent="0.25">
      <c r="A215">
        <v>215</v>
      </c>
      <c r="B215" t="e">
        <f t="shared" si="3"/>
        <v>#N/A</v>
      </c>
      <c r="D215" t="e">
        <f>IF(INDEX(DATOS3!$1:$19397,A215,MATCH("PatientID",DATOS3!$1:$1,0))=0,"",INDEX(DATOS3!$1:$19397,A215,MATCH("PatientID",DATOS3!$1:$1,0)))</f>
        <v>#N/A</v>
      </c>
      <c r="F215" t="e">
        <f>IF(INDEX(DATOS3!$1:$19397,A215,MATCH("SeriesDate",DATOS3!$1:$1,0))=0,"",INDEX(DATOS3!$1:$19397,A215,MATCH("SeriesDate",DATOS3!$1:$1,0)))</f>
        <v>#N/A</v>
      </c>
      <c r="G215" t="e">
        <f>IF(INDEX(DATOS3!$1:$19397,A215,MATCH("SeriesTime",DATOS3!$1:$1,0))=0,"",INDEX(DATOS3!$1:$19397,A215,MATCH("SeriesTime",DATOS3!$1:$1,0)))</f>
        <v>#N/A</v>
      </c>
      <c r="H215" t="e">
        <f>IF(INDEX(DATOS3!$1:$19397,A215,MATCH("StudyDescription",DATOS3!$1:$1,0))=0,"",INDEX(DATOS3!$1:$19397,A215,MATCH("StudyDescription",DATOS3!$1:$1,0)))</f>
        <v>#N/A</v>
      </c>
      <c r="I215" t="e">
        <f>IF(INDEX(DATOS3!$1:$19397,A215,MATCH("Dose_Area_Product_Total",DATOS3!$1:$1,0))=0,0,INDEX(DATOS3!$1:$19397,A215,MATCH("Dose_Area_Product_Total",DATOS3!$1:$1,0)))</f>
        <v>#N/A</v>
      </c>
      <c r="J215" t="e">
        <f>IF(INDEX(DATOS3!$1:$19397,A215,MATCH("Dose_RP_Total",DATOS3!$1:$1,0))=0,0,INDEX(DATOS3!$1:$19397,A215,MATCH("Dose_RP_Total",DATOS3!$1:$1,0)))</f>
        <v>#N/A</v>
      </c>
      <c r="K215" t="e">
        <f>IF(INDEX(DATOS3!$1:$19397,A215,MATCH("Total_Fluoro_Time",DATOS3!$1:$1,0))=0,0,INDEX(DATOS3!$1:$19397,A215,MATCH("Total_Fluoro_Time",DATOS3!$1:$1,0)))</f>
        <v>#N/A</v>
      </c>
      <c r="L215" t="e">
        <f>IF(INDEX(DATOS3!$1:$19397,A215,MATCH("Total_Acquisition_Time",DATOS3!$1:$1,0))=0,0,INDEX(DATOS3!$1:$19397,A215,MATCH("Total_Acquisition_Time",DATOS3!$1:$1,0)))</f>
        <v>#N/A</v>
      </c>
    </row>
    <row r="216" spans="1:12" x14ac:dyDescent="0.25">
      <c r="A216">
        <v>216</v>
      </c>
      <c r="B216" t="e">
        <f t="shared" si="3"/>
        <v>#N/A</v>
      </c>
      <c r="D216" t="e">
        <f>IF(INDEX(DATOS3!$1:$19397,A216,MATCH("PatientID",DATOS3!$1:$1,0))=0,"",INDEX(DATOS3!$1:$19397,A216,MATCH("PatientID",DATOS3!$1:$1,0)))</f>
        <v>#N/A</v>
      </c>
      <c r="F216" t="e">
        <f>IF(INDEX(DATOS3!$1:$19397,A216,MATCH("SeriesDate",DATOS3!$1:$1,0))=0,"",INDEX(DATOS3!$1:$19397,A216,MATCH("SeriesDate",DATOS3!$1:$1,0)))</f>
        <v>#N/A</v>
      </c>
      <c r="G216" t="e">
        <f>IF(INDEX(DATOS3!$1:$19397,A216,MATCH("SeriesTime",DATOS3!$1:$1,0))=0,"",INDEX(DATOS3!$1:$19397,A216,MATCH("SeriesTime",DATOS3!$1:$1,0)))</f>
        <v>#N/A</v>
      </c>
      <c r="H216" t="e">
        <f>IF(INDEX(DATOS3!$1:$19397,A216,MATCH("StudyDescription",DATOS3!$1:$1,0))=0,"",INDEX(DATOS3!$1:$19397,A216,MATCH("StudyDescription",DATOS3!$1:$1,0)))</f>
        <v>#N/A</v>
      </c>
      <c r="I216" t="e">
        <f>IF(INDEX(DATOS3!$1:$19397,A216,MATCH("Dose_Area_Product_Total",DATOS3!$1:$1,0))=0,0,INDEX(DATOS3!$1:$19397,A216,MATCH("Dose_Area_Product_Total",DATOS3!$1:$1,0)))</f>
        <v>#N/A</v>
      </c>
      <c r="J216" t="e">
        <f>IF(INDEX(DATOS3!$1:$19397,A216,MATCH("Dose_RP_Total",DATOS3!$1:$1,0))=0,0,INDEX(DATOS3!$1:$19397,A216,MATCH("Dose_RP_Total",DATOS3!$1:$1,0)))</f>
        <v>#N/A</v>
      </c>
      <c r="K216" t="e">
        <f>IF(INDEX(DATOS3!$1:$19397,A216,MATCH("Total_Fluoro_Time",DATOS3!$1:$1,0))=0,0,INDEX(DATOS3!$1:$19397,A216,MATCH("Total_Fluoro_Time",DATOS3!$1:$1,0)))</f>
        <v>#N/A</v>
      </c>
      <c r="L216" t="e">
        <f>IF(INDEX(DATOS3!$1:$19397,A216,MATCH("Total_Acquisition_Time",DATOS3!$1:$1,0))=0,0,INDEX(DATOS3!$1:$19397,A216,MATCH("Total_Acquisition_Time",DATOS3!$1:$1,0)))</f>
        <v>#N/A</v>
      </c>
    </row>
    <row r="217" spans="1:12" x14ac:dyDescent="0.25">
      <c r="A217">
        <v>217</v>
      </c>
      <c r="B217" t="e">
        <f t="shared" si="3"/>
        <v>#N/A</v>
      </c>
      <c r="D217" t="e">
        <f>IF(INDEX(DATOS3!$1:$19397,A217,MATCH("PatientID",DATOS3!$1:$1,0))=0,"",INDEX(DATOS3!$1:$19397,A217,MATCH("PatientID",DATOS3!$1:$1,0)))</f>
        <v>#N/A</v>
      </c>
      <c r="F217" t="e">
        <f>IF(INDEX(DATOS3!$1:$19397,A217,MATCH("SeriesDate",DATOS3!$1:$1,0))=0,"",INDEX(DATOS3!$1:$19397,A217,MATCH("SeriesDate",DATOS3!$1:$1,0)))</f>
        <v>#N/A</v>
      </c>
      <c r="G217" t="e">
        <f>IF(INDEX(DATOS3!$1:$19397,A217,MATCH("SeriesTime",DATOS3!$1:$1,0))=0,"",INDEX(DATOS3!$1:$19397,A217,MATCH("SeriesTime",DATOS3!$1:$1,0)))</f>
        <v>#N/A</v>
      </c>
      <c r="H217" t="e">
        <f>IF(INDEX(DATOS3!$1:$19397,A217,MATCH("StudyDescription",DATOS3!$1:$1,0))=0,"",INDEX(DATOS3!$1:$19397,A217,MATCH("StudyDescription",DATOS3!$1:$1,0)))</f>
        <v>#N/A</v>
      </c>
      <c r="I217" t="e">
        <f>IF(INDEX(DATOS3!$1:$19397,A217,MATCH("Dose_Area_Product_Total",DATOS3!$1:$1,0))=0,0,INDEX(DATOS3!$1:$19397,A217,MATCH("Dose_Area_Product_Total",DATOS3!$1:$1,0)))</f>
        <v>#N/A</v>
      </c>
      <c r="J217" t="e">
        <f>IF(INDEX(DATOS3!$1:$19397,A217,MATCH("Dose_RP_Total",DATOS3!$1:$1,0))=0,0,INDEX(DATOS3!$1:$19397,A217,MATCH("Dose_RP_Total",DATOS3!$1:$1,0)))</f>
        <v>#N/A</v>
      </c>
      <c r="K217" t="e">
        <f>IF(INDEX(DATOS3!$1:$19397,A217,MATCH("Total_Fluoro_Time",DATOS3!$1:$1,0))=0,0,INDEX(DATOS3!$1:$19397,A217,MATCH("Total_Fluoro_Time",DATOS3!$1:$1,0)))</f>
        <v>#N/A</v>
      </c>
      <c r="L217" t="e">
        <f>IF(INDEX(DATOS3!$1:$19397,A217,MATCH("Total_Acquisition_Time",DATOS3!$1:$1,0))=0,0,INDEX(DATOS3!$1:$19397,A217,MATCH("Total_Acquisition_Time",DATOS3!$1:$1,0)))</f>
        <v>#N/A</v>
      </c>
    </row>
    <row r="218" spans="1:12" x14ac:dyDescent="0.25">
      <c r="A218">
        <v>218</v>
      </c>
      <c r="B218" t="e">
        <f t="shared" si="3"/>
        <v>#N/A</v>
      </c>
      <c r="D218" t="e">
        <f>IF(INDEX(DATOS3!$1:$19397,A218,MATCH("PatientID",DATOS3!$1:$1,0))=0,"",INDEX(DATOS3!$1:$19397,A218,MATCH("PatientID",DATOS3!$1:$1,0)))</f>
        <v>#N/A</v>
      </c>
      <c r="F218" t="e">
        <f>IF(INDEX(DATOS3!$1:$19397,A218,MATCH("SeriesDate",DATOS3!$1:$1,0))=0,"",INDEX(DATOS3!$1:$19397,A218,MATCH("SeriesDate",DATOS3!$1:$1,0)))</f>
        <v>#N/A</v>
      </c>
      <c r="G218" t="e">
        <f>IF(INDEX(DATOS3!$1:$19397,A218,MATCH("SeriesTime",DATOS3!$1:$1,0))=0,"",INDEX(DATOS3!$1:$19397,A218,MATCH("SeriesTime",DATOS3!$1:$1,0)))</f>
        <v>#N/A</v>
      </c>
      <c r="H218" t="e">
        <f>IF(INDEX(DATOS3!$1:$19397,A218,MATCH("StudyDescription",DATOS3!$1:$1,0))=0,"",INDEX(DATOS3!$1:$19397,A218,MATCH("StudyDescription",DATOS3!$1:$1,0)))</f>
        <v>#N/A</v>
      </c>
      <c r="I218" t="e">
        <f>IF(INDEX(DATOS3!$1:$19397,A218,MATCH("Dose_Area_Product_Total",DATOS3!$1:$1,0))=0,0,INDEX(DATOS3!$1:$19397,A218,MATCH("Dose_Area_Product_Total",DATOS3!$1:$1,0)))</f>
        <v>#N/A</v>
      </c>
      <c r="J218" t="e">
        <f>IF(INDEX(DATOS3!$1:$19397,A218,MATCH("Dose_RP_Total",DATOS3!$1:$1,0))=0,0,INDEX(DATOS3!$1:$19397,A218,MATCH("Dose_RP_Total",DATOS3!$1:$1,0)))</f>
        <v>#N/A</v>
      </c>
      <c r="K218" t="e">
        <f>IF(INDEX(DATOS3!$1:$19397,A218,MATCH("Total_Fluoro_Time",DATOS3!$1:$1,0))=0,0,INDEX(DATOS3!$1:$19397,A218,MATCH("Total_Fluoro_Time",DATOS3!$1:$1,0)))</f>
        <v>#N/A</v>
      </c>
      <c r="L218" t="e">
        <f>IF(INDEX(DATOS3!$1:$19397,A218,MATCH("Total_Acquisition_Time",DATOS3!$1:$1,0))=0,0,INDEX(DATOS3!$1:$19397,A218,MATCH("Total_Acquisition_Time",DATOS3!$1:$1,0)))</f>
        <v>#N/A</v>
      </c>
    </row>
    <row r="219" spans="1:12" x14ac:dyDescent="0.25">
      <c r="A219">
        <v>219</v>
      </c>
      <c r="B219" t="e">
        <f t="shared" si="3"/>
        <v>#N/A</v>
      </c>
      <c r="D219" t="e">
        <f>IF(INDEX(DATOS3!$1:$19397,A219,MATCH("PatientID",DATOS3!$1:$1,0))=0,"",INDEX(DATOS3!$1:$19397,A219,MATCH("PatientID",DATOS3!$1:$1,0)))</f>
        <v>#N/A</v>
      </c>
      <c r="F219" t="e">
        <f>IF(INDEX(DATOS3!$1:$19397,A219,MATCH("SeriesDate",DATOS3!$1:$1,0))=0,"",INDEX(DATOS3!$1:$19397,A219,MATCH("SeriesDate",DATOS3!$1:$1,0)))</f>
        <v>#N/A</v>
      </c>
      <c r="G219" t="e">
        <f>IF(INDEX(DATOS3!$1:$19397,A219,MATCH("SeriesTime",DATOS3!$1:$1,0))=0,"",INDEX(DATOS3!$1:$19397,A219,MATCH("SeriesTime",DATOS3!$1:$1,0)))</f>
        <v>#N/A</v>
      </c>
      <c r="H219" t="e">
        <f>IF(INDEX(DATOS3!$1:$19397,A219,MATCH("StudyDescription",DATOS3!$1:$1,0))=0,"",INDEX(DATOS3!$1:$19397,A219,MATCH("StudyDescription",DATOS3!$1:$1,0)))</f>
        <v>#N/A</v>
      </c>
      <c r="I219" t="e">
        <f>IF(INDEX(DATOS3!$1:$19397,A219,MATCH("Dose_Area_Product_Total",DATOS3!$1:$1,0))=0,0,INDEX(DATOS3!$1:$19397,A219,MATCH("Dose_Area_Product_Total",DATOS3!$1:$1,0)))</f>
        <v>#N/A</v>
      </c>
      <c r="J219" t="e">
        <f>IF(INDEX(DATOS3!$1:$19397,A219,MATCH("Dose_RP_Total",DATOS3!$1:$1,0))=0,0,INDEX(DATOS3!$1:$19397,A219,MATCH("Dose_RP_Total",DATOS3!$1:$1,0)))</f>
        <v>#N/A</v>
      </c>
      <c r="K219" t="e">
        <f>IF(INDEX(DATOS3!$1:$19397,A219,MATCH("Total_Fluoro_Time",DATOS3!$1:$1,0))=0,0,INDEX(DATOS3!$1:$19397,A219,MATCH("Total_Fluoro_Time",DATOS3!$1:$1,0)))</f>
        <v>#N/A</v>
      </c>
      <c r="L219" t="e">
        <f>IF(INDEX(DATOS3!$1:$19397,A219,MATCH("Total_Acquisition_Time",DATOS3!$1:$1,0))=0,0,INDEX(DATOS3!$1:$19397,A219,MATCH("Total_Acquisition_Time",DATOS3!$1:$1,0)))</f>
        <v>#N/A</v>
      </c>
    </row>
    <row r="220" spans="1:12" x14ac:dyDescent="0.25">
      <c r="A220">
        <v>220</v>
      </c>
      <c r="B220" t="e">
        <f t="shared" si="3"/>
        <v>#N/A</v>
      </c>
      <c r="D220" t="e">
        <f>IF(INDEX(DATOS3!$1:$19397,A220,MATCH("PatientID",DATOS3!$1:$1,0))=0,"",INDEX(DATOS3!$1:$19397,A220,MATCH("PatientID",DATOS3!$1:$1,0)))</f>
        <v>#N/A</v>
      </c>
      <c r="F220" t="e">
        <f>IF(INDEX(DATOS3!$1:$19397,A220,MATCH("SeriesDate",DATOS3!$1:$1,0))=0,"",INDEX(DATOS3!$1:$19397,A220,MATCH("SeriesDate",DATOS3!$1:$1,0)))</f>
        <v>#N/A</v>
      </c>
      <c r="G220" t="e">
        <f>IF(INDEX(DATOS3!$1:$19397,A220,MATCH("SeriesTime",DATOS3!$1:$1,0))=0,"",INDEX(DATOS3!$1:$19397,A220,MATCH("SeriesTime",DATOS3!$1:$1,0)))</f>
        <v>#N/A</v>
      </c>
      <c r="H220" t="e">
        <f>IF(INDEX(DATOS3!$1:$19397,A220,MATCH("StudyDescription",DATOS3!$1:$1,0))=0,"",INDEX(DATOS3!$1:$19397,A220,MATCH("StudyDescription",DATOS3!$1:$1,0)))</f>
        <v>#N/A</v>
      </c>
      <c r="I220" t="e">
        <f>IF(INDEX(DATOS3!$1:$19397,A220,MATCH("Dose_Area_Product_Total",DATOS3!$1:$1,0))=0,0,INDEX(DATOS3!$1:$19397,A220,MATCH("Dose_Area_Product_Total",DATOS3!$1:$1,0)))</f>
        <v>#N/A</v>
      </c>
      <c r="J220" t="e">
        <f>IF(INDEX(DATOS3!$1:$19397,A220,MATCH("Dose_RP_Total",DATOS3!$1:$1,0))=0,0,INDEX(DATOS3!$1:$19397,A220,MATCH("Dose_RP_Total",DATOS3!$1:$1,0)))</f>
        <v>#N/A</v>
      </c>
      <c r="K220" t="e">
        <f>IF(INDEX(DATOS3!$1:$19397,A220,MATCH("Total_Fluoro_Time",DATOS3!$1:$1,0))=0,0,INDEX(DATOS3!$1:$19397,A220,MATCH("Total_Fluoro_Time",DATOS3!$1:$1,0)))</f>
        <v>#N/A</v>
      </c>
      <c r="L220" t="e">
        <f>IF(INDEX(DATOS3!$1:$19397,A220,MATCH("Total_Acquisition_Time",DATOS3!$1:$1,0))=0,0,INDEX(DATOS3!$1:$19397,A220,MATCH("Total_Acquisition_Time",DATOS3!$1:$1,0)))</f>
        <v>#N/A</v>
      </c>
    </row>
    <row r="221" spans="1:12" x14ac:dyDescent="0.25">
      <c r="A221">
        <v>221</v>
      </c>
      <c r="B221" t="e">
        <f t="shared" si="3"/>
        <v>#N/A</v>
      </c>
      <c r="D221" t="e">
        <f>IF(INDEX(DATOS3!$1:$19397,A221,MATCH("PatientID",DATOS3!$1:$1,0))=0,"",INDEX(DATOS3!$1:$19397,A221,MATCH("PatientID",DATOS3!$1:$1,0)))</f>
        <v>#N/A</v>
      </c>
      <c r="F221" t="e">
        <f>IF(INDEX(DATOS3!$1:$19397,A221,MATCH("SeriesDate",DATOS3!$1:$1,0))=0,"",INDEX(DATOS3!$1:$19397,A221,MATCH("SeriesDate",DATOS3!$1:$1,0)))</f>
        <v>#N/A</v>
      </c>
      <c r="G221" t="e">
        <f>IF(INDEX(DATOS3!$1:$19397,A221,MATCH("SeriesTime",DATOS3!$1:$1,0))=0,"",INDEX(DATOS3!$1:$19397,A221,MATCH("SeriesTime",DATOS3!$1:$1,0)))</f>
        <v>#N/A</v>
      </c>
      <c r="H221" t="e">
        <f>IF(INDEX(DATOS3!$1:$19397,A221,MATCH("StudyDescription",DATOS3!$1:$1,0))=0,"",INDEX(DATOS3!$1:$19397,A221,MATCH("StudyDescription",DATOS3!$1:$1,0)))</f>
        <v>#N/A</v>
      </c>
      <c r="I221" t="e">
        <f>IF(INDEX(DATOS3!$1:$19397,A221,MATCH("Dose_Area_Product_Total",DATOS3!$1:$1,0))=0,0,INDEX(DATOS3!$1:$19397,A221,MATCH("Dose_Area_Product_Total",DATOS3!$1:$1,0)))</f>
        <v>#N/A</v>
      </c>
      <c r="J221" t="e">
        <f>IF(INDEX(DATOS3!$1:$19397,A221,MATCH("Dose_RP_Total",DATOS3!$1:$1,0))=0,0,INDEX(DATOS3!$1:$19397,A221,MATCH("Dose_RP_Total",DATOS3!$1:$1,0)))</f>
        <v>#N/A</v>
      </c>
      <c r="K221" t="e">
        <f>IF(INDEX(DATOS3!$1:$19397,A221,MATCH("Total_Fluoro_Time",DATOS3!$1:$1,0))=0,0,INDEX(DATOS3!$1:$19397,A221,MATCH("Total_Fluoro_Time",DATOS3!$1:$1,0)))</f>
        <v>#N/A</v>
      </c>
      <c r="L221" t="e">
        <f>IF(INDEX(DATOS3!$1:$19397,A221,MATCH("Total_Acquisition_Time",DATOS3!$1:$1,0))=0,0,INDEX(DATOS3!$1:$19397,A221,MATCH("Total_Acquisition_Time",DATOS3!$1:$1,0)))</f>
        <v>#N/A</v>
      </c>
    </row>
    <row r="222" spans="1:12" x14ac:dyDescent="0.25">
      <c r="A222">
        <v>222</v>
      </c>
      <c r="B222" t="e">
        <f t="shared" si="3"/>
        <v>#N/A</v>
      </c>
      <c r="D222" t="e">
        <f>IF(INDEX(DATOS3!$1:$19397,A222,MATCH("PatientID",DATOS3!$1:$1,0))=0,"",INDEX(DATOS3!$1:$19397,A222,MATCH("PatientID",DATOS3!$1:$1,0)))</f>
        <v>#N/A</v>
      </c>
      <c r="F222" t="e">
        <f>IF(INDEX(DATOS3!$1:$19397,A222,MATCH("SeriesDate",DATOS3!$1:$1,0))=0,"",INDEX(DATOS3!$1:$19397,A222,MATCH("SeriesDate",DATOS3!$1:$1,0)))</f>
        <v>#N/A</v>
      </c>
      <c r="G222" t="e">
        <f>IF(INDEX(DATOS3!$1:$19397,A222,MATCH("SeriesTime",DATOS3!$1:$1,0))=0,"",INDEX(DATOS3!$1:$19397,A222,MATCH("SeriesTime",DATOS3!$1:$1,0)))</f>
        <v>#N/A</v>
      </c>
      <c r="H222" t="e">
        <f>IF(INDEX(DATOS3!$1:$19397,A222,MATCH("StudyDescription",DATOS3!$1:$1,0))=0,"",INDEX(DATOS3!$1:$19397,A222,MATCH("StudyDescription",DATOS3!$1:$1,0)))</f>
        <v>#N/A</v>
      </c>
      <c r="I222" t="e">
        <f>IF(INDEX(DATOS3!$1:$19397,A222,MATCH("Dose_Area_Product_Total",DATOS3!$1:$1,0))=0,0,INDEX(DATOS3!$1:$19397,A222,MATCH("Dose_Area_Product_Total",DATOS3!$1:$1,0)))</f>
        <v>#N/A</v>
      </c>
      <c r="J222" t="e">
        <f>IF(INDEX(DATOS3!$1:$19397,A222,MATCH("Dose_RP_Total",DATOS3!$1:$1,0))=0,0,INDEX(DATOS3!$1:$19397,A222,MATCH("Dose_RP_Total",DATOS3!$1:$1,0)))</f>
        <v>#N/A</v>
      </c>
      <c r="K222" t="e">
        <f>IF(INDEX(DATOS3!$1:$19397,A222,MATCH("Total_Fluoro_Time",DATOS3!$1:$1,0))=0,0,INDEX(DATOS3!$1:$19397,A222,MATCH("Total_Fluoro_Time",DATOS3!$1:$1,0)))</f>
        <v>#N/A</v>
      </c>
      <c r="L222" t="e">
        <f>IF(INDEX(DATOS3!$1:$19397,A222,MATCH("Total_Acquisition_Time",DATOS3!$1:$1,0))=0,0,INDEX(DATOS3!$1:$19397,A222,MATCH("Total_Acquisition_Time",DATOS3!$1:$1,0)))</f>
        <v>#N/A</v>
      </c>
    </row>
    <row r="223" spans="1:12" x14ac:dyDescent="0.25">
      <c r="A223">
        <v>223</v>
      </c>
      <c r="B223" t="e">
        <f t="shared" si="3"/>
        <v>#N/A</v>
      </c>
      <c r="D223" t="e">
        <f>IF(INDEX(DATOS3!$1:$19397,A223,MATCH("PatientID",DATOS3!$1:$1,0))=0,"",INDEX(DATOS3!$1:$19397,A223,MATCH("PatientID",DATOS3!$1:$1,0)))</f>
        <v>#N/A</v>
      </c>
      <c r="F223" t="e">
        <f>IF(INDEX(DATOS3!$1:$19397,A223,MATCH("SeriesDate",DATOS3!$1:$1,0))=0,"",INDEX(DATOS3!$1:$19397,A223,MATCH("SeriesDate",DATOS3!$1:$1,0)))</f>
        <v>#N/A</v>
      </c>
      <c r="G223" t="e">
        <f>IF(INDEX(DATOS3!$1:$19397,A223,MATCH("SeriesTime",DATOS3!$1:$1,0))=0,"",INDEX(DATOS3!$1:$19397,A223,MATCH("SeriesTime",DATOS3!$1:$1,0)))</f>
        <v>#N/A</v>
      </c>
      <c r="H223" t="e">
        <f>IF(INDEX(DATOS3!$1:$19397,A223,MATCH("StudyDescription",DATOS3!$1:$1,0))=0,"",INDEX(DATOS3!$1:$19397,A223,MATCH("StudyDescription",DATOS3!$1:$1,0)))</f>
        <v>#N/A</v>
      </c>
      <c r="I223" t="e">
        <f>IF(INDEX(DATOS3!$1:$19397,A223,MATCH("Dose_Area_Product_Total",DATOS3!$1:$1,0))=0,0,INDEX(DATOS3!$1:$19397,A223,MATCH("Dose_Area_Product_Total",DATOS3!$1:$1,0)))</f>
        <v>#N/A</v>
      </c>
      <c r="J223" t="e">
        <f>IF(INDEX(DATOS3!$1:$19397,A223,MATCH("Dose_RP_Total",DATOS3!$1:$1,0))=0,0,INDEX(DATOS3!$1:$19397,A223,MATCH("Dose_RP_Total",DATOS3!$1:$1,0)))</f>
        <v>#N/A</v>
      </c>
      <c r="K223" t="e">
        <f>IF(INDEX(DATOS3!$1:$19397,A223,MATCH("Total_Fluoro_Time",DATOS3!$1:$1,0))=0,0,INDEX(DATOS3!$1:$19397,A223,MATCH("Total_Fluoro_Time",DATOS3!$1:$1,0)))</f>
        <v>#N/A</v>
      </c>
      <c r="L223" t="e">
        <f>IF(INDEX(DATOS3!$1:$19397,A223,MATCH("Total_Acquisition_Time",DATOS3!$1:$1,0))=0,0,INDEX(DATOS3!$1:$19397,A223,MATCH("Total_Acquisition_Time",DATOS3!$1:$1,0)))</f>
        <v>#N/A</v>
      </c>
    </row>
    <row r="224" spans="1:12" x14ac:dyDescent="0.25">
      <c r="A224">
        <v>224</v>
      </c>
      <c r="B224" t="e">
        <f t="shared" si="3"/>
        <v>#N/A</v>
      </c>
      <c r="D224" t="e">
        <f>IF(INDEX(DATOS3!$1:$19397,A224,MATCH("PatientID",DATOS3!$1:$1,0))=0,"",INDEX(DATOS3!$1:$19397,A224,MATCH("PatientID",DATOS3!$1:$1,0)))</f>
        <v>#N/A</v>
      </c>
      <c r="F224" t="e">
        <f>IF(INDEX(DATOS3!$1:$19397,A224,MATCH("SeriesDate",DATOS3!$1:$1,0))=0,"",INDEX(DATOS3!$1:$19397,A224,MATCH("SeriesDate",DATOS3!$1:$1,0)))</f>
        <v>#N/A</v>
      </c>
      <c r="G224" t="e">
        <f>IF(INDEX(DATOS3!$1:$19397,A224,MATCH("SeriesTime",DATOS3!$1:$1,0))=0,"",INDEX(DATOS3!$1:$19397,A224,MATCH("SeriesTime",DATOS3!$1:$1,0)))</f>
        <v>#N/A</v>
      </c>
      <c r="H224" t="e">
        <f>IF(INDEX(DATOS3!$1:$19397,A224,MATCH("StudyDescription",DATOS3!$1:$1,0))=0,"",INDEX(DATOS3!$1:$19397,A224,MATCH("StudyDescription",DATOS3!$1:$1,0)))</f>
        <v>#N/A</v>
      </c>
      <c r="I224" t="e">
        <f>IF(INDEX(DATOS3!$1:$19397,A224,MATCH("Dose_Area_Product_Total",DATOS3!$1:$1,0))=0,0,INDEX(DATOS3!$1:$19397,A224,MATCH("Dose_Area_Product_Total",DATOS3!$1:$1,0)))</f>
        <v>#N/A</v>
      </c>
      <c r="J224" t="e">
        <f>IF(INDEX(DATOS3!$1:$19397,A224,MATCH("Dose_RP_Total",DATOS3!$1:$1,0))=0,0,INDEX(DATOS3!$1:$19397,A224,MATCH("Dose_RP_Total",DATOS3!$1:$1,0)))</f>
        <v>#N/A</v>
      </c>
      <c r="K224" t="e">
        <f>IF(INDEX(DATOS3!$1:$19397,A224,MATCH("Total_Fluoro_Time",DATOS3!$1:$1,0))=0,0,INDEX(DATOS3!$1:$19397,A224,MATCH("Total_Fluoro_Time",DATOS3!$1:$1,0)))</f>
        <v>#N/A</v>
      </c>
      <c r="L224" t="e">
        <f>IF(INDEX(DATOS3!$1:$19397,A224,MATCH("Total_Acquisition_Time",DATOS3!$1:$1,0))=0,0,INDEX(DATOS3!$1:$19397,A224,MATCH("Total_Acquisition_Time",DATOS3!$1:$1,0)))</f>
        <v>#N/A</v>
      </c>
    </row>
    <row r="225" spans="1:12" x14ac:dyDescent="0.25">
      <c r="A225">
        <v>225</v>
      </c>
      <c r="B225" t="e">
        <f t="shared" si="3"/>
        <v>#N/A</v>
      </c>
      <c r="D225" t="e">
        <f>IF(INDEX(DATOS3!$1:$19397,A225,MATCH("PatientID",DATOS3!$1:$1,0))=0,"",INDEX(DATOS3!$1:$19397,A225,MATCH("PatientID",DATOS3!$1:$1,0)))</f>
        <v>#N/A</v>
      </c>
      <c r="F225" t="e">
        <f>IF(INDEX(DATOS3!$1:$19397,A225,MATCH("SeriesDate",DATOS3!$1:$1,0))=0,"",INDEX(DATOS3!$1:$19397,A225,MATCH("SeriesDate",DATOS3!$1:$1,0)))</f>
        <v>#N/A</v>
      </c>
      <c r="G225" t="e">
        <f>IF(INDEX(DATOS3!$1:$19397,A225,MATCH("SeriesTime",DATOS3!$1:$1,0))=0,"",INDEX(DATOS3!$1:$19397,A225,MATCH("SeriesTime",DATOS3!$1:$1,0)))</f>
        <v>#N/A</v>
      </c>
      <c r="H225" t="e">
        <f>IF(INDEX(DATOS3!$1:$19397,A225,MATCH("StudyDescription",DATOS3!$1:$1,0))=0,"",INDEX(DATOS3!$1:$19397,A225,MATCH("StudyDescription",DATOS3!$1:$1,0)))</f>
        <v>#N/A</v>
      </c>
      <c r="I225" t="e">
        <f>IF(INDEX(DATOS3!$1:$19397,A225,MATCH("Dose_Area_Product_Total",DATOS3!$1:$1,0))=0,0,INDEX(DATOS3!$1:$19397,A225,MATCH("Dose_Area_Product_Total",DATOS3!$1:$1,0)))</f>
        <v>#N/A</v>
      </c>
      <c r="J225" t="e">
        <f>IF(INDEX(DATOS3!$1:$19397,A225,MATCH("Dose_RP_Total",DATOS3!$1:$1,0))=0,0,INDEX(DATOS3!$1:$19397,A225,MATCH("Dose_RP_Total",DATOS3!$1:$1,0)))</f>
        <v>#N/A</v>
      </c>
      <c r="K225" t="e">
        <f>IF(INDEX(DATOS3!$1:$19397,A225,MATCH("Total_Fluoro_Time",DATOS3!$1:$1,0))=0,0,INDEX(DATOS3!$1:$19397,A225,MATCH("Total_Fluoro_Time",DATOS3!$1:$1,0)))</f>
        <v>#N/A</v>
      </c>
      <c r="L225" t="e">
        <f>IF(INDEX(DATOS3!$1:$19397,A225,MATCH("Total_Acquisition_Time",DATOS3!$1:$1,0))=0,0,INDEX(DATOS3!$1:$19397,A225,MATCH("Total_Acquisition_Time",DATOS3!$1:$1,0)))</f>
        <v>#N/A</v>
      </c>
    </row>
    <row r="226" spans="1:12" x14ac:dyDescent="0.25">
      <c r="A226">
        <v>226</v>
      </c>
      <c r="B226" t="e">
        <f t="shared" si="3"/>
        <v>#N/A</v>
      </c>
      <c r="D226" t="e">
        <f>IF(INDEX(DATOS3!$1:$19397,A226,MATCH("PatientID",DATOS3!$1:$1,0))=0,"",INDEX(DATOS3!$1:$19397,A226,MATCH("PatientID",DATOS3!$1:$1,0)))</f>
        <v>#N/A</v>
      </c>
      <c r="F226" t="e">
        <f>IF(INDEX(DATOS3!$1:$19397,A226,MATCH("SeriesDate",DATOS3!$1:$1,0))=0,"",INDEX(DATOS3!$1:$19397,A226,MATCH("SeriesDate",DATOS3!$1:$1,0)))</f>
        <v>#N/A</v>
      </c>
      <c r="G226" t="e">
        <f>IF(INDEX(DATOS3!$1:$19397,A226,MATCH("SeriesTime",DATOS3!$1:$1,0))=0,"",INDEX(DATOS3!$1:$19397,A226,MATCH("SeriesTime",DATOS3!$1:$1,0)))</f>
        <v>#N/A</v>
      </c>
      <c r="H226" t="e">
        <f>IF(INDEX(DATOS3!$1:$19397,A226,MATCH("StudyDescription",DATOS3!$1:$1,0))=0,"",INDEX(DATOS3!$1:$19397,A226,MATCH("StudyDescription",DATOS3!$1:$1,0)))</f>
        <v>#N/A</v>
      </c>
      <c r="I226" t="e">
        <f>IF(INDEX(DATOS3!$1:$19397,A226,MATCH("Dose_Area_Product_Total",DATOS3!$1:$1,0))=0,0,INDEX(DATOS3!$1:$19397,A226,MATCH("Dose_Area_Product_Total",DATOS3!$1:$1,0)))</f>
        <v>#N/A</v>
      </c>
      <c r="J226" t="e">
        <f>IF(INDEX(DATOS3!$1:$19397,A226,MATCH("Dose_RP_Total",DATOS3!$1:$1,0))=0,0,INDEX(DATOS3!$1:$19397,A226,MATCH("Dose_RP_Total",DATOS3!$1:$1,0)))</f>
        <v>#N/A</v>
      </c>
      <c r="K226" t="e">
        <f>IF(INDEX(DATOS3!$1:$19397,A226,MATCH("Total_Fluoro_Time",DATOS3!$1:$1,0))=0,0,INDEX(DATOS3!$1:$19397,A226,MATCH("Total_Fluoro_Time",DATOS3!$1:$1,0)))</f>
        <v>#N/A</v>
      </c>
      <c r="L226" t="e">
        <f>IF(INDEX(DATOS3!$1:$19397,A226,MATCH("Total_Acquisition_Time",DATOS3!$1:$1,0))=0,0,INDEX(DATOS3!$1:$19397,A226,MATCH("Total_Acquisition_Time",DATOS3!$1:$1,0)))</f>
        <v>#N/A</v>
      </c>
    </row>
    <row r="227" spans="1:12" x14ac:dyDescent="0.25">
      <c r="A227">
        <v>227</v>
      </c>
      <c r="B227" t="e">
        <f t="shared" si="3"/>
        <v>#N/A</v>
      </c>
      <c r="D227" t="e">
        <f>IF(INDEX(DATOS3!$1:$19397,A227,MATCH("PatientID",DATOS3!$1:$1,0))=0,"",INDEX(DATOS3!$1:$19397,A227,MATCH("PatientID",DATOS3!$1:$1,0)))</f>
        <v>#N/A</v>
      </c>
      <c r="F227" t="e">
        <f>IF(INDEX(DATOS3!$1:$19397,A227,MATCH("SeriesDate",DATOS3!$1:$1,0))=0,"",INDEX(DATOS3!$1:$19397,A227,MATCH("SeriesDate",DATOS3!$1:$1,0)))</f>
        <v>#N/A</v>
      </c>
      <c r="G227" t="e">
        <f>IF(INDEX(DATOS3!$1:$19397,A227,MATCH("SeriesTime",DATOS3!$1:$1,0))=0,"",INDEX(DATOS3!$1:$19397,A227,MATCH("SeriesTime",DATOS3!$1:$1,0)))</f>
        <v>#N/A</v>
      </c>
      <c r="H227" t="e">
        <f>IF(INDEX(DATOS3!$1:$19397,A227,MATCH("StudyDescription",DATOS3!$1:$1,0))=0,"",INDEX(DATOS3!$1:$19397,A227,MATCH("StudyDescription",DATOS3!$1:$1,0)))</f>
        <v>#N/A</v>
      </c>
      <c r="I227" t="e">
        <f>IF(INDEX(DATOS3!$1:$19397,A227,MATCH("Dose_Area_Product_Total",DATOS3!$1:$1,0))=0,0,INDEX(DATOS3!$1:$19397,A227,MATCH("Dose_Area_Product_Total",DATOS3!$1:$1,0)))</f>
        <v>#N/A</v>
      </c>
      <c r="J227" t="e">
        <f>IF(INDEX(DATOS3!$1:$19397,A227,MATCH("Dose_RP_Total",DATOS3!$1:$1,0))=0,0,INDEX(DATOS3!$1:$19397,A227,MATCH("Dose_RP_Total",DATOS3!$1:$1,0)))</f>
        <v>#N/A</v>
      </c>
      <c r="K227" t="e">
        <f>IF(INDEX(DATOS3!$1:$19397,A227,MATCH("Total_Fluoro_Time",DATOS3!$1:$1,0))=0,0,INDEX(DATOS3!$1:$19397,A227,MATCH("Total_Fluoro_Time",DATOS3!$1:$1,0)))</f>
        <v>#N/A</v>
      </c>
      <c r="L227" t="e">
        <f>IF(INDEX(DATOS3!$1:$19397,A227,MATCH("Total_Acquisition_Time",DATOS3!$1:$1,0))=0,0,INDEX(DATOS3!$1:$19397,A227,MATCH("Total_Acquisition_Time",DATOS3!$1:$1,0)))</f>
        <v>#N/A</v>
      </c>
    </row>
    <row r="228" spans="1:12" x14ac:dyDescent="0.25">
      <c r="A228">
        <v>228</v>
      </c>
      <c r="B228" t="e">
        <f t="shared" si="3"/>
        <v>#N/A</v>
      </c>
      <c r="D228" t="e">
        <f>IF(INDEX(DATOS3!$1:$19397,A228,MATCH("PatientID",DATOS3!$1:$1,0))=0,"",INDEX(DATOS3!$1:$19397,A228,MATCH("PatientID",DATOS3!$1:$1,0)))</f>
        <v>#N/A</v>
      </c>
      <c r="F228" t="e">
        <f>IF(INDEX(DATOS3!$1:$19397,A228,MATCH("SeriesDate",DATOS3!$1:$1,0))=0,"",INDEX(DATOS3!$1:$19397,A228,MATCH("SeriesDate",DATOS3!$1:$1,0)))</f>
        <v>#N/A</v>
      </c>
      <c r="G228" t="e">
        <f>IF(INDEX(DATOS3!$1:$19397,A228,MATCH("SeriesTime",DATOS3!$1:$1,0))=0,"",INDEX(DATOS3!$1:$19397,A228,MATCH("SeriesTime",DATOS3!$1:$1,0)))</f>
        <v>#N/A</v>
      </c>
      <c r="H228" t="e">
        <f>IF(INDEX(DATOS3!$1:$19397,A228,MATCH("StudyDescription",DATOS3!$1:$1,0))=0,"",INDEX(DATOS3!$1:$19397,A228,MATCH("StudyDescription",DATOS3!$1:$1,0)))</f>
        <v>#N/A</v>
      </c>
      <c r="I228" t="e">
        <f>IF(INDEX(DATOS3!$1:$19397,A228,MATCH("Dose_Area_Product_Total",DATOS3!$1:$1,0))=0,0,INDEX(DATOS3!$1:$19397,A228,MATCH("Dose_Area_Product_Total",DATOS3!$1:$1,0)))</f>
        <v>#N/A</v>
      </c>
      <c r="J228" t="e">
        <f>IF(INDEX(DATOS3!$1:$19397,A228,MATCH("Dose_RP_Total",DATOS3!$1:$1,0))=0,0,INDEX(DATOS3!$1:$19397,A228,MATCH("Dose_RP_Total",DATOS3!$1:$1,0)))</f>
        <v>#N/A</v>
      </c>
      <c r="K228" t="e">
        <f>IF(INDEX(DATOS3!$1:$19397,A228,MATCH("Total_Fluoro_Time",DATOS3!$1:$1,0))=0,0,INDEX(DATOS3!$1:$19397,A228,MATCH("Total_Fluoro_Time",DATOS3!$1:$1,0)))</f>
        <v>#N/A</v>
      </c>
      <c r="L228" t="e">
        <f>IF(INDEX(DATOS3!$1:$19397,A228,MATCH("Total_Acquisition_Time",DATOS3!$1:$1,0))=0,0,INDEX(DATOS3!$1:$19397,A228,MATCH("Total_Acquisition_Time",DATOS3!$1:$1,0)))</f>
        <v>#N/A</v>
      </c>
    </row>
    <row r="229" spans="1:12" x14ac:dyDescent="0.25">
      <c r="A229">
        <v>229</v>
      </c>
      <c r="B229" t="e">
        <f t="shared" si="3"/>
        <v>#N/A</v>
      </c>
      <c r="D229" t="e">
        <f>IF(INDEX(DATOS3!$1:$19397,A229,MATCH("PatientID",DATOS3!$1:$1,0))=0,"",INDEX(DATOS3!$1:$19397,A229,MATCH("PatientID",DATOS3!$1:$1,0)))</f>
        <v>#N/A</v>
      </c>
      <c r="F229" t="e">
        <f>IF(INDEX(DATOS3!$1:$19397,A229,MATCH("SeriesDate",DATOS3!$1:$1,0))=0,"",INDEX(DATOS3!$1:$19397,A229,MATCH("SeriesDate",DATOS3!$1:$1,0)))</f>
        <v>#N/A</v>
      </c>
      <c r="G229" t="e">
        <f>IF(INDEX(DATOS3!$1:$19397,A229,MATCH("SeriesTime",DATOS3!$1:$1,0))=0,"",INDEX(DATOS3!$1:$19397,A229,MATCH("SeriesTime",DATOS3!$1:$1,0)))</f>
        <v>#N/A</v>
      </c>
      <c r="H229" t="e">
        <f>IF(INDEX(DATOS3!$1:$19397,A229,MATCH("StudyDescription",DATOS3!$1:$1,0))=0,"",INDEX(DATOS3!$1:$19397,A229,MATCH("StudyDescription",DATOS3!$1:$1,0)))</f>
        <v>#N/A</v>
      </c>
      <c r="I229" t="e">
        <f>IF(INDEX(DATOS3!$1:$19397,A229,MATCH("Dose_Area_Product_Total",DATOS3!$1:$1,0))=0,0,INDEX(DATOS3!$1:$19397,A229,MATCH("Dose_Area_Product_Total",DATOS3!$1:$1,0)))</f>
        <v>#N/A</v>
      </c>
      <c r="J229" t="e">
        <f>IF(INDEX(DATOS3!$1:$19397,A229,MATCH("Dose_RP_Total",DATOS3!$1:$1,0))=0,0,INDEX(DATOS3!$1:$19397,A229,MATCH("Dose_RP_Total",DATOS3!$1:$1,0)))</f>
        <v>#N/A</v>
      </c>
      <c r="K229" t="e">
        <f>IF(INDEX(DATOS3!$1:$19397,A229,MATCH("Total_Fluoro_Time",DATOS3!$1:$1,0))=0,0,INDEX(DATOS3!$1:$19397,A229,MATCH("Total_Fluoro_Time",DATOS3!$1:$1,0)))</f>
        <v>#N/A</v>
      </c>
      <c r="L229" t="e">
        <f>IF(INDEX(DATOS3!$1:$19397,A229,MATCH("Total_Acquisition_Time",DATOS3!$1:$1,0))=0,0,INDEX(DATOS3!$1:$19397,A229,MATCH("Total_Acquisition_Time",DATOS3!$1:$1,0)))</f>
        <v>#N/A</v>
      </c>
    </row>
    <row r="230" spans="1:12" x14ac:dyDescent="0.25">
      <c r="A230">
        <v>230</v>
      </c>
      <c r="B230" t="e">
        <f t="shared" si="3"/>
        <v>#N/A</v>
      </c>
      <c r="D230" t="e">
        <f>IF(INDEX(DATOS3!$1:$19397,A230,MATCH("PatientID",DATOS3!$1:$1,0))=0,"",INDEX(DATOS3!$1:$19397,A230,MATCH("PatientID",DATOS3!$1:$1,0)))</f>
        <v>#N/A</v>
      </c>
      <c r="F230" t="e">
        <f>IF(INDEX(DATOS3!$1:$19397,A230,MATCH("SeriesDate",DATOS3!$1:$1,0))=0,"",INDEX(DATOS3!$1:$19397,A230,MATCH("SeriesDate",DATOS3!$1:$1,0)))</f>
        <v>#N/A</v>
      </c>
      <c r="G230" t="e">
        <f>IF(INDEX(DATOS3!$1:$19397,A230,MATCH("SeriesTime",DATOS3!$1:$1,0))=0,"",INDEX(DATOS3!$1:$19397,A230,MATCH("SeriesTime",DATOS3!$1:$1,0)))</f>
        <v>#N/A</v>
      </c>
      <c r="H230" t="e">
        <f>IF(INDEX(DATOS3!$1:$19397,A230,MATCH("StudyDescription",DATOS3!$1:$1,0))=0,"",INDEX(DATOS3!$1:$19397,A230,MATCH("StudyDescription",DATOS3!$1:$1,0)))</f>
        <v>#N/A</v>
      </c>
      <c r="I230" t="e">
        <f>IF(INDEX(DATOS3!$1:$19397,A230,MATCH("Dose_Area_Product_Total",DATOS3!$1:$1,0))=0,0,INDEX(DATOS3!$1:$19397,A230,MATCH("Dose_Area_Product_Total",DATOS3!$1:$1,0)))</f>
        <v>#N/A</v>
      </c>
      <c r="J230" t="e">
        <f>IF(INDEX(DATOS3!$1:$19397,A230,MATCH("Dose_RP_Total",DATOS3!$1:$1,0))=0,0,INDEX(DATOS3!$1:$19397,A230,MATCH("Dose_RP_Total",DATOS3!$1:$1,0)))</f>
        <v>#N/A</v>
      </c>
      <c r="K230" t="e">
        <f>IF(INDEX(DATOS3!$1:$19397,A230,MATCH("Total_Fluoro_Time",DATOS3!$1:$1,0))=0,0,INDEX(DATOS3!$1:$19397,A230,MATCH("Total_Fluoro_Time",DATOS3!$1:$1,0)))</f>
        <v>#N/A</v>
      </c>
      <c r="L230" t="e">
        <f>IF(INDEX(DATOS3!$1:$19397,A230,MATCH("Total_Acquisition_Time",DATOS3!$1:$1,0))=0,0,INDEX(DATOS3!$1:$19397,A230,MATCH("Total_Acquisition_Time",DATOS3!$1:$1,0)))</f>
        <v>#N/A</v>
      </c>
    </row>
    <row r="231" spans="1:12" x14ac:dyDescent="0.25">
      <c r="A231">
        <v>231</v>
      </c>
      <c r="B231" t="e">
        <f t="shared" si="3"/>
        <v>#N/A</v>
      </c>
      <c r="D231" t="e">
        <f>IF(INDEX(DATOS3!$1:$19397,A231,MATCH("PatientID",DATOS3!$1:$1,0))=0,"",INDEX(DATOS3!$1:$19397,A231,MATCH("PatientID",DATOS3!$1:$1,0)))</f>
        <v>#N/A</v>
      </c>
      <c r="F231" t="e">
        <f>IF(INDEX(DATOS3!$1:$19397,A231,MATCH("SeriesDate",DATOS3!$1:$1,0))=0,"",INDEX(DATOS3!$1:$19397,A231,MATCH("SeriesDate",DATOS3!$1:$1,0)))</f>
        <v>#N/A</v>
      </c>
      <c r="G231" t="e">
        <f>IF(INDEX(DATOS3!$1:$19397,A231,MATCH("SeriesTime",DATOS3!$1:$1,0))=0,"",INDEX(DATOS3!$1:$19397,A231,MATCH("SeriesTime",DATOS3!$1:$1,0)))</f>
        <v>#N/A</v>
      </c>
      <c r="H231" t="e">
        <f>IF(INDEX(DATOS3!$1:$19397,A231,MATCH("StudyDescription",DATOS3!$1:$1,0))=0,"",INDEX(DATOS3!$1:$19397,A231,MATCH("StudyDescription",DATOS3!$1:$1,0)))</f>
        <v>#N/A</v>
      </c>
      <c r="I231" t="e">
        <f>IF(INDEX(DATOS3!$1:$19397,A231,MATCH("Dose_Area_Product_Total",DATOS3!$1:$1,0))=0,0,INDEX(DATOS3!$1:$19397,A231,MATCH("Dose_Area_Product_Total",DATOS3!$1:$1,0)))</f>
        <v>#N/A</v>
      </c>
      <c r="J231" t="e">
        <f>IF(INDEX(DATOS3!$1:$19397,A231,MATCH("Dose_RP_Total",DATOS3!$1:$1,0))=0,0,INDEX(DATOS3!$1:$19397,A231,MATCH("Dose_RP_Total",DATOS3!$1:$1,0)))</f>
        <v>#N/A</v>
      </c>
      <c r="K231" t="e">
        <f>IF(INDEX(DATOS3!$1:$19397,A231,MATCH("Total_Fluoro_Time",DATOS3!$1:$1,0))=0,0,INDEX(DATOS3!$1:$19397,A231,MATCH("Total_Fluoro_Time",DATOS3!$1:$1,0)))</f>
        <v>#N/A</v>
      </c>
      <c r="L231" t="e">
        <f>IF(INDEX(DATOS3!$1:$19397,A231,MATCH("Total_Acquisition_Time",DATOS3!$1:$1,0))=0,0,INDEX(DATOS3!$1:$19397,A231,MATCH("Total_Acquisition_Time",DATOS3!$1:$1,0)))</f>
        <v>#N/A</v>
      </c>
    </row>
    <row r="232" spans="1:12" x14ac:dyDescent="0.25">
      <c r="A232">
        <v>232</v>
      </c>
      <c r="B232" t="e">
        <f t="shared" si="3"/>
        <v>#N/A</v>
      </c>
      <c r="D232" t="e">
        <f>IF(INDEX(DATOS3!$1:$19397,A232,MATCH("PatientID",DATOS3!$1:$1,0))=0,"",INDEX(DATOS3!$1:$19397,A232,MATCH("PatientID",DATOS3!$1:$1,0)))</f>
        <v>#N/A</v>
      </c>
      <c r="F232" t="e">
        <f>IF(INDEX(DATOS3!$1:$19397,A232,MATCH("SeriesDate",DATOS3!$1:$1,0))=0,"",INDEX(DATOS3!$1:$19397,A232,MATCH("SeriesDate",DATOS3!$1:$1,0)))</f>
        <v>#N/A</v>
      </c>
      <c r="G232" t="e">
        <f>IF(INDEX(DATOS3!$1:$19397,A232,MATCH("SeriesTime",DATOS3!$1:$1,0))=0,"",INDEX(DATOS3!$1:$19397,A232,MATCH("SeriesTime",DATOS3!$1:$1,0)))</f>
        <v>#N/A</v>
      </c>
      <c r="H232" t="e">
        <f>IF(INDEX(DATOS3!$1:$19397,A232,MATCH("StudyDescription",DATOS3!$1:$1,0))=0,"",INDEX(DATOS3!$1:$19397,A232,MATCH("StudyDescription",DATOS3!$1:$1,0)))</f>
        <v>#N/A</v>
      </c>
      <c r="I232" t="e">
        <f>IF(INDEX(DATOS3!$1:$19397,A232,MATCH("Dose_Area_Product_Total",DATOS3!$1:$1,0))=0,0,INDEX(DATOS3!$1:$19397,A232,MATCH("Dose_Area_Product_Total",DATOS3!$1:$1,0)))</f>
        <v>#N/A</v>
      </c>
      <c r="J232" t="e">
        <f>IF(INDEX(DATOS3!$1:$19397,A232,MATCH("Dose_RP_Total",DATOS3!$1:$1,0))=0,0,INDEX(DATOS3!$1:$19397,A232,MATCH("Dose_RP_Total",DATOS3!$1:$1,0)))</f>
        <v>#N/A</v>
      </c>
      <c r="K232" t="e">
        <f>IF(INDEX(DATOS3!$1:$19397,A232,MATCH("Total_Fluoro_Time",DATOS3!$1:$1,0))=0,0,INDEX(DATOS3!$1:$19397,A232,MATCH("Total_Fluoro_Time",DATOS3!$1:$1,0)))</f>
        <v>#N/A</v>
      </c>
      <c r="L232" t="e">
        <f>IF(INDEX(DATOS3!$1:$19397,A232,MATCH("Total_Acquisition_Time",DATOS3!$1:$1,0))=0,0,INDEX(DATOS3!$1:$19397,A232,MATCH("Total_Acquisition_Time",DATOS3!$1:$1,0)))</f>
        <v>#N/A</v>
      </c>
    </row>
    <row r="233" spans="1:12" x14ac:dyDescent="0.25">
      <c r="A233">
        <v>233</v>
      </c>
      <c r="B233" t="e">
        <f t="shared" si="3"/>
        <v>#N/A</v>
      </c>
      <c r="D233" t="e">
        <f>IF(INDEX(DATOS3!$1:$19397,A233,MATCH("PatientID",DATOS3!$1:$1,0))=0,"",INDEX(DATOS3!$1:$19397,A233,MATCH("PatientID",DATOS3!$1:$1,0)))</f>
        <v>#N/A</v>
      </c>
      <c r="F233" t="e">
        <f>IF(INDEX(DATOS3!$1:$19397,A233,MATCH("SeriesDate",DATOS3!$1:$1,0))=0,"",INDEX(DATOS3!$1:$19397,A233,MATCH("SeriesDate",DATOS3!$1:$1,0)))</f>
        <v>#N/A</v>
      </c>
      <c r="G233" t="e">
        <f>IF(INDEX(DATOS3!$1:$19397,A233,MATCH("SeriesTime",DATOS3!$1:$1,0))=0,"",INDEX(DATOS3!$1:$19397,A233,MATCH("SeriesTime",DATOS3!$1:$1,0)))</f>
        <v>#N/A</v>
      </c>
      <c r="H233" t="e">
        <f>IF(INDEX(DATOS3!$1:$19397,A233,MATCH("StudyDescription",DATOS3!$1:$1,0))=0,"",INDEX(DATOS3!$1:$19397,A233,MATCH("StudyDescription",DATOS3!$1:$1,0)))</f>
        <v>#N/A</v>
      </c>
      <c r="I233" t="e">
        <f>IF(INDEX(DATOS3!$1:$19397,A233,MATCH("Dose_Area_Product_Total",DATOS3!$1:$1,0))=0,0,INDEX(DATOS3!$1:$19397,A233,MATCH("Dose_Area_Product_Total",DATOS3!$1:$1,0)))</f>
        <v>#N/A</v>
      </c>
      <c r="J233" t="e">
        <f>IF(INDEX(DATOS3!$1:$19397,A233,MATCH("Dose_RP_Total",DATOS3!$1:$1,0))=0,0,INDEX(DATOS3!$1:$19397,A233,MATCH("Dose_RP_Total",DATOS3!$1:$1,0)))</f>
        <v>#N/A</v>
      </c>
      <c r="K233" t="e">
        <f>IF(INDEX(DATOS3!$1:$19397,A233,MATCH("Total_Fluoro_Time",DATOS3!$1:$1,0))=0,0,INDEX(DATOS3!$1:$19397,A233,MATCH("Total_Fluoro_Time",DATOS3!$1:$1,0)))</f>
        <v>#N/A</v>
      </c>
      <c r="L233" t="e">
        <f>IF(INDEX(DATOS3!$1:$19397,A233,MATCH("Total_Acquisition_Time",DATOS3!$1:$1,0))=0,0,INDEX(DATOS3!$1:$19397,A233,MATCH("Total_Acquisition_Time",DATOS3!$1:$1,0)))</f>
        <v>#N/A</v>
      </c>
    </row>
    <row r="234" spans="1:12" x14ac:dyDescent="0.25">
      <c r="A234">
        <v>234</v>
      </c>
      <c r="B234" t="e">
        <f t="shared" si="3"/>
        <v>#N/A</v>
      </c>
      <c r="D234" t="e">
        <f>IF(INDEX(DATOS3!$1:$19397,A234,MATCH("PatientID",DATOS3!$1:$1,0))=0,"",INDEX(DATOS3!$1:$19397,A234,MATCH("PatientID",DATOS3!$1:$1,0)))</f>
        <v>#N/A</v>
      </c>
      <c r="F234" t="e">
        <f>IF(INDEX(DATOS3!$1:$19397,A234,MATCH("SeriesDate",DATOS3!$1:$1,0))=0,"",INDEX(DATOS3!$1:$19397,A234,MATCH("SeriesDate",DATOS3!$1:$1,0)))</f>
        <v>#N/A</v>
      </c>
      <c r="G234" t="e">
        <f>IF(INDEX(DATOS3!$1:$19397,A234,MATCH("SeriesTime",DATOS3!$1:$1,0))=0,"",INDEX(DATOS3!$1:$19397,A234,MATCH("SeriesTime",DATOS3!$1:$1,0)))</f>
        <v>#N/A</v>
      </c>
      <c r="H234" t="e">
        <f>IF(INDEX(DATOS3!$1:$19397,A234,MATCH("StudyDescription",DATOS3!$1:$1,0))=0,"",INDEX(DATOS3!$1:$19397,A234,MATCH("StudyDescription",DATOS3!$1:$1,0)))</f>
        <v>#N/A</v>
      </c>
      <c r="I234" t="e">
        <f>IF(INDEX(DATOS3!$1:$19397,A234,MATCH("Dose_Area_Product_Total",DATOS3!$1:$1,0))=0,0,INDEX(DATOS3!$1:$19397,A234,MATCH("Dose_Area_Product_Total",DATOS3!$1:$1,0)))</f>
        <v>#N/A</v>
      </c>
      <c r="J234" t="e">
        <f>IF(INDEX(DATOS3!$1:$19397,A234,MATCH("Dose_RP_Total",DATOS3!$1:$1,0))=0,0,INDEX(DATOS3!$1:$19397,A234,MATCH("Dose_RP_Total",DATOS3!$1:$1,0)))</f>
        <v>#N/A</v>
      </c>
      <c r="K234" t="e">
        <f>IF(INDEX(DATOS3!$1:$19397,A234,MATCH("Total_Fluoro_Time",DATOS3!$1:$1,0))=0,0,INDEX(DATOS3!$1:$19397,A234,MATCH("Total_Fluoro_Time",DATOS3!$1:$1,0)))</f>
        <v>#N/A</v>
      </c>
      <c r="L234" t="e">
        <f>IF(INDEX(DATOS3!$1:$19397,A234,MATCH("Total_Acquisition_Time",DATOS3!$1:$1,0))=0,0,INDEX(DATOS3!$1:$19397,A234,MATCH("Total_Acquisition_Time",DATOS3!$1:$1,0)))</f>
        <v>#N/A</v>
      </c>
    </row>
    <row r="235" spans="1:12" x14ac:dyDescent="0.25">
      <c r="A235">
        <v>235</v>
      </c>
      <c r="B235" t="e">
        <f t="shared" si="3"/>
        <v>#N/A</v>
      </c>
      <c r="D235" t="e">
        <f>IF(INDEX(DATOS3!$1:$19397,A235,MATCH("PatientID",DATOS3!$1:$1,0))=0,"",INDEX(DATOS3!$1:$19397,A235,MATCH("PatientID",DATOS3!$1:$1,0)))</f>
        <v>#N/A</v>
      </c>
      <c r="F235" t="e">
        <f>IF(INDEX(DATOS3!$1:$19397,A235,MATCH("SeriesDate",DATOS3!$1:$1,0))=0,"",INDEX(DATOS3!$1:$19397,A235,MATCH("SeriesDate",DATOS3!$1:$1,0)))</f>
        <v>#N/A</v>
      </c>
      <c r="G235" t="e">
        <f>IF(INDEX(DATOS3!$1:$19397,A235,MATCH("SeriesTime",DATOS3!$1:$1,0))=0,"",INDEX(DATOS3!$1:$19397,A235,MATCH("SeriesTime",DATOS3!$1:$1,0)))</f>
        <v>#N/A</v>
      </c>
      <c r="H235" t="e">
        <f>IF(INDEX(DATOS3!$1:$19397,A235,MATCH("StudyDescription",DATOS3!$1:$1,0))=0,"",INDEX(DATOS3!$1:$19397,A235,MATCH("StudyDescription",DATOS3!$1:$1,0)))</f>
        <v>#N/A</v>
      </c>
      <c r="I235" t="e">
        <f>IF(INDEX(DATOS3!$1:$19397,A235,MATCH("Dose_Area_Product_Total",DATOS3!$1:$1,0))=0,0,INDEX(DATOS3!$1:$19397,A235,MATCH("Dose_Area_Product_Total",DATOS3!$1:$1,0)))</f>
        <v>#N/A</v>
      </c>
      <c r="J235" t="e">
        <f>IF(INDEX(DATOS3!$1:$19397,A235,MATCH("Dose_RP_Total",DATOS3!$1:$1,0))=0,0,INDEX(DATOS3!$1:$19397,A235,MATCH("Dose_RP_Total",DATOS3!$1:$1,0)))</f>
        <v>#N/A</v>
      </c>
      <c r="K235" t="e">
        <f>IF(INDEX(DATOS3!$1:$19397,A235,MATCH("Total_Fluoro_Time",DATOS3!$1:$1,0))=0,0,INDEX(DATOS3!$1:$19397,A235,MATCH("Total_Fluoro_Time",DATOS3!$1:$1,0)))</f>
        <v>#N/A</v>
      </c>
      <c r="L235" t="e">
        <f>IF(INDEX(DATOS3!$1:$19397,A235,MATCH("Total_Acquisition_Time",DATOS3!$1:$1,0))=0,0,INDEX(DATOS3!$1:$19397,A235,MATCH("Total_Acquisition_Time",DATOS3!$1:$1,0)))</f>
        <v>#N/A</v>
      </c>
    </row>
    <row r="236" spans="1:12" x14ac:dyDescent="0.25">
      <c r="A236">
        <v>236</v>
      </c>
      <c r="B236" t="e">
        <f t="shared" si="3"/>
        <v>#N/A</v>
      </c>
      <c r="D236" t="e">
        <f>IF(INDEX(DATOS3!$1:$19397,A236,MATCH("PatientID",DATOS3!$1:$1,0))=0,"",INDEX(DATOS3!$1:$19397,A236,MATCH("PatientID",DATOS3!$1:$1,0)))</f>
        <v>#N/A</v>
      </c>
      <c r="F236" t="e">
        <f>IF(INDEX(DATOS3!$1:$19397,A236,MATCH("SeriesDate",DATOS3!$1:$1,0))=0,"",INDEX(DATOS3!$1:$19397,A236,MATCH("SeriesDate",DATOS3!$1:$1,0)))</f>
        <v>#N/A</v>
      </c>
      <c r="G236" t="e">
        <f>IF(INDEX(DATOS3!$1:$19397,A236,MATCH("SeriesTime",DATOS3!$1:$1,0))=0,"",INDEX(DATOS3!$1:$19397,A236,MATCH("SeriesTime",DATOS3!$1:$1,0)))</f>
        <v>#N/A</v>
      </c>
      <c r="H236" t="e">
        <f>IF(INDEX(DATOS3!$1:$19397,A236,MATCH("StudyDescription",DATOS3!$1:$1,0))=0,"",INDEX(DATOS3!$1:$19397,A236,MATCH("StudyDescription",DATOS3!$1:$1,0)))</f>
        <v>#N/A</v>
      </c>
      <c r="I236" t="e">
        <f>IF(INDEX(DATOS3!$1:$19397,A236,MATCH("Dose_Area_Product_Total",DATOS3!$1:$1,0))=0,0,INDEX(DATOS3!$1:$19397,A236,MATCH("Dose_Area_Product_Total",DATOS3!$1:$1,0)))</f>
        <v>#N/A</v>
      </c>
      <c r="J236" t="e">
        <f>IF(INDEX(DATOS3!$1:$19397,A236,MATCH("Dose_RP_Total",DATOS3!$1:$1,0))=0,0,INDEX(DATOS3!$1:$19397,A236,MATCH("Dose_RP_Total",DATOS3!$1:$1,0)))</f>
        <v>#N/A</v>
      </c>
      <c r="K236" t="e">
        <f>IF(INDEX(DATOS3!$1:$19397,A236,MATCH("Total_Fluoro_Time",DATOS3!$1:$1,0))=0,0,INDEX(DATOS3!$1:$19397,A236,MATCH("Total_Fluoro_Time",DATOS3!$1:$1,0)))</f>
        <v>#N/A</v>
      </c>
      <c r="L236" t="e">
        <f>IF(INDEX(DATOS3!$1:$19397,A236,MATCH("Total_Acquisition_Time",DATOS3!$1:$1,0))=0,0,INDEX(DATOS3!$1:$19397,A236,MATCH("Total_Acquisition_Time",DATOS3!$1:$1,0)))</f>
        <v>#N/A</v>
      </c>
    </row>
    <row r="237" spans="1:12" x14ac:dyDescent="0.25">
      <c r="A237">
        <v>237</v>
      </c>
      <c r="B237" t="e">
        <f t="shared" si="3"/>
        <v>#N/A</v>
      </c>
      <c r="D237" t="e">
        <f>IF(INDEX(DATOS3!$1:$19397,A237,MATCH("PatientID",DATOS3!$1:$1,0))=0,"",INDEX(DATOS3!$1:$19397,A237,MATCH("PatientID",DATOS3!$1:$1,0)))</f>
        <v>#N/A</v>
      </c>
      <c r="F237" t="e">
        <f>IF(INDEX(DATOS3!$1:$19397,A237,MATCH("SeriesDate",DATOS3!$1:$1,0))=0,"",INDEX(DATOS3!$1:$19397,A237,MATCH("SeriesDate",DATOS3!$1:$1,0)))</f>
        <v>#N/A</v>
      </c>
      <c r="G237" t="e">
        <f>IF(INDEX(DATOS3!$1:$19397,A237,MATCH("SeriesTime",DATOS3!$1:$1,0))=0,"",INDEX(DATOS3!$1:$19397,A237,MATCH("SeriesTime",DATOS3!$1:$1,0)))</f>
        <v>#N/A</v>
      </c>
      <c r="H237" t="e">
        <f>IF(INDEX(DATOS3!$1:$19397,A237,MATCH("StudyDescription",DATOS3!$1:$1,0))=0,"",INDEX(DATOS3!$1:$19397,A237,MATCH("StudyDescription",DATOS3!$1:$1,0)))</f>
        <v>#N/A</v>
      </c>
      <c r="I237" t="e">
        <f>IF(INDEX(DATOS3!$1:$19397,A237,MATCH("Dose_Area_Product_Total",DATOS3!$1:$1,0))=0,0,INDEX(DATOS3!$1:$19397,A237,MATCH("Dose_Area_Product_Total",DATOS3!$1:$1,0)))</f>
        <v>#N/A</v>
      </c>
      <c r="J237" t="e">
        <f>IF(INDEX(DATOS3!$1:$19397,A237,MATCH("Dose_RP_Total",DATOS3!$1:$1,0))=0,0,INDEX(DATOS3!$1:$19397,A237,MATCH("Dose_RP_Total",DATOS3!$1:$1,0)))</f>
        <v>#N/A</v>
      </c>
      <c r="K237" t="e">
        <f>IF(INDEX(DATOS3!$1:$19397,A237,MATCH("Total_Fluoro_Time",DATOS3!$1:$1,0))=0,0,INDEX(DATOS3!$1:$19397,A237,MATCH("Total_Fluoro_Time",DATOS3!$1:$1,0)))</f>
        <v>#N/A</v>
      </c>
      <c r="L237" t="e">
        <f>IF(INDEX(DATOS3!$1:$19397,A237,MATCH("Total_Acquisition_Time",DATOS3!$1:$1,0))=0,0,INDEX(DATOS3!$1:$19397,A237,MATCH("Total_Acquisition_Time",DATOS3!$1:$1,0)))</f>
        <v>#N/A</v>
      </c>
    </row>
    <row r="238" spans="1:12" x14ac:dyDescent="0.25">
      <c r="A238">
        <v>238</v>
      </c>
      <c r="B238" t="e">
        <f t="shared" si="3"/>
        <v>#N/A</v>
      </c>
      <c r="D238" t="e">
        <f>IF(INDEX(DATOS3!$1:$19397,A238,MATCH("PatientID",DATOS3!$1:$1,0))=0,"",INDEX(DATOS3!$1:$19397,A238,MATCH("PatientID",DATOS3!$1:$1,0)))</f>
        <v>#N/A</v>
      </c>
      <c r="F238" t="e">
        <f>IF(INDEX(DATOS3!$1:$19397,A238,MATCH("SeriesDate",DATOS3!$1:$1,0))=0,"",INDEX(DATOS3!$1:$19397,A238,MATCH("SeriesDate",DATOS3!$1:$1,0)))</f>
        <v>#N/A</v>
      </c>
      <c r="G238" t="e">
        <f>IF(INDEX(DATOS3!$1:$19397,A238,MATCH("SeriesTime",DATOS3!$1:$1,0))=0,"",INDEX(DATOS3!$1:$19397,A238,MATCH("SeriesTime",DATOS3!$1:$1,0)))</f>
        <v>#N/A</v>
      </c>
      <c r="H238" t="e">
        <f>IF(INDEX(DATOS3!$1:$19397,A238,MATCH("StudyDescription",DATOS3!$1:$1,0))=0,"",INDEX(DATOS3!$1:$19397,A238,MATCH("StudyDescription",DATOS3!$1:$1,0)))</f>
        <v>#N/A</v>
      </c>
      <c r="I238" t="e">
        <f>IF(INDEX(DATOS3!$1:$19397,A238,MATCH("Dose_Area_Product_Total",DATOS3!$1:$1,0))=0,0,INDEX(DATOS3!$1:$19397,A238,MATCH("Dose_Area_Product_Total",DATOS3!$1:$1,0)))</f>
        <v>#N/A</v>
      </c>
      <c r="J238" t="e">
        <f>IF(INDEX(DATOS3!$1:$19397,A238,MATCH("Dose_RP_Total",DATOS3!$1:$1,0))=0,0,INDEX(DATOS3!$1:$19397,A238,MATCH("Dose_RP_Total",DATOS3!$1:$1,0)))</f>
        <v>#N/A</v>
      </c>
      <c r="K238" t="e">
        <f>IF(INDEX(DATOS3!$1:$19397,A238,MATCH("Total_Fluoro_Time",DATOS3!$1:$1,0))=0,0,INDEX(DATOS3!$1:$19397,A238,MATCH("Total_Fluoro_Time",DATOS3!$1:$1,0)))</f>
        <v>#N/A</v>
      </c>
      <c r="L238" t="e">
        <f>IF(INDEX(DATOS3!$1:$19397,A238,MATCH("Total_Acquisition_Time",DATOS3!$1:$1,0))=0,0,INDEX(DATOS3!$1:$19397,A238,MATCH("Total_Acquisition_Time",DATOS3!$1:$1,0)))</f>
        <v>#N/A</v>
      </c>
    </row>
    <row r="239" spans="1:12" x14ac:dyDescent="0.25">
      <c r="A239">
        <v>239</v>
      </c>
      <c r="B239" t="e">
        <f t="shared" si="3"/>
        <v>#N/A</v>
      </c>
      <c r="D239" t="e">
        <f>IF(INDEX(DATOS3!$1:$19397,A239,MATCH("PatientID",DATOS3!$1:$1,0))=0,"",INDEX(DATOS3!$1:$19397,A239,MATCH("PatientID",DATOS3!$1:$1,0)))</f>
        <v>#N/A</v>
      </c>
      <c r="F239" t="e">
        <f>IF(INDEX(DATOS3!$1:$19397,A239,MATCH("SeriesDate",DATOS3!$1:$1,0))=0,"",INDEX(DATOS3!$1:$19397,A239,MATCH("SeriesDate",DATOS3!$1:$1,0)))</f>
        <v>#N/A</v>
      </c>
      <c r="G239" t="e">
        <f>IF(INDEX(DATOS3!$1:$19397,A239,MATCH("SeriesTime",DATOS3!$1:$1,0))=0,"",INDEX(DATOS3!$1:$19397,A239,MATCH("SeriesTime",DATOS3!$1:$1,0)))</f>
        <v>#N/A</v>
      </c>
      <c r="H239" t="e">
        <f>IF(INDEX(DATOS3!$1:$19397,A239,MATCH("StudyDescription",DATOS3!$1:$1,0))=0,"",INDEX(DATOS3!$1:$19397,A239,MATCH("StudyDescription",DATOS3!$1:$1,0)))</f>
        <v>#N/A</v>
      </c>
      <c r="I239" t="e">
        <f>IF(INDEX(DATOS3!$1:$19397,A239,MATCH("Dose_Area_Product_Total",DATOS3!$1:$1,0))=0,0,INDEX(DATOS3!$1:$19397,A239,MATCH("Dose_Area_Product_Total",DATOS3!$1:$1,0)))</f>
        <v>#N/A</v>
      </c>
      <c r="J239" t="e">
        <f>IF(INDEX(DATOS3!$1:$19397,A239,MATCH("Dose_RP_Total",DATOS3!$1:$1,0))=0,0,INDEX(DATOS3!$1:$19397,A239,MATCH("Dose_RP_Total",DATOS3!$1:$1,0)))</f>
        <v>#N/A</v>
      </c>
      <c r="K239" t="e">
        <f>IF(INDEX(DATOS3!$1:$19397,A239,MATCH("Total_Fluoro_Time",DATOS3!$1:$1,0))=0,0,INDEX(DATOS3!$1:$19397,A239,MATCH("Total_Fluoro_Time",DATOS3!$1:$1,0)))</f>
        <v>#N/A</v>
      </c>
      <c r="L239" t="e">
        <f>IF(INDEX(DATOS3!$1:$19397,A239,MATCH("Total_Acquisition_Time",DATOS3!$1:$1,0))=0,0,INDEX(DATOS3!$1:$19397,A239,MATCH("Total_Acquisition_Time",DATOS3!$1:$1,0)))</f>
        <v>#N/A</v>
      </c>
    </row>
    <row r="240" spans="1:12" x14ac:dyDescent="0.25">
      <c r="A240">
        <v>240</v>
      </c>
      <c r="B240" t="e">
        <f t="shared" si="3"/>
        <v>#N/A</v>
      </c>
      <c r="D240" t="e">
        <f>IF(INDEX(DATOS3!$1:$19397,A240,MATCH("PatientID",DATOS3!$1:$1,0))=0,"",INDEX(DATOS3!$1:$19397,A240,MATCH("PatientID",DATOS3!$1:$1,0)))</f>
        <v>#N/A</v>
      </c>
      <c r="F240" t="e">
        <f>IF(INDEX(DATOS3!$1:$19397,A240,MATCH("SeriesDate",DATOS3!$1:$1,0))=0,"",INDEX(DATOS3!$1:$19397,A240,MATCH("SeriesDate",DATOS3!$1:$1,0)))</f>
        <v>#N/A</v>
      </c>
      <c r="G240" t="e">
        <f>IF(INDEX(DATOS3!$1:$19397,A240,MATCH("SeriesTime",DATOS3!$1:$1,0))=0,"",INDEX(DATOS3!$1:$19397,A240,MATCH("SeriesTime",DATOS3!$1:$1,0)))</f>
        <v>#N/A</v>
      </c>
      <c r="H240" t="e">
        <f>IF(INDEX(DATOS3!$1:$19397,A240,MATCH("StudyDescription",DATOS3!$1:$1,0))=0,"",INDEX(DATOS3!$1:$19397,A240,MATCH("StudyDescription",DATOS3!$1:$1,0)))</f>
        <v>#N/A</v>
      </c>
      <c r="I240" t="e">
        <f>IF(INDEX(DATOS3!$1:$19397,A240,MATCH("Dose_Area_Product_Total",DATOS3!$1:$1,0))=0,0,INDEX(DATOS3!$1:$19397,A240,MATCH("Dose_Area_Product_Total",DATOS3!$1:$1,0)))</f>
        <v>#N/A</v>
      </c>
      <c r="J240" t="e">
        <f>IF(INDEX(DATOS3!$1:$19397,A240,MATCH("Dose_RP_Total",DATOS3!$1:$1,0))=0,0,INDEX(DATOS3!$1:$19397,A240,MATCH("Dose_RP_Total",DATOS3!$1:$1,0)))</f>
        <v>#N/A</v>
      </c>
      <c r="K240" t="e">
        <f>IF(INDEX(DATOS3!$1:$19397,A240,MATCH("Total_Fluoro_Time",DATOS3!$1:$1,0))=0,0,INDEX(DATOS3!$1:$19397,A240,MATCH("Total_Fluoro_Time",DATOS3!$1:$1,0)))</f>
        <v>#N/A</v>
      </c>
      <c r="L240" t="e">
        <f>IF(INDEX(DATOS3!$1:$19397,A240,MATCH("Total_Acquisition_Time",DATOS3!$1:$1,0))=0,0,INDEX(DATOS3!$1:$19397,A240,MATCH("Total_Acquisition_Time",DATOS3!$1:$1,0)))</f>
        <v>#N/A</v>
      </c>
    </row>
    <row r="241" spans="1:12" x14ac:dyDescent="0.25">
      <c r="A241">
        <v>241</v>
      </c>
      <c r="B241" t="e">
        <f t="shared" si="3"/>
        <v>#N/A</v>
      </c>
      <c r="D241" t="e">
        <f>IF(INDEX(DATOS3!$1:$19397,A241,MATCH("PatientID",DATOS3!$1:$1,0))=0,"",INDEX(DATOS3!$1:$19397,A241,MATCH("PatientID",DATOS3!$1:$1,0)))</f>
        <v>#N/A</v>
      </c>
      <c r="F241" t="e">
        <f>IF(INDEX(DATOS3!$1:$19397,A241,MATCH("SeriesDate",DATOS3!$1:$1,0))=0,"",INDEX(DATOS3!$1:$19397,A241,MATCH("SeriesDate",DATOS3!$1:$1,0)))</f>
        <v>#N/A</v>
      </c>
      <c r="G241" t="e">
        <f>IF(INDEX(DATOS3!$1:$19397,A241,MATCH("SeriesTime",DATOS3!$1:$1,0))=0,"",INDEX(DATOS3!$1:$19397,A241,MATCH("SeriesTime",DATOS3!$1:$1,0)))</f>
        <v>#N/A</v>
      </c>
      <c r="H241" t="e">
        <f>IF(INDEX(DATOS3!$1:$19397,A241,MATCH("StudyDescription",DATOS3!$1:$1,0))=0,"",INDEX(DATOS3!$1:$19397,A241,MATCH("StudyDescription",DATOS3!$1:$1,0)))</f>
        <v>#N/A</v>
      </c>
      <c r="I241" t="e">
        <f>IF(INDEX(DATOS3!$1:$19397,A241,MATCH("Dose_Area_Product_Total",DATOS3!$1:$1,0))=0,0,INDEX(DATOS3!$1:$19397,A241,MATCH("Dose_Area_Product_Total",DATOS3!$1:$1,0)))</f>
        <v>#N/A</v>
      </c>
      <c r="J241" t="e">
        <f>IF(INDEX(DATOS3!$1:$19397,A241,MATCH("Dose_RP_Total",DATOS3!$1:$1,0))=0,0,INDEX(DATOS3!$1:$19397,A241,MATCH("Dose_RP_Total",DATOS3!$1:$1,0)))</f>
        <v>#N/A</v>
      </c>
      <c r="K241" t="e">
        <f>IF(INDEX(DATOS3!$1:$19397,A241,MATCH("Total_Fluoro_Time",DATOS3!$1:$1,0))=0,0,INDEX(DATOS3!$1:$19397,A241,MATCH("Total_Fluoro_Time",DATOS3!$1:$1,0)))</f>
        <v>#N/A</v>
      </c>
      <c r="L241" t="e">
        <f>IF(INDEX(DATOS3!$1:$19397,A241,MATCH("Total_Acquisition_Time",DATOS3!$1:$1,0))=0,0,INDEX(DATOS3!$1:$19397,A241,MATCH("Total_Acquisition_Time",DATOS3!$1:$1,0)))</f>
        <v>#N/A</v>
      </c>
    </row>
    <row r="242" spans="1:12" x14ac:dyDescent="0.25">
      <c r="A242">
        <v>242</v>
      </c>
      <c r="B242" t="e">
        <f t="shared" si="3"/>
        <v>#N/A</v>
      </c>
      <c r="D242" t="e">
        <f>IF(INDEX(DATOS3!$1:$19397,A242,MATCH("PatientID",DATOS3!$1:$1,0))=0,"",INDEX(DATOS3!$1:$19397,A242,MATCH("PatientID",DATOS3!$1:$1,0)))</f>
        <v>#N/A</v>
      </c>
      <c r="F242" t="e">
        <f>IF(INDEX(DATOS3!$1:$19397,A242,MATCH("SeriesDate",DATOS3!$1:$1,0))=0,"",INDEX(DATOS3!$1:$19397,A242,MATCH("SeriesDate",DATOS3!$1:$1,0)))</f>
        <v>#N/A</v>
      </c>
      <c r="G242" t="e">
        <f>IF(INDEX(DATOS3!$1:$19397,A242,MATCH("SeriesTime",DATOS3!$1:$1,0))=0,"",INDEX(DATOS3!$1:$19397,A242,MATCH("SeriesTime",DATOS3!$1:$1,0)))</f>
        <v>#N/A</v>
      </c>
      <c r="H242" t="e">
        <f>IF(INDEX(DATOS3!$1:$19397,A242,MATCH("StudyDescription",DATOS3!$1:$1,0))=0,"",INDEX(DATOS3!$1:$19397,A242,MATCH("StudyDescription",DATOS3!$1:$1,0)))</f>
        <v>#N/A</v>
      </c>
      <c r="I242" t="e">
        <f>IF(INDEX(DATOS3!$1:$19397,A242,MATCH("Dose_Area_Product_Total",DATOS3!$1:$1,0))=0,0,INDEX(DATOS3!$1:$19397,A242,MATCH("Dose_Area_Product_Total",DATOS3!$1:$1,0)))</f>
        <v>#N/A</v>
      </c>
      <c r="J242" t="e">
        <f>IF(INDEX(DATOS3!$1:$19397,A242,MATCH("Dose_RP_Total",DATOS3!$1:$1,0))=0,0,INDEX(DATOS3!$1:$19397,A242,MATCH("Dose_RP_Total",DATOS3!$1:$1,0)))</f>
        <v>#N/A</v>
      </c>
      <c r="K242" t="e">
        <f>IF(INDEX(DATOS3!$1:$19397,A242,MATCH("Total_Fluoro_Time",DATOS3!$1:$1,0))=0,0,INDEX(DATOS3!$1:$19397,A242,MATCH("Total_Fluoro_Time",DATOS3!$1:$1,0)))</f>
        <v>#N/A</v>
      </c>
      <c r="L242" t="e">
        <f>IF(INDEX(DATOS3!$1:$19397,A242,MATCH("Total_Acquisition_Time",DATOS3!$1:$1,0))=0,0,INDEX(DATOS3!$1:$19397,A242,MATCH("Total_Acquisition_Time",DATOS3!$1:$1,0)))</f>
        <v>#N/A</v>
      </c>
    </row>
    <row r="243" spans="1:12" x14ac:dyDescent="0.25">
      <c r="A243">
        <v>243</v>
      </c>
      <c r="B243" t="e">
        <f t="shared" si="3"/>
        <v>#N/A</v>
      </c>
      <c r="D243" t="e">
        <f>IF(INDEX(DATOS3!$1:$19397,A243,MATCH("PatientID",DATOS3!$1:$1,0))=0,"",INDEX(DATOS3!$1:$19397,A243,MATCH("PatientID",DATOS3!$1:$1,0)))</f>
        <v>#N/A</v>
      </c>
      <c r="F243" t="e">
        <f>IF(INDEX(DATOS3!$1:$19397,A243,MATCH("SeriesDate",DATOS3!$1:$1,0))=0,"",INDEX(DATOS3!$1:$19397,A243,MATCH("SeriesDate",DATOS3!$1:$1,0)))</f>
        <v>#N/A</v>
      </c>
      <c r="G243" t="e">
        <f>IF(INDEX(DATOS3!$1:$19397,A243,MATCH("SeriesTime",DATOS3!$1:$1,0))=0,"",INDEX(DATOS3!$1:$19397,A243,MATCH("SeriesTime",DATOS3!$1:$1,0)))</f>
        <v>#N/A</v>
      </c>
      <c r="H243" t="e">
        <f>IF(INDEX(DATOS3!$1:$19397,A243,MATCH("StudyDescription",DATOS3!$1:$1,0))=0,"",INDEX(DATOS3!$1:$19397,A243,MATCH("StudyDescription",DATOS3!$1:$1,0)))</f>
        <v>#N/A</v>
      </c>
      <c r="I243" t="e">
        <f>IF(INDEX(DATOS3!$1:$19397,A243,MATCH("Dose_Area_Product_Total",DATOS3!$1:$1,0))=0,0,INDEX(DATOS3!$1:$19397,A243,MATCH("Dose_Area_Product_Total",DATOS3!$1:$1,0)))</f>
        <v>#N/A</v>
      </c>
      <c r="J243" t="e">
        <f>IF(INDEX(DATOS3!$1:$19397,A243,MATCH("Dose_RP_Total",DATOS3!$1:$1,0))=0,0,INDEX(DATOS3!$1:$19397,A243,MATCH("Dose_RP_Total",DATOS3!$1:$1,0)))</f>
        <v>#N/A</v>
      </c>
      <c r="K243" t="e">
        <f>IF(INDEX(DATOS3!$1:$19397,A243,MATCH("Total_Fluoro_Time",DATOS3!$1:$1,0))=0,0,INDEX(DATOS3!$1:$19397,A243,MATCH("Total_Fluoro_Time",DATOS3!$1:$1,0)))</f>
        <v>#N/A</v>
      </c>
      <c r="L243" t="e">
        <f>IF(INDEX(DATOS3!$1:$19397,A243,MATCH("Total_Acquisition_Time",DATOS3!$1:$1,0))=0,0,INDEX(DATOS3!$1:$19397,A243,MATCH("Total_Acquisition_Time",DATOS3!$1:$1,0)))</f>
        <v>#N/A</v>
      </c>
    </row>
    <row r="244" spans="1:12" x14ac:dyDescent="0.25">
      <c r="A244">
        <v>244</v>
      </c>
      <c r="B244" t="e">
        <f t="shared" si="3"/>
        <v>#N/A</v>
      </c>
      <c r="D244" t="e">
        <f>IF(INDEX(DATOS3!$1:$19397,A244,MATCH("PatientID",DATOS3!$1:$1,0))=0,"",INDEX(DATOS3!$1:$19397,A244,MATCH("PatientID",DATOS3!$1:$1,0)))</f>
        <v>#N/A</v>
      </c>
      <c r="F244" t="e">
        <f>IF(INDEX(DATOS3!$1:$19397,A244,MATCH("SeriesDate",DATOS3!$1:$1,0))=0,"",INDEX(DATOS3!$1:$19397,A244,MATCH("SeriesDate",DATOS3!$1:$1,0)))</f>
        <v>#N/A</v>
      </c>
      <c r="G244" t="e">
        <f>IF(INDEX(DATOS3!$1:$19397,A244,MATCH("SeriesTime",DATOS3!$1:$1,0))=0,"",INDEX(DATOS3!$1:$19397,A244,MATCH("SeriesTime",DATOS3!$1:$1,0)))</f>
        <v>#N/A</v>
      </c>
      <c r="H244" t="e">
        <f>IF(INDEX(DATOS3!$1:$19397,A244,MATCH("StudyDescription",DATOS3!$1:$1,0))=0,"",INDEX(DATOS3!$1:$19397,A244,MATCH("StudyDescription",DATOS3!$1:$1,0)))</f>
        <v>#N/A</v>
      </c>
      <c r="I244" t="e">
        <f>IF(INDEX(DATOS3!$1:$19397,A244,MATCH("Dose_Area_Product_Total",DATOS3!$1:$1,0))=0,0,INDEX(DATOS3!$1:$19397,A244,MATCH("Dose_Area_Product_Total",DATOS3!$1:$1,0)))</f>
        <v>#N/A</v>
      </c>
      <c r="J244" t="e">
        <f>IF(INDEX(DATOS3!$1:$19397,A244,MATCH("Dose_RP_Total",DATOS3!$1:$1,0))=0,0,INDEX(DATOS3!$1:$19397,A244,MATCH("Dose_RP_Total",DATOS3!$1:$1,0)))</f>
        <v>#N/A</v>
      </c>
      <c r="K244" t="e">
        <f>IF(INDEX(DATOS3!$1:$19397,A244,MATCH("Total_Fluoro_Time",DATOS3!$1:$1,0))=0,0,INDEX(DATOS3!$1:$19397,A244,MATCH("Total_Fluoro_Time",DATOS3!$1:$1,0)))</f>
        <v>#N/A</v>
      </c>
      <c r="L244" t="e">
        <f>IF(INDEX(DATOS3!$1:$19397,A244,MATCH("Total_Acquisition_Time",DATOS3!$1:$1,0))=0,0,INDEX(DATOS3!$1:$19397,A244,MATCH("Total_Acquisition_Time",DATOS3!$1:$1,0)))</f>
        <v>#N/A</v>
      </c>
    </row>
    <row r="245" spans="1:12" x14ac:dyDescent="0.25">
      <c r="A245">
        <v>245</v>
      </c>
      <c r="B245" t="e">
        <f t="shared" si="3"/>
        <v>#N/A</v>
      </c>
      <c r="D245" t="e">
        <f>IF(INDEX(DATOS3!$1:$19397,A245,MATCH("PatientID",DATOS3!$1:$1,0))=0,"",INDEX(DATOS3!$1:$19397,A245,MATCH("PatientID",DATOS3!$1:$1,0)))</f>
        <v>#N/A</v>
      </c>
      <c r="F245" t="e">
        <f>IF(INDEX(DATOS3!$1:$19397,A245,MATCH("SeriesDate",DATOS3!$1:$1,0))=0,"",INDEX(DATOS3!$1:$19397,A245,MATCH("SeriesDate",DATOS3!$1:$1,0)))</f>
        <v>#N/A</v>
      </c>
      <c r="G245" t="e">
        <f>IF(INDEX(DATOS3!$1:$19397,A245,MATCH("SeriesTime",DATOS3!$1:$1,0))=0,"",INDEX(DATOS3!$1:$19397,A245,MATCH("SeriesTime",DATOS3!$1:$1,0)))</f>
        <v>#N/A</v>
      </c>
      <c r="H245" t="e">
        <f>IF(INDEX(DATOS3!$1:$19397,A245,MATCH("StudyDescription",DATOS3!$1:$1,0))=0,"",INDEX(DATOS3!$1:$19397,A245,MATCH("StudyDescription",DATOS3!$1:$1,0)))</f>
        <v>#N/A</v>
      </c>
      <c r="I245" t="e">
        <f>IF(INDEX(DATOS3!$1:$19397,A245,MATCH("Dose_Area_Product_Total",DATOS3!$1:$1,0))=0,0,INDEX(DATOS3!$1:$19397,A245,MATCH("Dose_Area_Product_Total",DATOS3!$1:$1,0)))</f>
        <v>#N/A</v>
      </c>
      <c r="J245" t="e">
        <f>IF(INDEX(DATOS3!$1:$19397,A245,MATCH("Dose_RP_Total",DATOS3!$1:$1,0))=0,0,INDEX(DATOS3!$1:$19397,A245,MATCH("Dose_RP_Total",DATOS3!$1:$1,0)))</f>
        <v>#N/A</v>
      </c>
      <c r="K245" t="e">
        <f>IF(INDEX(DATOS3!$1:$19397,A245,MATCH("Total_Fluoro_Time",DATOS3!$1:$1,0))=0,0,INDEX(DATOS3!$1:$19397,A245,MATCH("Total_Fluoro_Time",DATOS3!$1:$1,0)))</f>
        <v>#N/A</v>
      </c>
      <c r="L245" t="e">
        <f>IF(INDEX(DATOS3!$1:$19397,A245,MATCH("Total_Acquisition_Time",DATOS3!$1:$1,0))=0,0,INDEX(DATOS3!$1:$19397,A245,MATCH("Total_Acquisition_Time",DATOS3!$1:$1,0)))</f>
        <v>#N/A</v>
      </c>
    </row>
    <row r="246" spans="1:12" x14ac:dyDescent="0.25">
      <c r="A246">
        <v>246</v>
      </c>
      <c r="B246" t="e">
        <f t="shared" si="3"/>
        <v>#N/A</v>
      </c>
      <c r="D246" t="e">
        <f>IF(INDEX(DATOS3!$1:$19397,A246,MATCH("PatientID",DATOS3!$1:$1,0))=0,"",INDEX(DATOS3!$1:$19397,A246,MATCH("PatientID",DATOS3!$1:$1,0)))</f>
        <v>#N/A</v>
      </c>
      <c r="F246" t="e">
        <f>IF(INDEX(DATOS3!$1:$19397,A246,MATCH("SeriesDate",DATOS3!$1:$1,0))=0,"",INDEX(DATOS3!$1:$19397,A246,MATCH("SeriesDate",DATOS3!$1:$1,0)))</f>
        <v>#N/A</v>
      </c>
      <c r="G246" t="e">
        <f>IF(INDEX(DATOS3!$1:$19397,A246,MATCH("SeriesTime",DATOS3!$1:$1,0))=0,"",INDEX(DATOS3!$1:$19397,A246,MATCH("SeriesTime",DATOS3!$1:$1,0)))</f>
        <v>#N/A</v>
      </c>
      <c r="H246" t="e">
        <f>IF(INDEX(DATOS3!$1:$19397,A246,MATCH("StudyDescription",DATOS3!$1:$1,0))=0,"",INDEX(DATOS3!$1:$19397,A246,MATCH("StudyDescription",DATOS3!$1:$1,0)))</f>
        <v>#N/A</v>
      </c>
      <c r="I246" t="e">
        <f>IF(INDEX(DATOS3!$1:$19397,A246,MATCH("Dose_Area_Product_Total",DATOS3!$1:$1,0))=0,0,INDEX(DATOS3!$1:$19397,A246,MATCH("Dose_Area_Product_Total",DATOS3!$1:$1,0)))</f>
        <v>#N/A</v>
      </c>
      <c r="J246" t="e">
        <f>IF(INDEX(DATOS3!$1:$19397,A246,MATCH("Dose_RP_Total",DATOS3!$1:$1,0))=0,0,INDEX(DATOS3!$1:$19397,A246,MATCH("Dose_RP_Total",DATOS3!$1:$1,0)))</f>
        <v>#N/A</v>
      </c>
      <c r="K246" t="e">
        <f>IF(INDEX(DATOS3!$1:$19397,A246,MATCH("Total_Fluoro_Time",DATOS3!$1:$1,0))=0,0,INDEX(DATOS3!$1:$19397,A246,MATCH("Total_Fluoro_Time",DATOS3!$1:$1,0)))</f>
        <v>#N/A</v>
      </c>
      <c r="L246" t="e">
        <f>IF(INDEX(DATOS3!$1:$19397,A246,MATCH("Total_Acquisition_Time",DATOS3!$1:$1,0))=0,0,INDEX(DATOS3!$1:$19397,A246,MATCH("Total_Acquisition_Time",DATOS3!$1:$1,0)))</f>
        <v>#N/A</v>
      </c>
    </row>
    <row r="247" spans="1:12" x14ac:dyDescent="0.25">
      <c r="A247">
        <v>247</v>
      </c>
      <c r="B247" t="e">
        <f t="shared" si="3"/>
        <v>#N/A</v>
      </c>
      <c r="D247" t="e">
        <f>IF(INDEX(DATOS3!$1:$19397,A247,MATCH("PatientID",DATOS3!$1:$1,0))=0,"",INDEX(DATOS3!$1:$19397,A247,MATCH("PatientID",DATOS3!$1:$1,0)))</f>
        <v>#N/A</v>
      </c>
      <c r="F247" t="e">
        <f>IF(INDEX(DATOS3!$1:$19397,A247,MATCH("SeriesDate",DATOS3!$1:$1,0))=0,"",INDEX(DATOS3!$1:$19397,A247,MATCH("SeriesDate",DATOS3!$1:$1,0)))</f>
        <v>#N/A</v>
      </c>
      <c r="G247" t="e">
        <f>IF(INDEX(DATOS3!$1:$19397,A247,MATCH("SeriesTime",DATOS3!$1:$1,0))=0,"",INDEX(DATOS3!$1:$19397,A247,MATCH("SeriesTime",DATOS3!$1:$1,0)))</f>
        <v>#N/A</v>
      </c>
      <c r="H247" t="e">
        <f>IF(INDEX(DATOS3!$1:$19397,A247,MATCH("StudyDescription",DATOS3!$1:$1,0))=0,"",INDEX(DATOS3!$1:$19397,A247,MATCH("StudyDescription",DATOS3!$1:$1,0)))</f>
        <v>#N/A</v>
      </c>
      <c r="I247" t="e">
        <f>IF(INDEX(DATOS3!$1:$19397,A247,MATCH("Dose_Area_Product_Total",DATOS3!$1:$1,0))=0,0,INDEX(DATOS3!$1:$19397,A247,MATCH("Dose_Area_Product_Total",DATOS3!$1:$1,0)))</f>
        <v>#N/A</v>
      </c>
      <c r="J247" t="e">
        <f>IF(INDEX(DATOS3!$1:$19397,A247,MATCH("Dose_RP_Total",DATOS3!$1:$1,0))=0,0,INDEX(DATOS3!$1:$19397,A247,MATCH("Dose_RP_Total",DATOS3!$1:$1,0)))</f>
        <v>#N/A</v>
      </c>
      <c r="K247" t="e">
        <f>IF(INDEX(DATOS3!$1:$19397,A247,MATCH("Total_Fluoro_Time",DATOS3!$1:$1,0))=0,0,INDEX(DATOS3!$1:$19397,A247,MATCH("Total_Fluoro_Time",DATOS3!$1:$1,0)))</f>
        <v>#N/A</v>
      </c>
      <c r="L247" t="e">
        <f>IF(INDEX(DATOS3!$1:$19397,A247,MATCH("Total_Acquisition_Time",DATOS3!$1:$1,0))=0,0,INDEX(DATOS3!$1:$19397,A247,MATCH("Total_Acquisition_Time",DATOS3!$1:$1,0)))</f>
        <v>#N/A</v>
      </c>
    </row>
    <row r="248" spans="1:12" x14ac:dyDescent="0.25">
      <c r="A248">
        <v>248</v>
      </c>
      <c r="B248" t="e">
        <f t="shared" si="3"/>
        <v>#N/A</v>
      </c>
      <c r="D248" t="e">
        <f>IF(INDEX(DATOS3!$1:$19397,A248,MATCH("PatientID",DATOS3!$1:$1,0))=0,"",INDEX(DATOS3!$1:$19397,A248,MATCH("PatientID",DATOS3!$1:$1,0)))</f>
        <v>#N/A</v>
      </c>
      <c r="F248" t="e">
        <f>IF(INDEX(DATOS3!$1:$19397,A248,MATCH("SeriesDate",DATOS3!$1:$1,0))=0,"",INDEX(DATOS3!$1:$19397,A248,MATCH("SeriesDate",DATOS3!$1:$1,0)))</f>
        <v>#N/A</v>
      </c>
      <c r="G248" t="e">
        <f>IF(INDEX(DATOS3!$1:$19397,A248,MATCH("SeriesTime",DATOS3!$1:$1,0))=0,"",INDEX(DATOS3!$1:$19397,A248,MATCH("SeriesTime",DATOS3!$1:$1,0)))</f>
        <v>#N/A</v>
      </c>
      <c r="H248" t="e">
        <f>IF(INDEX(DATOS3!$1:$19397,A248,MATCH("StudyDescription",DATOS3!$1:$1,0))=0,"",INDEX(DATOS3!$1:$19397,A248,MATCH("StudyDescription",DATOS3!$1:$1,0)))</f>
        <v>#N/A</v>
      </c>
      <c r="I248" t="e">
        <f>IF(INDEX(DATOS3!$1:$19397,A248,MATCH("Dose_Area_Product_Total",DATOS3!$1:$1,0))=0,0,INDEX(DATOS3!$1:$19397,A248,MATCH("Dose_Area_Product_Total",DATOS3!$1:$1,0)))</f>
        <v>#N/A</v>
      </c>
      <c r="J248" t="e">
        <f>IF(INDEX(DATOS3!$1:$19397,A248,MATCH("Dose_RP_Total",DATOS3!$1:$1,0))=0,0,INDEX(DATOS3!$1:$19397,A248,MATCH("Dose_RP_Total",DATOS3!$1:$1,0)))</f>
        <v>#N/A</v>
      </c>
      <c r="K248" t="e">
        <f>IF(INDEX(DATOS3!$1:$19397,A248,MATCH("Total_Fluoro_Time",DATOS3!$1:$1,0))=0,0,INDEX(DATOS3!$1:$19397,A248,MATCH("Total_Fluoro_Time",DATOS3!$1:$1,0)))</f>
        <v>#N/A</v>
      </c>
      <c r="L248" t="e">
        <f>IF(INDEX(DATOS3!$1:$19397,A248,MATCH("Total_Acquisition_Time",DATOS3!$1:$1,0))=0,0,INDEX(DATOS3!$1:$19397,A248,MATCH("Total_Acquisition_Time",DATOS3!$1:$1,0)))</f>
        <v>#N/A</v>
      </c>
    </row>
    <row r="249" spans="1:12" x14ac:dyDescent="0.25">
      <c r="A249">
        <v>249</v>
      </c>
      <c r="B249" t="e">
        <f t="shared" si="3"/>
        <v>#N/A</v>
      </c>
      <c r="D249" t="e">
        <f>IF(INDEX(DATOS3!$1:$19397,A249,MATCH("PatientID",DATOS3!$1:$1,0))=0,"",INDEX(DATOS3!$1:$19397,A249,MATCH("PatientID",DATOS3!$1:$1,0)))</f>
        <v>#N/A</v>
      </c>
      <c r="F249" t="e">
        <f>IF(INDEX(DATOS3!$1:$19397,A249,MATCH("SeriesDate",DATOS3!$1:$1,0))=0,"",INDEX(DATOS3!$1:$19397,A249,MATCH("SeriesDate",DATOS3!$1:$1,0)))</f>
        <v>#N/A</v>
      </c>
      <c r="G249" t="e">
        <f>IF(INDEX(DATOS3!$1:$19397,A249,MATCH("SeriesTime",DATOS3!$1:$1,0))=0,"",INDEX(DATOS3!$1:$19397,A249,MATCH("SeriesTime",DATOS3!$1:$1,0)))</f>
        <v>#N/A</v>
      </c>
      <c r="H249" t="e">
        <f>IF(INDEX(DATOS3!$1:$19397,A249,MATCH("StudyDescription",DATOS3!$1:$1,0))=0,"",INDEX(DATOS3!$1:$19397,A249,MATCH("StudyDescription",DATOS3!$1:$1,0)))</f>
        <v>#N/A</v>
      </c>
      <c r="I249" t="e">
        <f>IF(INDEX(DATOS3!$1:$19397,A249,MATCH("Dose_Area_Product_Total",DATOS3!$1:$1,0))=0,0,INDEX(DATOS3!$1:$19397,A249,MATCH("Dose_Area_Product_Total",DATOS3!$1:$1,0)))</f>
        <v>#N/A</v>
      </c>
      <c r="J249" t="e">
        <f>IF(INDEX(DATOS3!$1:$19397,A249,MATCH("Dose_RP_Total",DATOS3!$1:$1,0))=0,0,INDEX(DATOS3!$1:$19397,A249,MATCH("Dose_RP_Total",DATOS3!$1:$1,0)))</f>
        <v>#N/A</v>
      </c>
      <c r="K249" t="e">
        <f>IF(INDEX(DATOS3!$1:$19397,A249,MATCH("Total_Fluoro_Time",DATOS3!$1:$1,0))=0,0,INDEX(DATOS3!$1:$19397,A249,MATCH("Total_Fluoro_Time",DATOS3!$1:$1,0)))</f>
        <v>#N/A</v>
      </c>
      <c r="L249" t="e">
        <f>IF(INDEX(DATOS3!$1:$19397,A249,MATCH("Total_Acquisition_Time",DATOS3!$1:$1,0))=0,0,INDEX(DATOS3!$1:$19397,A249,MATCH("Total_Acquisition_Time",DATOS3!$1:$1,0)))</f>
        <v>#N/A</v>
      </c>
    </row>
    <row r="250" spans="1:12" x14ac:dyDescent="0.25">
      <c r="A250">
        <v>250</v>
      </c>
      <c r="B250" t="e">
        <f t="shared" si="3"/>
        <v>#N/A</v>
      </c>
      <c r="D250" t="e">
        <f>IF(INDEX(DATOS3!$1:$19397,A250,MATCH("PatientID",DATOS3!$1:$1,0))=0,"",INDEX(DATOS3!$1:$19397,A250,MATCH("PatientID",DATOS3!$1:$1,0)))</f>
        <v>#N/A</v>
      </c>
      <c r="F250" t="e">
        <f>IF(INDEX(DATOS3!$1:$19397,A250,MATCH("SeriesDate",DATOS3!$1:$1,0))=0,"",INDEX(DATOS3!$1:$19397,A250,MATCH("SeriesDate",DATOS3!$1:$1,0)))</f>
        <v>#N/A</v>
      </c>
      <c r="G250" t="e">
        <f>IF(INDEX(DATOS3!$1:$19397,A250,MATCH("SeriesTime",DATOS3!$1:$1,0))=0,"",INDEX(DATOS3!$1:$19397,A250,MATCH("SeriesTime",DATOS3!$1:$1,0)))</f>
        <v>#N/A</v>
      </c>
      <c r="H250" t="e">
        <f>IF(INDEX(DATOS3!$1:$19397,A250,MATCH("StudyDescription",DATOS3!$1:$1,0))=0,"",INDEX(DATOS3!$1:$19397,A250,MATCH("StudyDescription",DATOS3!$1:$1,0)))</f>
        <v>#N/A</v>
      </c>
      <c r="I250" t="e">
        <f>IF(INDEX(DATOS3!$1:$19397,A250,MATCH("Dose_Area_Product_Total",DATOS3!$1:$1,0))=0,0,INDEX(DATOS3!$1:$19397,A250,MATCH("Dose_Area_Product_Total",DATOS3!$1:$1,0)))</f>
        <v>#N/A</v>
      </c>
      <c r="J250" t="e">
        <f>IF(INDEX(DATOS3!$1:$19397,A250,MATCH("Dose_RP_Total",DATOS3!$1:$1,0))=0,0,INDEX(DATOS3!$1:$19397,A250,MATCH("Dose_RP_Total",DATOS3!$1:$1,0)))</f>
        <v>#N/A</v>
      </c>
      <c r="K250" t="e">
        <f>IF(INDEX(DATOS3!$1:$19397,A250,MATCH("Total_Fluoro_Time",DATOS3!$1:$1,0))=0,0,INDEX(DATOS3!$1:$19397,A250,MATCH("Total_Fluoro_Time",DATOS3!$1:$1,0)))</f>
        <v>#N/A</v>
      </c>
      <c r="L250" t="e">
        <f>IF(INDEX(DATOS3!$1:$19397,A250,MATCH("Total_Acquisition_Time",DATOS3!$1:$1,0))=0,0,INDEX(DATOS3!$1:$19397,A250,MATCH("Total_Acquisition_Time",DATOS3!$1:$1,0)))</f>
        <v>#N/A</v>
      </c>
    </row>
    <row r="251" spans="1:12" x14ac:dyDescent="0.25">
      <c r="A251">
        <v>251</v>
      </c>
      <c r="B251" t="e">
        <f t="shared" si="3"/>
        <v>#N/A</v>
      </c>
      <c r="D251" t="e">
        <f>IF(INDEX(DATOS3!$1:$19397,A251,MATCH("PatientID",DATOS3!$1:$1,0))=0,"",INDEX(DATOS3!$1:$19397,A251,MATCH("PatientID",DATOS3!$1:$1,0)))</f>
        <v>#N/A</v>
      </c>
      <c r="F251" t="e">
        <f>IF(INDEX(DATOS3!$1:$19397,A251,MATCH("SeriesDate",DATOS3!$1:$1,0))=0,"",INDEX(DATOS3!$1:$19397,A251,MATCH("SeriesDate",DATOS3!$1:$1,0)))</f>
        <v>#N/A</v>
      </c>
      <c r="G251" t="e">
        <f>IF(INDEX(DATOS3!$1:$19397,A251,MATCH("SeriesTime",DATOS3!$1:$1,0))=0,"",INDEX(DATOS3!$1:$19397,A251,MATCH("SeriesTime",DATOS3!$1:$1,0)))</f>
        <v>#N/A</v>
      </c>
      <c r="H251" t="e">
        <f>IF(INDEX(DATOS3!$1:$19397,A251,MATCH("StudyDescription",DATOS3!$1:$1,0))=0,"",INDEX(DATOS3!$1:$19397,A251,MATCH("StudyDescription",DATOS3!$1:$1,0)))</f>
        <v>#N/A</v>
      </c>
      <c r="I251" t="e">
        <f>IF(INDEX(DATOS3!$1:$19397,A251,MATCH("Dose_Area_Product_Total",DATOS3!$1:$1,0))=0,0,INDEX(DATOS3!$1:$19397,A251,MATCH("Dose_Area_Product_Total",DATOS3!$1:$1,0)))</f>
        <v>#N/A</v>
      </c>
      <c r="J251" t="e">
        <f>IF(INDEX(DATOS3!$1:$19397,A251,MATCH("Dose_RP_Total",DATOS3!$1:$1,0))=0,0,INDEX(DATOS3!$1:$19397,A251,MATCH("Dose_RP_Total",DATOS3!$1:$1,0)))</f>
        <v>#N/A</v>
      </c>
      <c r="K251" t="e">
        <f>IF(INDEX(DATOS3!$1:$19397,A251,MATCH("Total_Fluoro_Time",DATOS3!$1:$1,0))=0,0,INDEX(DATOS3!$1:$19397,A251,MATCH("Total_Fluoro_Time",DATOS3!$1:$1,0)))</f>
        <v>#N/A</v>
      </c>
      <c r="L251" t="e">
        <f>IF(INDEX(DATOS3!$1:$19397,A251,MATCH("Total_Acquisition_Time",DATOS3!$1:$1,0))=0,0,INDEX(DATOS3!$1:$19397,A251,MATCH("Total_Acquisition_Time",DATOS3!$1:$1,0)))</f>
        <v>#N/A</v>
      </c>
    </row>
    <row r="252" spans="1:12" x14ac:dyDescent="0.25">
      <c r="A252">
        <v>252</v>
      </c>
      <c r="B252" t="e">
        <f t="shared" si="3"/>
        <v>#N/A</v>
      </c>
      <c r="D252" t="e">
        <f>IF(INDEX(DATOS3!$1:$19397,A252,MATCH("PatientID",DATOS3!$1:$1,0))=0,"",INDEX(DATOS3!$1:$19397,A252,MATCH("PatientID",DATOS3!$1:$1,0)))</f>
        <v>#N/A</v>
      </c>
      <c r="F252" t="e">
        <f>IF(INDEX(DATOS3!$1:$19397,A252,MATCH("SeriesDate",DATOS3!$1:$1,0))=0,"",INDEX(DATOS3!$1:$19397,A252,MATCH("SeriesDate",DATOS3!$1:$1,0)))</f>
        <v>#N/A</v>
      </c>
      <c r="G252" t="e">
        <f>IF(INDEX(DATOS3!$1:$19397,A252,MATCH("SeriesTime",DATOS3!$1:$1,0))=0,"",INDEX(DATOS3!$1:$19397,A252,MATCH("SeriesTime",DATOS3!$1:$1,0)))</f>
        <v>#N/A</v>
      </c>
      <c r="H252" t="e">
        <f>IF(INDEX(DATOS3!$1:$19397,A252,MATCH("StudyDescription",DATOS3!$1:$1,0))=0,"",INDEX(DATOS3!$1:$19397,A252,MATCH("StudyDescription",DATOS3!$1:$1,0)))</f>
        <v>#N/A</v>
      </c>
      <c r="I252" t="e">
        <f>IF(INDEX(DATOS3!$1:$19397,A252,MATCH("Dose_Area_Product_Total",DATOS3!$1:$1,0))=0,0,INDEX(DATOS3!$1:$19397,A252,MATCH("Dose_Area_Product_Total",DATOS3!$1:$1,0)))</f>
        <v>#N/A</v>
      </c>
      <c r="J252" t="e">
        <f>IF(INDEX(DATOS3!$1:$19397,A252,MATCH("Dose_RP_Total",DATOS3!$1:$1,0))=0,0,INDEX(DATOS3!$1:$19397,A252,MATCH("Dose_RP_Total",DATOS3!$1:$1,0)))</f>
        <v>#N/A</v>
      </c>
      <c r="K252" t="e">
        <f>IF(INDEX(DATOS3!$1:$19397,A252,MATCH("Total_Fluoro_Time",DATOS3!$1:$1,0))=0,0,INDEX(DATOS3!$1:$19397,A252,MATCH("Total_Fluoro_Time",DATOS3!$1:$1,0)))</f>
        <v>#N/A</v>
      </c>
      <c r="L252" t="e">
        <f>IF(INDEX(DATOS3!$1:$19397,A252,MATCH("Total_Acquisition_Time",DATOS3!$1:$1,0))=0,0,INDEX(DATOS3!$1:$19397,A252,MATCH("Total_Acquisition_Time",DATOS3!$1:$1,0)))</f>
        <v>#N/A</v>
      </c>
    </row>
    <row r="253" spans="1:12" x14ac:dyDescent="0.25">
      <c r="A253">
        <v>253</v>
      </c>
      <c r="B253" t="e">
        <f t="shared" si="3"/>
        <v>#N/A</v>
      </c>
      <c r="D253" t="e">
        <f>IF(INDEX(DATOS3!$1:$19397,A253,MATCH("PatientID",DATOS3!$1:$1,0))=0,"",INDEX(DATOS3!$1:$19397,A253,MATCH("PatientID",DATOS3!$1:$1,0)))</f>
        <v>#N/A</v>
      </c>
      <c r="F253" t="e">
        <f>IF(INDEX(DATOS3!$1:$19397,A253,MATCH("SeriesDate",DATOS3!$1:$1,0))=0,"",INDEX(DATOS3!$1:$19397,A253,MATCH("SeriesDate",DATOS3!$1:$1,0)))</f>
        <v>#N/A</v>
      </c>
      <c r="G253" t="e">
        <f>IF(INDEX(DATOS3!$1:$19397,A253,MATCH("SeriesTime",DATOS3!$1:$1,0))=0,"",INDEX(DATOS3!$1:$19397,A253,MATCH("SeriesTime",DATOS3!$1:$1,0)))</f>
        <v>#N/A</v>
      </c>
      <c r="H253" t="e">
        <f>IF(INDEX(DATOS3!$1:$19397,A253,MATCH("StudyDescription",DATOS3!$1:$1,0))=0,"",INDEX(DATOS3!$1:$19397,A253,MATCH("StudyDescription",DATOS3!$1:$1,0)))</f>
        <v>#N/A</v>
      </c>
      <c r="I253" t="e">
        <f>IF(INDEX(DATOS3!$1:$19397,A253,MATCH("Dose_Area_Product_Total",DATOS3!$1:$1,0))=0,0,INDEX(DATOS3!$1:$19397,A253,MATCH("Dose_Area_Product_Total",DATOS3!$1:$1,0)))</f>
        <v>#N/A</v>
      </c>
      <c r="J253" t="e">
        <f>IF(INDEX(DATOS3!$1:$19397,A253,MATCH("Dose_RP_Total",DATOS3!$1:$1,0))=0,0,INDEX(DATOS3!$1:$19397,A253,MATCH("Dose_RP_Total",DATOS3!$1:$1,0)))</f>
        <v>#N/A</v>
      </c>
      <c r="K253" t="e">
        <f>IF(INDEX(DATOS3!$1:$19397,A253,MATCH("Total_Fluoro_Time",DATOS3!$1:$1,0))=0,0,INDEX(DATOS3!$1:$19397,A253,MATCH("Total_Fluoro_Time",DATOS3!$1:$1,0)))</f>
        <v>#N/A</v>
      </c>
      <c r="L253" t="e">
        <f>IF(INDEX(DATOS3!$1:$19397,A253,MATCH("Total_Acquisition_Time",DATOS3!$1:$1,0))=0,0,INDEX(DATOS3!$1:$19397,A253,MATCH("Total_Acquisition_Time",DATOS3!$1:$1,0)))</f>
        <v>#N/A</v>
      </c>
    </row>
    <row r="254" spans="1:12" x14ac:dyDescent="0.25">
      <c r="A254">
        <v>254</v>
      </c>
      <c r="B254" t="e">
        <f t="shared" si="3"/>
        <v>#N/A</v>
      </c>
      <c r="D254" t="e">
        <f>IF(INDEX(DATOS3!$1:$19397,A254,MATCH("PatientID",DATOS3!$1:$1,0))=0,"",INDEX(DATOS3!$1:$19397,A254,MATCH("PatientID",DATOS3!$1:$1,0)))</f>
        <v>#N/A</v>
      </c>
      <c r="F254" t="e">
        <f>IF(INDEX(DATOS3!$1:$19397,A254,MATCH("SeriesDate",DATOS3!$1:$1,0))=0,"",INDEX(DATOS3!$1:$19397,A254,MATCH("SeriesDate",DATOS3!$1:$1,0)))</f>
        <v>#N/A</v>
      </c>
      <c r="G254" t="e">
        <f>IF(INDEX(DATOS3!$1:$19397,A254,MATCH("SeriesTime",DATOS3!$1:$1,0))=0,"",INDEX(DATOS3!$1:$19397,A254,MATCH("SeriesTime",DATOS3!$1:$1,0)))</f>
        <v>#N/A</v>
      </c>
      <c r="H254" t="e">
        <f>IF(INDEX(DATOS3!$1:$19397,A254,MATCH("StudyDescription",DATOS3!$1:$1,0))=0,"",INDEX(DATOS3!$1:$19397,A254,MATCH("StudyDescription",DATOS3!$1:$1,0)))</f>
        <v>#N/A</v>
      </c>
      <c r="I254" t="e">
        <f>IF(INDEX(DATOS3!$1:$19397,A254,MATCH("Dose_Area_Product_Total",DATOS3!$1:$1,0))=0,0,INDEX(DATOS3!$1:$19397,A254,MATCH("Dose_Area_Product_Total",DATOS3!$1:$1,0)))</f>
        <v>#N/A</v>
      </c>
      <c r="J254" t="e">
        <f>IF(INDEX(DATOS3!$1:$19397,A254,MATCH("Dose_RP_Total",DATOS3!$1:$1,0))=0,0,INDEX(DATOS3!$1:$19397,A254,MATCH("Dose_RP_Total",DATOS3!$1:$1,0)))</f>
        <v>#N/A</v>
      </c>
      <c r="K254" t="e">
        <f>IF(INDEX(DATOS3!$1:$19397,A254,MATCH("Total_Fluoro_Time",DATOS3!$1:$1,0))=0,0,INDEX(DATOS3!$1:$19397,A254,MATCH("Total_Fluoro_Time",DATOS3!$1:$1,0)))</f>
        <v>#N/A</v>
      </c>
      <c r="L254" t="e">
        <f>IF(INDEX(DATOS3!$1:$19397,A254,MATCH("Total_Acquisition_Time",DATOS3!$1:$1,0))=0,0,INDEX(DATOS3!$1:$19397,A254,MATCH("Total_Acquisition_Time",DATOS3!$1:$1,0)))</f>
        <v>#N/A</v>
      </c>
    </row>
    <row r="255" spans="1:12" x14ac:dyDescent="0.25">
      <c r="A255">
        <v>255</v>
      </c>
      <c r="B255" t="e">
        <f t="shared" si="3"/>
        <v>#N/A</v>
      </c>
      <c r="D255" t="e">
        <f>IF(INDEX(DATOS3!$1:$19397,A255,MATCH("PatientID",DATOS3!$1:$1,0))=0,"",INDEX(DATOS3!$1:$19397,A255,MATCH("PatientID",DATOS3!$1:$1,0)))</f>
        <v>#N/A</v>
      </c>
      <c r="F255" t="e">
        <f>IF(INDEX(DATOS3!$1:$19397,A255,MATCH("SeriesDate",DATOS3!$1:$1,0))=0,"",INDEX(DATOS3!$1:$19397,A255,MATCH("SeriesDate",DATOS3!$1:$1,0)))</f>
        <v>#N/A</v>
      </c>
      <c r="G255" t="e">
        <f>IF(INDEX(DATOS3!$1:$19397,A255,MATCH("SeriesTime",DATOS3!$1:$1,0))=0,"",INDEX(DATOS3!$1:$19397,A255,MATCH("SeriesTime",DATOS3!$1:$1,0)))</f>
        <v>#N/A</v>
      </c>
      <c r="H255" t="e">
        <f>IF(INDEX(DATOS3!$1:$19397,A255,MATCH("StudyDescription",DATOS3!$1:$1,0))=0,"",INDEX(DATOS3!$1:$19397,A255,MATCH("StudyDescription",DATOS3!$1:$1,0)))</f>
        <v>#N/A</v>
      </c>
      <c r="I255" t="e">
        <f>IF(INDEX(DATOS3!$1:$19397,A255,MATCH("Dose_Area_Product_Total",DATOS3!$1:$1,0))=0,0,INDEX(DATOS3!$1:$19397,A255,MATCH("Dose_Area_Product_Total",DATOS3!$1:$1,0)))</f>
        <v>#N/A</v>
      </c>
      <c r="J255" t="e">
        <f>IF(INDEX(DATOS3!$1:$19397,A255,MATCH("Dose_RP_Total",DATOS3!$1:$1,0))=0,0,INDEX(DATOS3!$1:$19397,A255,MATCH("Dose_RP_Total",DATOS3!$1:$1,0)))</f>
        <v>#N/A</v>
      </c>
      <c r="K255" t="e">
        <f>IF(INDEX(DATOS3!$1:$19397,A255,MATCH("Total_Fluoro_Time",DATOS3!$1:$1,0))=0,0,INDEX(DATOS3!$1:$19397,A255,MATCH("Total_Fluoro_Time",DATOS3!$1:$1,0)))</f>
        <v>#N/A</v>
      </c>
      <c r="L255" t="e">
        <f>IF(INDEX(DATOS3!$1:$19397,A255,MATCH("Total_Acquisition_Time",DATOS3!$1:$1,0))=0,0,INDEX(DATOS3!$1:$19397,A255,MATCH("Total_Acquisition_Time",DATOS3!$1:$1,0)))</f>
        <v>#N/A</v>
      </c>
    </row>
    <row r="256" spans="1:12" x14ac:dyDescent="0.25">
      <c r="A256">
        <v>256</v>
      </c>
      <c r="B256" t="e">
        <f t="shared" si="3"/>
        <v>#N/A</v>
      </c>
      <c r="D256" t="e">
        <f>IF(INDEX(DATOS3!$1:$19397,A256,MATCH("PatientID",DATOS3!$1:$1,0))=0,"",INDEX(DATOS3!$1:$19397,A256,MATCH("PatientID",DATOS3!$1:$1,0)))</f>
        <v>#N/A</v>
      </c>
      <c r="F256" t="e">
        <f>IF(INDEX(DATOS3!$1:$19397,A256,MATCH("SeriesDate",DATOS3!$1:$1,0))=0,"",INDEX(DATOS3!$1:$19397,A256,MATCH("SeriesDate",DATOS3!$1:$1,0)))</f>
        <v>#N/A</v>
      </c>
      <c r="G256" t="e">
        <f>IF(INDEX(DATOS3!$1:$19397,A256,MATCH("SeriesTime",DATOS3!$1:$1,0))=0,"",INDEX(DATOS3!$1:$19397,A256,MATCH("SeriesTime",DATOS3!$1:$1,0)))</f>
        <v>#N/A</v>
      </c>
      <c r="H256" t="e">
        <f>IF(INDEX(DATOS3!$1:$19397,A256,MATCH("StudyDescription",DATOS3!$1:$1,0))=0,"",INDEX(DATOS3!$1:$19397,A256,MATCH("StudyDescription",DATOS3!$1:$1,0)))</f>
        <v>#N/A</v>
      </c>
      <c r="I256" t="e">
        <f>IF(INDEX(DATOS3!$1:$19397,A256,MATCH("Dose_Area_Product_Total",DATOS3!$1:$1,0))=0,0,INDEX(DATOS3!$1:$19397,A256,MATCH("Dose_Area_Product_Total",DATOS3!$1:$1,0)))</f>
        <v>#N/A</v>
      </c>
      <c r="J256" t="e">
        <f>IF(INDEX(DATOS3!$1:$19397,A256,MATCH("Dose_RP_Total",DATOS3!$1:$1,0))=0,0,INDEX(DATOS3!$1:$19397,A256,MATCH("Dose_RP_Total",DATOS3!$1:$1,0)))</f>
        <v>#N/A</v>
      </c>
      <c r="K256" t="e">
        <f>IF(INDEX(DATOS3!$1:$19397,A256,MATCH("Total_Fluoro_Time",DATOS3!$1:$1,0))=0,0,INDEX(DATOS3!$1:$19397,A256,MATCH("Total_Fluoro_Time",DATOS3!$1:$1,0)))</f>
        <v>#N/A</v>
      </c>
      <c r="L256" t="e">
        <f>IF(INDEX(DATOS3!$1:$19397,A256,MATCH("Total_Acquisition_Time",DATOS3!$1:$1,0))=0,0,INDEX(DATOS3!$1:$19397,A256,MATCH("Total_Acquisition_Time",DATOS3!$1:$1,0)))</f>
        <v>#N/A</v>
      </c>
    </row>
    <row r="257" spans="1:12" x14ac:dyDescent="0.25">
      <c r="A257">
        <v>257</v>
      </c>
      <c r="B257" t="e">
        <f t="shared" si="3"/>
        <v>#N/A</v>
      </c>
      <c r="D257" t="e">
        <f>IF(INDEX(DATOS3!$1:$19397,A257,MATCH("PatientID",DATOS3!$1:$1,0))=0,"",INDEX(DATOS3!$1:$19397,A257,MATCH("PatientID",DATOS3!$1:$1,0)))</f>
        <v>#N/A</v>
      </c>
      <c r="F257" t="e">
        <f>IF(INDEX(DATOS3!$1:$19397,A257,MATCH("SeriesDate",DATOS3!$1:$1,0))=0,"",INDEX(DATOS3!$1:$19397,A257,MATCH("SeriesDate",DATOS3!$1:$1,0)))</f>
        <v>#N/A</v>
      </c>
      <c r="G257" t="e">
        <f>IF(INDEX(DATOS3!$1:$19397,A257,MATCH("SeriesTime",DATOS3!$1:$1,0))=0,"",INDEX(DATOS3!$1:$19397,A257,MATCH("SeriesTime",DATOS3!$1:$1,0)))</f>
        <v>#N/A</v>
      </c>
      <c r="H257" t="e">
        <f>IF(INDEX(DATOS3!$1:$19397,A257,MATCH("StudyDescription",DATOS3!$1:$1,0))=0,"",INDEX(DATOS3!$1:$19397,A257,MATCH("StudyDescription",DATOS3!$1:$1,0)))</f>
        <v>#N/A</v>
      </c>
      <c r="I257" t="e">
        <f>IF(INDEX(DATOS3!$1:$19397,A257,MATCH("Dose_Area_Product_Total",DATOS3!$1:$1,0))=0,0,INDEX(DATOS3!$1:$19397,A257,MATCH("Dose_Area_Product_Total",DATOS3!$1:$1,0)))</f>
        <v>#N/A</v>
      </c>
      <c r="J257" t="e">
        <f>IF(INDEX(DATOS3!$1:$19397,A257,MATCH("Dose_RP_Total",DATOS3!$1:$1,0))=0,0,INDEX(DATOS3!$1:$19397,A257,MATCH("Dose_RP_Total",DATOS3!$1:$1,0)))</f>
        <v>#N/A</v>
      </c>
      <c r="K257" t="e">
        <f>IF(INDEX(DATOS3!$1:$19397,A257,MATCH("Total_Fluoro_Time",DATOS3!$1:$1,0))=0,0,INDEX(DATOS3!$1:$19397,A257,MATCH("Total_Fluoro_Time",DATOS3!$1:$1,0)))</f>
        <v>#N/A</v>
      </c>
      <c r="L257" t="e">
        <f>IF(INDEX(DATOS3!$1:$19397,A257,MATCH("Total_Acquisition_Time",DATOS3!$1:$1,0))=0,0,INDEX(DATOS3!$1:$19397,A257,MATCH("Total_Acquisition_Time",DATOS3!$1:$1,0)))</f>
        <v>#N/A</v>
      </c>
    </row>
    <row r="258" spans="1:12" x14ac:dyDescent="0.25">
      <c r="A258">
        <v>258</v>
      </c>
      <c r="B258" t="e">
        <f t="shared" si="3"/>
        <v>#N/A</v>
      </c>
      <c r="D258" t="e">
        <f>IF(INDEX(DATOS3!$1:$19397,A258,MATCH("PatientID",DATOS3!$1:$1,0))=0,"",INDEX(DATOS3!$1:$19397,A258,MATCH("PatientID",DATOS3!$1:$1,0)))</f>
        <v>#N/A</v>
      </c>
      <c r="F258" t="e">
        <f>IF(INDEX(DATOS3!$1:$19397,A258,MATCH("SeriesDate",DATOS3!$1:$1,0))=0,"",INDEX(DATOS3!$1:$19397,A258,MATCH("SeriesDate",DATOS3!$1:$1,0)))</f>
        <v>#N/A</v>
      </c>
      <c r="G258" t="e">
        <f>IF(INDEX(DATOS3!$1:$19397,A258,MATCH("SeriesTime",DATOS3!$1:$1,0))=0,"",INDEX(DATOS3!$1:$19397,A258,MATCH("SeriesTime",DATOS3!$1:$1,0)))</f>
        <v>#N/A</v>
      </c>
      <c r="H258" t="e">
        <f>IF(INDEX(DATOS3!$1:$19397,A258,MATCH("StudyDescription",DATOS3!$1:$1,0))=0,"",INDEX(DATOS3!$1:$19397,A258,MATCH("StudyDescription",DATOS3!$1:$1,0)))</f>
        <v>#N/A</v>
      </c>
      <c r="I258" t="e">
        <f>IF(INDEX(DATOS3!$1:$19397,A258,MATCH("Dose_Area_Product_Total",DATOS3!$1:$1,0))=0,0,INDEX(DATOS3!$1:$19397,A258,MATCH("Dose_Area_Product_Total",DATOS3!$1:$1,0)))</f>
        <v>#N/A</v>
      </c>
      <c r="J258" t="e">
        <f>IF(INDEX(DATOS3!$1:$19397,A258,MATCH("Dose_RP_Total",DATOS3!$1:$1,0))=0,0,INDEX(DATOS3!$1:$19397,A258,MATCH("Dose_RP_Total",DATOS3!$1:$1,0)))</f>
        <v>#N/A</v>
      </c>
      <c r="K258" t="e">
        <f>IF(INDEX(DATOS3!$1:$19397,A258,MATCH("Total_Fluoro_Time",DATOS3!$1:$1,0))=0,0,INDEX(DATOS3!$1:$19397,A258,MATCH("Total_Fluoro_Time",DATOS3!$1:$1,0)))</f>
        <v>#N/A</v>
      </c>
      <c r="L258" t="e">
        <f>IF(INDEX(DATOS3!$1:$19397,A258,MATCH("Total_Acquisition_Time",DATOS3!$1:$1,0))=0,0,INDEX(DATOS3!$1:$19397,A258,MATCH("Total_Acquisition_Time",DATOS3!$1:$1,0)))</f>
        <v>#N/A</v>
      </c>
    </row>
    <row r="259" spans="1:12" x14ac:dyDescent="0.25">
      <c r="A259">
        <v>259</v>
      </c>
      <c r="B259" t="e">
        <f t="shared" ref="B259:B322" si="4">IF(D259="","","HIBRIDO")</f>
        <v>#N/A</v>
      </c>
      <c r="D259" t="e">
        <f>IF(INDEX(DATOS3!$1:$19397,A259,MATCH("PatientID",DATOS3!$1:$1,0))=0,"",INDEX(DATOS3!$1:$19397,A259,MATCH("PatientID",DATOS3!$1:$1,0)))</f>
        <v>#N/A</v>
      </c>
      <c r="F259" t="e">
        <f>IF(INDEX(DATOS3!$1:$19397,A259,MATCH("SeriesDate",DATOS3!$1:$1,0))=0,"",INDEX(DATOS3!$1:$19397,A259,MATCH("SeriesDate",DATOS3!$1:$1,0)))</f>
        <v>#N/A</v>
      </c>
      <c r="G259" t="e">
        <f>IF(INDEX(DATOS3!$1:$19397,A259,MATCH("SeriesTime",DATOS3!$1:$1,0))=0,"",INDEX(DATOS3!$1:$19397,A259,MATCH("SeriesTime",DATOS3!$1:$1,0)))</f>
        <v>#N/A</v>
      </c>
      <c r="H259" t="e">
        <f>IF(INDEX(DATOS3!$1:$19397,A259,MATCH("StudyDescription",DATOS3!$1:$1,0))=0,"",INDEX(DATOS3!$1:$19397,A259,MATCH("StudyDescription",DATOS3!$1:$1,0)))</f>
        <v>#N/A</v>
      </c>
      <c r="I259" t="e">
        <f>IF(INDEX(DATOS3!$1:$19397,A259,MATCH("Dose_Area_Product_Total",DATOS3!$1:$1,0))=0,0,INDEX(DATOS3!$1:$19397,A259,MATCH("Dose_Area_Product_Total",DATOS3!$1:$1,0)))</f>
        <v>#N/A</v>
      </c>
      <c r="J259" t="e">
        <f>IF(INDEX(DATOS3!$1:$19397,A259,MATCH("Dose_RP_Total",DATOS3!$1:$1,0))=0,0,INDEX(DATOS3!$1:$19397,A259,MATCH("Dose_RP_Total",DATOS3!$1:$1,0)))</f>
        <v>#N/A</v>
      </c>
      <c r="K259" t="e">
        <f>IF(INDEX(DATOS3!$1:$19397,A259,MATCH("Total_Fluoro_Time",DATOS3!$1:$1,0))=0,0,INDEX(DATOS3!$1:$19397,A259,MATCH("Total_Fluoro_Time",DATOS3!$1:$1,0)))</f>
        <v>#N/A</v>
      </c>
      <c r="L259" t="e">
        <f>IF(INDEX(DATOS3!$1:$19397,A259,MATCH("Total_Acquisition_Time",DATOS3!$1:$1,0))=0,0,INDEX(DATOS3!$1:$19397,A259,MATCH("Total_Acquisition_Time",DATOS3!$1:$1,0)))</f>
        <v>#N/A</v>
      </c>
    </row>
    <row r="260" spans="1:12" x14ac:dyDescent="0.25">
      <c r="A260">
        <v>260</v>
      </c>
      <c r="B260" t="e">
        <f t="shared" si="4"/>
        <v>#N/A</v>
      </c>
      <c r="D260" t="e">
        <f>IF(INDEX(DATOS3!$1:$19397,A260,MATCH("PatientID",DATOS3!$1:$1,0))=0,"",INDEX(DATOS3!$1:$19397,A260,MATCH("PatientID",DATOS3!$1:$1,0)))</f>
        <v>#N/A</v>
      </c>
      <c r="F260" t="e">
        <f>IF(INDEX(DATOS3!$1:$19397,A260,MATCH("SeriesDate",DATOS3!$1:$1,0))=0,"",INDEX(DATOS3!$1:$19397,A260,MATCH("SeriesDate",DATOS3!$1:$1,0)))</f>
        <v>#N/A</v>
      </c>
      <c r="G260" t="e">
        <f>IF(INDEX(DATOS3!$1:$19397,A260,MATCH("SeriesTime",DATOS3!$1:$1,0))=0,"",INDEX(DATOS3!$1:$19397,A260,MATCH("SeriesTime",DATOS3!$1:$1,0)))</f>
        <v>#N/A</v>
      </c>
      <c r="H260" t="e">
        <f>IF(INDEX(DATOS3!$1:$19397,A260,MATCH("StudyDescription",DATOS3!$1:$1,0))=0,"",INDEX(DATOS3!$1:$19397,A260,MATCH("StudyDescription",DATOS3!$1:$1,0)))</f>
        <v>#N/A</v>
      </c>
      <c r="I260" t="e">
        <f>IF(INDEX(DATOS3!$1:$19397,A260,MATCH("Dose_Area_Product_Total",DATOS3!$1:$1,0))=0,0,INDEX(DATOS3!$1:$19397,A260,MATCH("Dose_Area_Product_Total",DATOS3!$1:$1,0)))</f>
        <v>#N/A</v>
      </c>
      <c r="J260" t="e">
        <f>IF(INDEX(DATOS3!$1:$19397,A260,MATCH("Dose_RP_Total",DATOS3!$1:$1,0))=0,0,INDEX(DATOS3!$1:$19397,A260,MATCH("Dose_RP_Total",DATOS3!$1:$1,0)))</f>
        <v>#N/A</v>
      </c>
      <c r="K260" t="e">
        <f>IF(INDEX(DATOS3!$1:$19397,A260,MATCH("Total_Fluoro_Time",DATOS3!$1:$1,0))=0,0,INDEX(DATOS3!$1:$19397,A260,MATCH("Total_Fluoro_Time",DATOS3!$1:$1,0)))</f>
        <v>#N/A</v>
      </c>
      <c r="L260" t="e">
        <f>IF(INDEX(DATOS3!$1:$19397,A260,MATCH("Total_Acquisition_Time",DATOS3!$1:$1,0))=0,0,INDEX(DATOS3!$1:$19397,A260,MATCH("Total_Acquisition_Time",DATOS3!$1:$1,0)))</f>
        <v>#N/A</v>
      </c>
    </row>
    <row r="261" spans="1:12" x14ac:dyDescent="0.25">
      <c r="A261">
        <v>261</v>
      </c>
      <c r="B261" t="e">
        <f t="shared" si="4"/>
        <v>#N/A</v>
      </c>
      <c r="D261" t="e">
        <f>IF(INDEX(DATOS3!$1:$19397,A261,MATCH("PatientID",DATOS3!$1:$1,0))=0,"",INDEX(DATOS3!$1:$19397,A261,MATCH("PatientID",DATOS3!$1:$1,0)))</f>
        <v>#N/A</v>
      </c>
      <c r="F261" t="e">
        <f>IF(INDEX(DATOS3!$1:$19397,A261,MATCH("SeriesDate",DATOS3!$1:$1,0))=0,"",INDEX(DATOS3!$1:$19397,A261,MATCH("SeriesDate",DATOS3!$1:$1,0)))</f>
        <v>#N/A</v>
      </c>
      <c r="G261" t="e">
        <f>IF(INDEX(DATOS3!$1:$19397,A261,MATCH("SeriesTime",DATOS3!$1:$1,0))=0,"",INDEX(DATOS3!$1:$19397,A261,MATCH("SeriesTime",DATOS3!$1:$1,0)))</f>
        <v>#N/A</v>
      </c>
      <c r="H261" t="e">
        <f>IF(INDEX(DATOS3!$1:$19397,A261,MATCH("StudyDescription",DATOS3!$1:$1,0))=0,"",INDEX(DATOS3!$1:$19397,A261,MATCH("StudyDescription",DATOS3!$1:$1,0)))</f>
        <v>#N/A</v>
      </c>
      <c r="I261" t="e">
        <f>IF(INDEX(DATOS3!$1:$19397,A261,MATCH("Dose_Area_Product_Total",DATOS3!$1:$1,0))=0,0,INDEX(DATOS3!$1:$19397,A261,MATCH("Dose_Area_Product_Total",DATOS3!$1:$1,0)))</f>
        <v>#N/A</v>
      </c>
      <c r="J261" t="e">
        <f>IF(INDEX(DATOS3!$1:$19397,A261,MATCH("Dose_RP_Total",DATOS3!$1:$1,0))=0,0,INDEX(DATOS3!$1:$19397,A261,MATCH("Dose_RP_Total",DATOS3!$1:$1,0)))</f>
        <v>#N/A</v>
      </c>
      <c r="K261" t="e">
        <f>IF(INDEX(DATOS3!$1:$19397,A261,MATCH("Total_Fluoro_Time",DATOS3!$1:$1,0))=0,0,INDEX(DATOS3!$1:$19397,A261,MATCH("Total_Fluoro_Time",DATOS3!$1:$1,0)))</f>
        <v>#N/A</v>
      </c>
      <c r="L261" t="e">
        <f>IF(INDEX(DATOS3!$1:$19397,A261,MATCH("Total_Acquisition_Time",DATOS3!$1:$1,0))=0,0,INDEX(DATOS3!$1:$19397,A261,MATCH("Total_Acquisition_Time",DATOS3!$1:$1,0)))</f>
        <v>#N/A</v>
      </c>
    </row>
    <row r="262" spans="1:12" x14ac:dyDescent="0.25">
      <c r="A262">
        <v>262</v>
      </c>
      <c r="B262" t="e">
        <f t="shared" si="4"/>
        <v>#N/A</v>
      </c>
      <c r="D262" t="e">
        <f>IF(INDEX(DATOS3!$1:$19397,A262,MATCH("PatientID",DATOS3!$1:$1,0))=0,"",INDEX(DATOS3!$1:$19397,A262,MATCH("PatientID",DATOS3!$1:$1,0)))</f>
        <v>#N/A</v>
      </c>
      <c r="F262" t="e">
        <f>IF(INDEX(DATOS3!$1:$19397,A262,MATCH("SeriesDate",DATOS3!$1:$1,0))=0,"",INDEX(DATOS3!$1:$19397,A262,MATCH("SeriesDate",DATOS3!$1:$1,0)))</f>
        <v>#N/A</v>
      </c>
      <c r="G262" t="e">
        <f>IF(INDEX(DATOS3!$1:$19397,A262,MATCH("SeriesTime",DATOS3!$1:$1,0))=0,"",INDEX(DATOS3!$1:$19397,A262,MATCH("SeriesTime",DATOS3!$1:$1,0)))</f>
        <v>#N/A</v>
      </c>
      <c r="H262" t="e">
        <f>IF(INDEX(DATOS3!$1:$19397,A262,MATCH("StudyDescription",DATOS3!$1:$1,0))=0,"",INDEX(DATOS3!$1:$19397,A262,MATCH("StudyDescription",DATOS3!$1:$1,0)))</f>
        <v>#N/A</v>
      </c>
      <c r="I262" t="e">
        <f>IF(INDEX(DATOS3!$1:$19397,A262,MATCH("Dose_Area_Product_Total",DATOS3!$1:$1,0))=0,0,INDEX(DATOS3!$1:$19397,A262,MATCH("Dose_Area_Product_Total",DATOS3!$1:$1,0)))</f>
        <v>#N/A</v>
      </c>
      <c r="J262" t="e">
        <f>IF(INDEX(DATOS3!$1:$19397,A262,MATCH("Dose_RP_Total",DATOS3!$1:$1,0))=0,0,INDEX(DATOS3!$1:$19397,A262,MATCH("Dose_RP_Total",DATOS3!$1:$1,0)))</f>
        <v>#N/A</v>
      </c>
      <c r="K262" t="e">
        <f>IF(INDEX(DATOS3!$1:$19397,A262,MATCH("Total_Fluoro_Time",DATOS3!$1:$1,0))=0,0,INDEX(DATOS3!$1:$19397,A262,MATCH("Total_Fluoro_Time",DATOS3!$1:$1,0)))</f>
        <v>#N/A</v>
      </c>
      <c r="L262" t="e">
        <f>IF(INDEX(DATOS3!$1:$19397,A262,MATCH("Total_Acquisition_Time",DATOS3!$1:$1,0))=0,0,INDEX(DATOS3!$1:$19397,A262,MATCH("Total_Acquisition_Time",DATOS3!$1:$1,0)))</f>
        <v>#N/A</v>
      </c>
    </row>
    <row r="263" spans="1:12" x14ac:dyDescent="0.25">
      <c r="A263">
        <v>263</v>
      </c>
      <c r="B263" t="e">
        <f t="shared" si="4"/>
        <v>#N/A</v>
      </c>
      <c r="D263" t="e">
        <f>IF(INDEX(DATOS3!$1:$19397,A263,MATCH("PatientID",DATOS3!$1:$1,0))=0,"",INDEX(DATOS3!$1:$19397,A263,MATCH("PatientID",DATOS3!$1:$1,0)))</f>
        <v>#N/A</v>
      </c>
      <c r="F263" t="e">
        <f>IF(INDEX(DATOS3!$1:$19397,A263,MATCH("SeriesDate",DATOS3!$1:$1,0))=0,"",INDEX(DATOS3!$1:$19397,A263,MATCH("SeriesDate",DATOS3!$1:$1,0)))</f>
        <v>#N/A</v>
      </c>
      <c r="G263" t="e">
        <f>IF(INDEX(DATOS3!$1:$19397,A263,MATCH("SeriesTime",DATOS3!$1:$1,0))=0,"",INDEX(DATOS3!$1:$19397,A263,MATCH("SeriesTime",DATOS3!$1:$1,0)))</f>
        <v>#N/A</v>
      </c>
      <c r="H263" t="e">
        <f>IF(INDEX(DATOS3!$1:$19397,A263,MATCH("StudyDescription",DATOS3!$1:$1,0))=0,"",INDEX(DATOS3!$1:$19397,A263,MATCH("StudyDescription",DATOS3!$1:$1,0)))</f>
        <v>#N/A</v>
      </c>
      <c r="I263" t="e">
        <f>IF(INDEX(DATOS3!$1:$19397,A263,MATCH("Dose_Area_Product_Total",DATOS3!$1:$1,0))=0,0,INDEX(DATOS3!$1:$19397,A263,MATCH("Dose_Area_Product_Total",DATOS3!$1:$1,0)))</f>
        <v>#N/A</v>
      </c>
      <c r="J263" t="e">
        <f>IF(INDEX(DATOS3!$1:$19397,A263,MATCH("Dose_RP_Total",DATOS3!$1:$1,0))=0,0,INDEX(DATOS3!$1:$19397,A263,MATCH("Dose_RP_Total",DATOS3!$1:$1,0)))</f>
        <v>#N/A</v>
      </c>
      <c r="K263" t="e">
        <f>IF(INDEX(DATOS3!$1:$19397,A263,MATCH("Total_Fluoro_Time",DATOS3!$1:$1,0))=0,0,INDEX(DATOS3!$1:$19397,A263,MATCH("Total_Fluoro_Time",DATOS3!$1:$1,0)))</f>
        <v>#N/A</v>
      </c>
      <c r="L263" t="e">
        <f>IF(INDEX(DATOS3!$1:$19397,A263,MATCH("Total_Acquisition_Time",DATOS3!$1:$1,0))=0,0,INDEX(DATOS3!$1:$19397,A263,MATCH("Total_Acquisition_Time",DATOS3!$1:$1,0)))</f>
        <v>#N/A</v>
      </c>
    </row>
    <row r="264" spans="1:12" x14ac:dyDescent="0.25">
      <c r="A264">
        <v>264</v>
      </c>
      <c r="B264" t="e">
        <f t="shared" si="4"/>
        <v>#N/A</v>
      </c>
      <c r="D264" t="e">
        <f>IF(INDEX(DATOS3!$1:$19397,A264,MATCH("PatientID",DATOS3!$1:$1,0))=0,"",INDEX(DATOS3!$1:$19397,A264,MATCH("PatientID",DATOS3!$1:$1,0)))</f>
        <v>#N/A</v>
      </c>
      <c r="F264" t="e">
        <f>IF(INDEX(DATOS3!$1:$19397,A264,MATCH("SeriesDate",DATOS3!$1:$1,0))=0,"",INDEX(DATOS3!$1:$19397,A264,MATCH("SeriesDate",DATOS3!$1:$1,0)))</f>
        <v>#N/A</v>
      </c>
      <c r="G264" t="e">
        <f>IF(INDEX(DATOS3!$1:$19397,A264,MATCH("SeriesTime",DATOS3!$1:$1,0))=0,"",INDEX(DATOS3!$1:$19397,A264,MATCH("SeriesTime",DATOS3!$1:$1,0)))</f>
        <v>#N/A</v>
      </c>
      <c r="H264" t="e">
        <f>IF(INDEX(DATOS3!$1:$19397,A264,MATCH("StudyDescription",DATOS3!$1:$1,0))=0,"",INDEX(DATOS3!$1:$19397,A264,MATCH("StudyDescription",DATOS3!$1:$1,0)))</f>
        <v>#N/A</v>
      </c>
      <c r="I264" t="e">
        <f>IF(INDEX(DATOS3!$1:$19397,A264,MATCH("Dose_Area_Product_Total",DATOS3!$1:$1,0))=0,0,INDEX(DATOS3!$1:$19397,A264,MATCH("Dose_Area_Product_Total",DATOS3!$1:$1,0)))</f>
        <v>#N/A</v>
      </c>
      <c r="J264" t="e">
        <f>IF(INDEX(DATOS3!$1:$19397,A264,MATCH("Dose_RP_Total",DATOS3!$1:$1,0))=0,0,INDEX(DATOS3!$1:$19397,A264,MATCH("Dose_RP_Total",DATOS3!$1:$1,0)))</f>
        <v>#N/A</v>
      </c>
      <c r="K264" t="e">
        <f>IF(INDEX(DATOS3!$1:$19397,A264,MATCH("Total_Fluoro_Time",DATOS3!$1:$1,0))=0,0,INDEX(DATOS3!$1:$19397,A264,MATCH("Total_Fluoro_Time",DATOS3!$1:$1,0)))</f>
        <v>#N/A</v>
      </c>
      <c r="L264" t="e">
        <f>IF(INDEX(DATOS3!$1:$19397,A264,MATCH("Total_Acquisition_Time",DATOS3!$1:$1,0))=0,0,INDEX(DATOS3!$1:$19397,A264,MATCH("Total_Acquisition_Time",DATOS3!$1:$1,0)))</f>
        <v>#N/A</v>
      </c>
    </row>
    <row r="265" spans="1:12" x14ac:dyDescent="0.25">
      <c r="A265">
        <v>265</v>
      </c>
      <c r="B265" t="e">
        <f t="shared" si="4"/>
        <v>#N/A</v>
      </c>
      <c r="D265" t="e">
        <f>IF(INDEX(DATOS3!$1:$19397,A265,MATCH("PatientID",DATOS3!$1:$1,0))=0,"",INDEX(DATOS3!$1:$19397,A265,MATCH("PatientID",DATOS3!$1:$1,0)))</f>
        <v>#N/A</v>
      </c>
      <c r="F265" t="e">
        <f>IF(INDEX(DATOS3!$1:$19397,A265,MATCH("SeriesDate",DATOS3!$1:$1,0))=0,"",INDEX(DATOS3!$1:$19397,A265,MATCH("SeriesDate",DATOS3!$1:$1,0)))</f>
        <v>#N/A</v>
      </c>
      <c r="G265" t="e">
        <f>IF(INDEX(DATOS3!$1:$19397,A265,MATCH("SeriesTime",DATOS3!$1:$1,0))=0,"",INDEX(DATOS3!$1:$19397,A265,MATCH("SeriesTime",DATOS3!$1:$1,0)))</f>
        <v>#N/A</v>
      </c>
      <c r="H265" t="e">
        <f>IF(INDEX(DATOS3!$1:$19397,A265,MATCH("StudyDescription",DATOS3!$1:$1,0))=0,"",INDEX(DATOS3!$1:$19397,A265,MATCH("StudyDescription",DATOS3!$1:$1,0)))</f>
        <v>#N/A</v>
      </c>
      <c r="I265" t="e">
        <f>IF(INDEX(DATOS3!$1:$19397,A265,MATCH("Dose_Area_Product_Total",DATOS3!$1:$1,0))=0,0,INDEX(DATOS3!$1:$19397,A265,MATCH("Dose_Area_Product_Total",DATOS3!$1:$1,0)))</f>
        <v>#N/A</v>
      </c>
      <c r="J265" t="e">
        <f>IF(INDEX(DATOS3!$1:$19397,A265,MATCH("Dose_RP_Total",DATOS3!$1:$1,0))=0,0,INDEX(DATOS3!$1:$19397,A265,MATCH("Dose_RP_Total",DATOS3!$1:$1,0)))</f>
        <v>#N/A</v>
      </c>
      <c r="K265" t="e">
        <f>IF(INDEX(DATOS3!$1:$19397,A265,MATCH("Total_Fluoro_Time",DATOS3!$1:$1,0))=0,0,INDEX(DATOS3!$1:$19397,A265,MATCH("Total_Fluoro_Time",DATOS3!$1:$1,0)))</f>
        <v>#N/A</v>
      </c>
      <c r="L265" t="e">
        <f>IF(INDEX(DATOS3!$1:$19397,A265,MATCH("Total_Acquisition_Time",DATOS3!$1:$1,0))=0,0,INDEX(DATOS3!$1:$19397,A265,MATCH("Total_Acquisition_Time",DATOS3!$1:$1,0)))</f>
        <v>#N/A</v>
      </c>
    </row>
    <row r="266" spans="1:12" x14ac:dyDescent="0.25">
      <c r="A266">
        <v>266</v>
      </c>
      <c r="B266" t="e">
        <f t="shared" si="4"/>
        <v>#N/A</v>
      </c>
      <c r="D266" t="e">
        <f>IF(INDEX(DATOS3!$1:$19397,A266,MATCH("PatientID",DATOS3!$1:$1,0))=0,"",INDEX(DATOS3!$1:$19397,A266,MATCH("PatientID",DATOS3!$1:$1,0)))</f>
        <v>#N/A</v>
      </c>
      <c r="F266" t="e">
        <f>IF(INDEX(DATOS3!$1:$19397,A266,MATCH("SeriesDate",DATOS3!$1:$1,0))=0,"",INDEX(DATOS3!$1:$19397,A266,MATCH("SeriesDate",DATOS3!$1:$1,0)))</f>
        <v>#N/A</v>
      </c>
      <c r="G266" t="e">
        <f>IF(INDEX(DATOS3!$1:$19397,A266,MATCH("SeriesTime",DATOS3!$1:$1,0))=0,"",INDEX(DATOS3!$1:$19397,A266,MATCH("SeriesTime",DATOS3!$1:$1,0)))</f>
        <v>#N/A</v>
      </c>
      <c r="H266" t="e">
        <f>IF(INDEX(DATOS3!$1:$19397,A266,MATCH("StudyDescription",DATOS3!$1:$1,0))=0,"",INDEX(DATOS3!$1:$19397,A266,MATCH("StudyDescription",DATOS3!$1:$1,0)))</f>
        <v>#N/A</v>
      </c>
      <c r="I266" t="e">
        <f>IF(INDEX(DATOS3!$1:$19397,A266,MATCH("Dose_Area_Product_Total",DATOS3!$1:$1,0))=0,0,INDEX(DATOS3!$1:$19397,A266,MATCH("Dose_Area_Product_Total",DATOS3!$1:$1,0)))</f>
        <v>#N/A</v>
      </c>
      <c r="J266" t="e">
        <f>IF(INDEX(DATOS3!$1:$19397,A266,MATCH("Dose_RP_Total",DATOS3!$1:$1,0))=0,0,INDEX(DATOS3!$1:$19397,A266,MATCH("Dose_RP_Total",DATOS3!$1:$1,0)))</f>
        <v>#N/A</v>
      </c>
      <c r="K266" t="e">
        <f>IF(INDEX(DATOS3!$1:$19397,A266,MATCH("Total_Fluoro_Time",DATOS3!$1:$1,0))=0,0,INDEX(DATOS3!$1:$19397,A266,MATCH("Total_Fluoro_Time",DATOS3!$1:$1,0)))</f>
        <v>#N/A</v>
      </c>
      <c r="L266" t="e">
        <f>IF(INDEX(DATOS3!$1:$19397,A266,MATCH("Total_Acquisition_Time",DATOS3!$1:$1,0))=0,0,INDEX(DATOS3!$1:$19397,A266,MATCH("Total_Acquisition_Time",DATOS3!$1:$1,0)))</f>
        <v>#N/A</v>
      </c>
    </row>
    <row r="267" spans="1:12" x14ac:dyDescent="0.25">
      <c r="A267">
        <v>267</v>
      </c>
      <c r="B267" t="e">
        <f t="shared" si="4"/>
        <v>#N/A</v>
      </c>
      <c r="D267" t="e">
        <f>IF(INDEX(DATOS3!$1:$19397,A267,MATCH("PatientID",DATOS3!$1:$1,0))=0,"",INDEX(DATOS3!$1:$19397,A267,MATCH("PatientID",DATOS3!$1:$1,0)))</f>
        <v>#N/A</v>
      </c>
      <c r="F267" t="e">
        <f>IF(INDEX(DATOS3!$1:$19397,A267,MATCH("SeriesDate",DATOS3!$1:$1,0))=0,"",INDEX(DATOS3!$1:$19397,A267,MATCH("SeriesDate",DATOS3!$1:$1,0)))</f>
        <v>#N/A</v>
      </c>
      <c r="G267" t="e">
        <f>IF(INDEX(DATOS3!$1:$19397,A267,MATCH("SeriesTime",DATOS3!$1:$1,0))=0,"",INDEX(DATOS3!$1:$19397,A267,MATCH("SeriesTime",DATOS3!$1:$1,0)))</f>
        <v>#N/A</v>
      </c>
      <c r="H267" t="e">
        <f>IF(INDEX(DATOS3!$1:$19397,A267,MATCH("StudyDescription",DATOS3!$1:$1,0))=0,"",INDEX(DATOS3!$1:$19397,A267,MATCH("StudyDescription",DATOS3!$1:$1,0)))</f>
        <v>#N/A</v>
      </c>
      <c r="I267" t="e">
        <f>IF(INDEX(DATOS3!$1:$19397,A267,MATCH("Dose_Area_Product_Total",DATOS3!$1:$1,0))=0,0,INDEX(DATOS3!$1:$19397,A267,MATCH("Dose_Area_Product_Total",DATOS3!$1:$1,0)))</f>
        <v>#N/A</v>
      </c>
      <c r="J267" t="e">
        <f>IF(INDEX(DATOS3!$1:$19397,A267,MATCH("Dose_RP_Total",DATOS3!$1:$1,0))=0,0,INDEX(DATOS3!$1:$19397,A267,MATCH("Dose_RP_Total",DATOS3!$1:$1,0)))</f>
        <v>#N/A</v>
      </c>
      <c r="K267" t="e">
        <f>IF(INDEX(DATOS3!$1:$19397,A267,MATCH("Total_Fluoro_Time",DATOS3!$1:$1,0))=0,0,INDEX(DATOS3!$1:$19397,A267,MATCH("Total_Fluoro_Time",DATOS3!$1:$1,0)))</f>
        <v>#N/A</v>
      </c>
      <c r="L267" t="e">
        <f>IF(INDEX(DATOS3!$1:$19397,A267,MATCH("Total_Acquisition_Time",DATOS3!$1:$1,0))=0,0,INDEX(DATOS3!$1:$19397,A267,MATCH("Total_Acquisition_Time",DATOS3!$1:$1,0)))</f>
        <v>#N/A</v>
      </c>
    </row>
    <row r="268" spans="1:12" x14ac:dyDescent="0.25">
      <c r="A268">
        <v>268</v>
      </c>
      <c r="B268" t="e">
        <f t="shared" si="4"/>
        <v>#N/A</v>
      </c>
      <c r="D268" t="e">
        <f>IF(INDEX(DATOS3!$1:$19397,A268,MATCH("PatientID",DATOS3!$1:$1,0))=0,"",INDEX(DATOS3!$1:$19397,A268,MATCH("PatientID",DATOS3!$1:$1,0)))</f>
        <v>#N/A</v>
      </c>
      <c r="F268" t="e">
        <f>IF(INDEX(DATOS3!$1:$19397,A268,MATCH("SeriesDate",DATOS3!$1:$1,0))=0,"",INDEX(DATOS3!$1:$19397,A268,MATCH("SeriesDate",DATOS3!$1:$1,0)))</f>
        <v>#N/A</v>
      </c>
      <c r="G268" t="e">
        <f>IF(INDEX(DATOS3!$1:$19397,A268,MATCH("SeriesTime",DATOS3!$1:$1,0))=0,"",INDEX(DATOS3!$1:$19397,A268,MATCH("SeriesTime",DATOS3!$1:$1,0)))</f>
        <v>#N/A</v>
      </c>
      <c r="H268" t="e">
        <f>IF(INDEX(DATOS3!$1:$19397,A268,MATCH("StudyDescription",DATOS3!$1:$1,0))=0,"",INDEX(DATOS3!$1:$19397,A268,MATCH("StudyDescription",DATOS3!$1:$1,0)))</f>
        <v>#N/A</v>
      </c>
      <c r="I268" t="e">
        <f>IF(INDEX(DATOS3!$1:$19397,A268,MATCH("Dose_Area_Product_Total",DATOS3!$1:$1,0))=0,0,INDEX(DATOS3!$1:$19397,A268,MATCH("Dose_Area_Product_Total",DATOS3!$1:$1,0)))</f>
        <v>#N/A</v>
      </c>
      <c r="J268" t="e">
        <f>IF(INDEX(DATOS3!$1:$19397,A268,MATCH("Dose_RP_Total",DATOS3!$1:$1,0))=0,0,INDEX(DATOS3!$1:$19397,A268,MATCH("Dose_RP_Total",DATOS3!$1:$1,0)))</f>
        <v>#N/A</v>
      </c>
      <c r="K268" t="e">
        <f>IF(INDEX(DATOS3!$1:$19397,A268,MATCH("Total_Fluoro_Time",DATOS3!$1:$1,0))=0,0,INDEX(DATOS3!$1:$19397,A268,MATCH("Total_Fluoro_Time",DATOS3!$1:$1,0)))</f>
        <v>#N/A</v>
      </c>
      <c r="L268" t="e">
        <f>IF(INDEX(DATOS3!$1:$19397,A268,MATCH("Total_Acquisition_Time",DATOS3!$1:$1,0))=0,0,INDEX(DATOS3!$1:$19397,A268,MATCH("Total_Acquisition_Time",DATOS3!$1:$1,0)))</f>
        <v>#N/A</v>
      </c>
    </row>
    <row r="269" spans="1:12" x14ac:dyDescent="0.25">
      <c r="A269">
        <v>269</v>
      </c>
      <c r="B269" t="e">
        <f t="shared" si="4"/>
        <v>#N/A</v>
      </c>
      <c r="D269" t="e">
        <f>IF(INDEX(DATOS3!$1:$19397,A269,MATCH("PatientID",DATOS3!$1:$1,0))=0,"",INDEX(DATOS3!$1:$19397,A269,MATCH("PatientID",DATOS3!$1:$1,0)))</f>
        <v>#N/A</v>
      </c>
      <c r="F269" t="e">
        <f>IF(INDEX(DATOS3!$1:$19397,A269,MATCH("SeriesDate",DATOS3!$1:$1,0))=0,"",INDEX(DATOS3!$1:$19397,A269,MATCH("SeriesDate",DATOS3!$1:$1,0)))</f>
        <v>#N/A</v>
      </c>
      <c r="G269" t="e">
        <f>IF(INDEX(DATOS3!$1:$19397,A269,MATCH("SeriesTime",DATOS3!$1:$1,0))=0,"",INDEX(DATOS3!$1:$19397,A269,MATCH("SeriesTime",DATOS3!$1:$1,0)))</f>
        <v>#N/A</v>
      </c>
      <c r="H269" t="e">
        <f>IF(INDEX(DATOS3!$1:$19397,A269,MATCH("StudyDescription",DATOS3!$1:$1,0))=0,"",INDEX(DATOS3!$1:$19397,A269,MATCH("StudyDescription",DATOS3!$1:$1,0)))</f>
        <v>#N/A</v>
      </c>
      <c r="I269" t="e">
        <f>IF(INDEX(DATOS3!$1:$19397,A269,MATCH("Dose_Area_Product_Total",DATOS3!$1:$1,0))=0,0,INDEX(DATOS3!$1:$19397,A269,MATCH("Dose_Area_Product_Total",DATOS3!$1:$1,0)))</f>
        <v>#N/A</v>
      </c>
      <c r="J269" t="e">
        <f>IF(INDEX(DATOS3!$1:$19397,A269,MATCH("Dose_RP_Total",DATOS3!$1:$1,0))=0,0,INDEX(DATOS3!$1:$19397,A269,MATCH("Dose_RP_Total",DATOS3!$1:$1,0)))</f>
        <v>#N/A</v>
      </c>
      <c r="K269" t="e">
        <f>IF(INDEX(DATOS3!$1:$19397,A269,MATCH("Total_Fluoro_Time",DATOS3!$1:$1,0))=0,0,INDEX(DATOS3!$1:$19397,A269,MATCH("Total_Fluoro_Time",DATOS3!$1:$1,0)))</f>
        <v>#N/A</v>
      </c>
      <c r="L269" t="e">
        <f>IF(INDEX(DATOS3!$1:$19397,A269,MATCH("Total_Acquisition_Time",DATOS3!$1:$1,0))=0,0,INDEX(DATOS3!$1:$19397,A269,MATCH("Total_Acquisition_Time",DATOS3!$1:$1,0)))</f>
        <v>#N/A</v>
      </c>
    </row>
    <row r="270" spans="1:12" x14ac:dyDescent="0.25">
      <c r="A270">
        <v>270</v>
      </c>
      <c r="B270" t="e">
        <f t="shared" si="4"/>
        <v>#N/A</v>
      </c>
      <c r="D270" t="e">
        <f>IF(INDEX(DATOS3!$1:$19397,A270,MATCH("PatientID",DATOS3!$1:$1,0))=0,"",INDEX(DATOS3!$1:$19397,A270,MATCH("PatientID",DATOS3!$1:$1,0)))</f>
        <v>#N/A</v>
      </c>
      <c r="F270" t="e">
        <f>IF(INDEX(DATOS3!$1:$19397,A270,MATCH("SeriesDate",DATOS3!$1:$1,0))=0,"",INDEX(DATOS3!$1:$19397,A270,MATCH("SeriesDate",DATOS3!$1:$1,0)))</f>
        <v>#N/A</v>
      </c>
      <c r="G270" t="e">
        <f>IF(INDEX(DATOS3!$1:$19397,A270,MATCH("SeriesTime",DATOS3!$1:$1,0))=0,"",INDEX(DATOS3!$1:$19397,A270,MATCH("SeriesTime",DATOS3!$1:$1,0)))</f>
        <v>#N/A</v>
      </c>
      <c r="H270" t="e">
        <f>IF(INDEX(DATOS3!$1:$19397,A270,MATCH("StudyDescription",DATOS3!$1:$1,0))=0,"",INDEX(DATOS3!$1:$19397,A270,MATCH("StudyDescription",DATOS3!$1:$1,0)))</f>
        <v>#N/A</v>
      </c>
      <c r="I270" t="e">
        <f>IF(INDEX(DATOS3!$1:$19397,A270,MATCH("Dose_Area_Product_Total",DATOS3!$1:$1,0))=0,0,INDEX(DATOS3!$1:$19397,A270,MATCH("Dose_Area_Product_Total",DATOS3!$1:$1,0)))</f>
        <v>#N/A</v>
      </c>
      <c r="J270" t="e">
        <f>IF(INDEX(DATOS3!$1:$19397,A270,MATCH("Dose_RP_Total",DATOS3!$1:$1,0))=0,0,INDEX(DATOS3!$1:$19397,A270,MATCH("Dose_RP_Total",DATOS3!$1:$1,0)))</f>
        <v>#N/A</v>
      </c>
      <c r="K270" t="e">
        <f>IF(INDEX(DATOS3!$1:$19397,A270,MATCH("Total_Fluoro_Time",DATOS3!$1:$1,0))=0,0,INDEX(DATOS3!$1:$19397,A270,MATCH("Total_Fluoro_Time",DATOS3!$1:$1,0)))</f>
        <v>#N/A</v>
      </c>
      <c r="L270" t="e">
        <f>IF(INDEX(DATOS3!$1:$19397,A270,MATCH("Total_Acquisition_Time",DATOS3!$1:$1,0))=0,0,INDEX(DATOS3!$1:$19397,A270,MATCH("Total_Acquisition_Time",DATOS3!$1:$1,0)))</f>
        <v>#N/A</v>
      </c>
    </row>
    <row r="271" spans="1:12" x14ac:dyDescent="0.25">
      <c r="A271">
        <v>271</v>
      </c>
      <c r="B271" t="e">
        <f t="shared" si="4"/>
        <v>#N/A</v>
      </c>
      <c r="D271" t="e">
        <f>IF(INDEX(DATOS3!$1:$19397,A271,MATCH("PatientID",DATOS3!$1:$1,0))=0,"",INDEX(DATOS3!$1:$19397,A271,MATCH("PatientID",DATOS3!$1:$1,0)))</f>
        <v>#N/A</v>
      </c>
      <c r="F271" t="e">
        <f>IF(INDEX(DATOS3!$1:$19397,A271,MATCH("SeriesDate",DATOS3!$1:$1,0))=0,"",INDEX(DATOS3!$1:$19397,A271,MATCH("SeriesDate",DATOS3!$1:$1,0)))</f>
        <v>#N/A</v>
      </c>
      <c r="G271" t="e">
        <f>IF(INDEX(DATOS3!$1:$19397,A271,MATCH("SeriesTime",DATOS3!$1:$1,0))=0,"",INDEX(DATOS3!$1:$19397,A271,MATCH("SeriesTime",DATOS3!$1:$1,0)))</f>
        <v>#N/A</v>
      </c>
      <c r="H271" t="e">
        <f>IF(INDEX(DATOS3!$1:$19397,A271,MATCH("StudyDescription",DATOS3!$1:$1,0))=0,"",INDEX(DATOS3!$1:$19397,A271,MATCH("StudyDescription",DATOS3!$1:$1,0)))</f>
        <v>#N/A</v>
      </c>
      <c r="I271" t="e">
        <f>IF(INDEX(DATOS3!$1:$19397,A271,MATCH("Dose_Area_Product_Total",DATOS3!$1:$1,0))=0,0,INDEX(DATOS3!$1:$19397,A271,MATCH("Dose_Area_Product_Total",DATOS3!$1:$1,0)))</f>
        <v>#N/A</v>
      </c>
      <c r="J271" t="e">
        <f>IF(INDEX(DATOS3!$1:$19397,A271,MATCH("Dose_RP_Total",DATOS3!$1:$1,0))=0,0,INDEX(DATOS3!$1:$19397,A271,MATCH("Dose_RP_Total",DATOS3!$1:$1,0)))</f>
        <v>#N/A</v>
      </c>
      <c r="K271" t="e">
        <f>IF(INDEX(DATOS3!$1:$19397,A271,MATCH("Total_Fluoro_Time",DATOS3!$1:$1,0))=0,0,INDEX(DATOS3!$1:$19397,A271,MATCH("Total_Fluoro_Time",DATOS3!$1:$1,0)))</f>
        <v>#N/A</v>
      </c>
      <c r="L271" t="e">
        <f>IF(INDEX(DATOS3!$1:$19397,A271,MATCH("Total_Acquisition_Time",DATOS3!$1:$1,0))=0,0,INDEX(DATOS3!$1:$19397,A271,MATCH("Total_Acquisition_Time",DATOS3!$1:$1,0)))</f>
        <v>#N/A</v>
      </c>
    </row>
    <row r="272" spans="1:12" x14ac:dyDescent="0.25">
      <c r="A272">
        <v>272</v>
      </c>
      <c r="B272" t="e">
        <f t="shared" si="4"/>
        <v>#N/A</v>
      </c>
      <c r="D272" t="e">
        <f>IF(INDEX(DATOS3!$1:$19397,A272,MATCH("PatientID",DATOS3!$1:$1,0))=0,"",INDEX(DATOS3!$1:$19397,A272,MATCH("PatientID",DATOS3!$1:$1,0)))</f>
        <v>#N/A</v>
      </c>
      <c r="F272" t="e">
        <f>IF(INDEX(DATOS3!$1:$19397,A272,MATCH("SeriesDate",DATOS3!$1:$1,0))=0,"",INDEX(DATOS3!$1:$19397,A272,MATCH("SeriesDate",DATOS3!$1:$1,0)))</f>
        <v>#N/A</v>
      </c>
      <c r="G272" t="e">
        <f>IF(INDEX(DATOS3!$1:$19397,A272,MATCH("SeriesTime",DATOS3!$1:$1,0))=0,"",INDEX(DATOS3!$1:$19397,A272,MATCH("SeriesTime",DATOS3!$1:$1,0)))</f>
        <v>#N/A</v>
      </c>
      <c r="H272" t="e">
        <f>IF(INDEX(DATOS3!$1:$19397,A272,MATCH("StudyDescription",DATOS3!$1:$1,0))=0,"",INDEX(DATOS3!$1:$19397,A272,MATCH("StudyDescription",DATOS3!$1:$1,0)))</f>
        <v>#N/A</v>
      </c>
      <c r="I272" t="e">
        <f>IF(INDEX(DATOS3!$1:$19397,A272,MATCH("Dose_Area_Product_Total",DATOS3!$1:$1,0))=0,0,INDEX(DATOS3!$1:$19397,A272,MATCH("Dose_Area_Product_Total",DATOS3!$1:$1,0)))</f>
        <v>#N/A</v>
      </c>
      <c r="J272" t="e">
        <f>IF(INDEX(DATOS3!$1:$19397,A272,MATCH("Dose_RP_Total",DATOS3!$1:$1,0))=0,0,INDEX(DATOS3!$1:$19397,A272,MATCH("Dose_RP_Total",DATOS3!$1:$1,0)))</f>
        <v>#N/A</v>
      </c>
      <c r="K272" t="e">
        <f>IF(INDEX(DATOS3!$1:$19397,A272,MATCH("Total_Fluoro_Time",DATOS3!$1:$1,0))=0,0,INDEX(DATOS3!$1:$19397,A272,MATCH("Total_Fluoro_Time",DATOS3!$1:$1,0)))</f>
        <v>#N/A</v>
      </c>
      <c r="L272" t="e">
        <f>IF(INDEX(DATOS3!$1:$19397,A272,MATCH("Total_Acquisition_Time",DATOS3!$1:$1,0))=0,0,INDEX(DATOS3!$1:$19397,A272,MATCH("Total_Acquisition_Time",DATOS3!$1:$1,0)))</f>
        <v>#N/A</v>
      </c>
    </row>
    <row r="273" spans="1:12" x14ac:dyDescent="0.25">
      <c r="A273">
        <v>273</v>
      </c>
      <c r="B273" t="e">
        <f t="shared" si="4"/>
        <v>#N/A</v>
      </c>
      <c r="D273" t="e">
        <f>IF(INDEX(DATOS3!$1:$19397,A273,MATCH("PatientID",DATOS3!$1:$1,0))=0,"",INDEX(DATOS3!$1:$19397,A273,MATCH("PatientID",DATOS3!$1:$1,0)))</f>
        <v>#N/A</v>
      </c>
      <c r="F273" t="e">
        <f>IF(INDEX(DATOS3!$1:$19397,A273,MATCH("SeriesDate",DATOS3!$1:$1,0))=0,"",INDEX(DATOS3!$1:$19397,A273,MATCH("SeriesDate",DATOS3!$1:$1,0)))</f>
        <v>#N/A</v>
      </c>
      <c r="G273" t="e">
        <f>IF(INDEX(DATOS3!$1:$19397,A273,MATCH("SeriesTime",DATOS3!$1:$1,0))=0,"",INDEX(DATOS3!$1:$19397,A273,MATCH("SeriesTime",DATOS3!$1:$1,0)))</f>
        <v>#N/A</v>
      </c>
      <c r="H273" t="e">
        <f>IF(INDEX(DATOS3!$1:$19397,A273,MATCH("StudyDescription",DATOS3!$1:$1,0))=0,"",INDEX(DATOS3!$1:$19397,A273,MATCH("StudyDescription",DATOS3!$1:$1,0)))</f>
        <v>#N/A</v>
      </c>
      <c r="I273" t="e">
        <f>IF(INDEX(DATOS3!$1:$19397,A273,MATCH("Dose_Area_Product_Total",DATOS3!$1:$1,0))=0,0,INDEX(DATOS3!$1:$19397,A273,MATCH("Dose_Area_Product_Total",DATOS3!$1:$1,0)))</f>
        <v>#N/A</v>
      </c>
      <c r="J273" t="e">
        <f>IF(INDEX(DATOS3!$1:$19397,A273,MATCH("Dose_RP_Total",DATOS3!$1:$1,0))=0,0,INDEX(DATOS3!$1:$19397,A273,MATCH("Dose_RP_Total",DATOS3!$1:$1,0)))</f>
        <v>#N/A</v>
      </c>
      <c r="K273" t="e">
        <f>IF(INDEX(DATOS3!$1:$19397,A273,MATCH("Total_Fluoro_Time",DATOS3!$1:$1,0))=0,0,INDEX(DATOS3!$1:$19397,A273,MATCH("Total_Fluoro_Time",DATOS3!$1:$1,0)))</f>
        <v>#N/A</v>
      </c>
      <c r="L273" t="e">
        <f>IF(INDEX(DATOS3!$1:$19397,A273,MATCH("Total_Acquisition_Time",DATOS3!$1:$1,0))=0,0,INDEX(DATOS3!$1:$19397,A273,MATCH("Total_Acquisition_Time",DATOS3!$1:$1,0)))</f>
        <v>#N/A</v>
      </c>
    </row>
    <row r="274" spans="1:12" x14ac:dyDescent="0.25">
      <c r="A274">
        <v>274</v>
      </c>
      <c r="B274" t="e">
        <f t="shared" si="4"/>
        <v>#N/A</v>
      </c>
      <c r="D274" t="e">
        <f>IF(INDEX(DATOS3!$1:$19397,A274,MATCH("PatientID",DATOS3!$1:$1,0))=0,"",INDEX(DATOS3!$1:$19397,A274,MATCH("PatientID",DATOS3!$1:$1,0)))</f>
        <v>#N/A</v>
      </c>
      <c r="F274" t="e">
        <f>IF(INDEX(DATOS3!$1:$19397,A274,MATCH("SeriesDate",DATOS3!$1:$1,0))=0,"",INDEX(DATOS3!$1:$19397,A274,MATCH("SeriesDate",DATOS3!$1:$1,0)))</f>
        <v>#N/A</v>
      </c>
      <c r="G274" t="e">
        <f>IF(INDEX(DATOS3!$1:$19397,A274,MATCH("SeriesTime",DATOS3!$1:$1,0))=0,"",INDEX(DATOS3!$1:$19397,A274,MATCH("SeriesTime",DATOS3!$1:$1,0)))</f>
        <v>#N/A</v>
      </c>
      <c r="H274" t="e">
        <f>IF(INDEX(DATOS3!$1:$19397,A274,MATCH("StudyDescription",DATOS3!$1:$1,0))=0,"",INDEX(DATOS3!$1:$19397,A274,MATCH("StudyDescription",DATOS3!$1:$1,0)))</f>
        <v>#N/A</v>
      </c>
      <c r="I274" t="e">
        <f>IF(INDEX(DATOS3!$1:$19397,A274,MATCH("Dose_Area_Product_Total",DATOS3!$1:$1,0))=0,0,INDEX(DATOS3!$1:$19397,A274,MATCH("Dose_Area_Product_Total",DATOS3!$1:$1,0)))</f>
        <v>#N/A</v>
      </c>
      <c r="J274" t="e">
        <f>IF(INDEX(DATOS3!$1:$19397,A274,MATCH("Dose_RP_Total",DATOS3!$1:$1,0))=0,0,INDEX(DATOS3!$1:$19397,A274,MATCH("Dose_RP_Total",DATOS3!$1:$1,0)))</f>
        <v>#N/A</v>
      </c>
      <c r="K274" t="e">
        <f>IF(INDEX(DATOS3!$1:$19397,A274,MATCH("Total_Fluoro_Time",DATOS3!$1:$1,0))=0,0,INDEX(DATOS3!$1:$19397,A274,MATCH("Total_Fluoro_Time",DATOS3!$1:$1,0)))</f>
        <v>#N/A</v>
      </c>
      <c r="L274" t="e">
        <f>IF(INDEX(DATOS3!$1:$19397,A274,MATCH("Total_Acquisition_Time",DATOS3!$1:$1,0))=0,0,INDEX(DATOS3!$1:$19397,A274,MATCH("Total_Acquisition_Time",DATOS3!$1:$1,0)))</f>
        <v>#N/A</v>
      </c>
    </row>
    <row r="275" spans="1:12" x14ac:dyDescent="0.25">
      <c r="A275">
        <v>275</v>
      </c>
      <c r="B275" t="e">
        <f t="shared" si="4"/>
        <v>#N/A</v>
      </c>
      <c r="D275" t="e">
        <f>IF(INDEX(DATOS3!$1:$19397,A275,MATCH("PatientID",DATOS3!$1:$1,0))=0,"",INDEX(DATOS3!$1:$19397,A275,MATCH("PatientID",DATOS3!$1:$1,0)))</f>
        <v>#N/A</v>
      </c>
      <c r="F275" t="e">
        <f>IF(INDEX(DATOS3!$1:$19397,A275,MATCH("SeriesDate",DATOS3!$1:$1,0))=0,"",INDEX(DATOS3!$1:$19397,A275,MATCH("SeriesDate",DATOS3!$1:$1,0)))</f>
        <v>#N/A</v>
      </c>
      <c r="G275" t="e">
        <f>IF(INDEX(DATOS3!$1:$19397,A275,MATCH("SeriesTime",DATOS3!$1:$1,0))=0,"",INDEX(DATOS3!$1:$19397,A275,MATCH("SeriesTime",DATOS3!$1:$1,0)))</f>
        <v>#N/A</v>
      </c>
      <c r="H275" t="e">
        <f>IF(INDEX(DATOS3!$1:$19397,A275,MATCH("StudyDescription",DATOS3!$1:$1,0))=0,"",INDEX(DATOS3!$1:$19397,A275,MATCH("StudyDescription",DATOS3!$1:$1,0)))</f>
        <v>#N/A</v>
      </c>
      <c r="I275" t="e">
        <f>IF(INDEX(DATOS3!$1:$19397,A275,MATCH("Dose_Area_Product_Total",DATOS3!$1:$1,0))=0,0,INDEX(DATOS3!$1:$19397,A275,MATCH("Dose_Area_Product_Total",DATOS3!$1:$1,0)))</f>
        <v>#N/A</v>
      </c>
      <c r="J275" t="e">
        <f>IF(INDEX(DATOS3!$1:$19397,A275,MATCH("Dose_RP_Total",DATOS3!$1:$1,0))=0,0,INDEX(DATOS3!$1:$19397,A275,MATCH("Dose_RP_Total",DATOS3!$1:$1,0)))</f>
        <v>#N/A</v>
      </c>
      <c r="K275" t="e">
        <f>IF(INDEX(DATOS3!$1:$19397,A275,MATCH("Total_Fluoro_Time",DATOS3!$1:$1,0))=0,0,INDEX(DATOS3!$1:$19397,A275,MATCH("Total_Fluoro_Time",DATOS3!$1:$1,0)))</f>
        <v>#N/A</v>
      </c>
      <c r="L275" t="e">
        <f>IF(INDEX(DATOS3!$1:$19397,A275,MATCH("Total_Acquisition_Time",DATOS3!$1:$1,0))=0,0,INDEX(DATOS3!$1:$19397,A275,MATCH("Total_Acquisition_Time",DATOS3!$1:$1,0)))</f>
        <v>#N/A</v>
      </c>
    </row>
    <row r="276" spans="1:12" x14ac:dyDescent="0.25">
      <c r="A276">
        <v>276</v>
      </c>
      <c r="B276" t="e">
        <f t="shared" si="4"/>
        <v>#N/A</v>
      </c>
      <c r="D276" t="e">
        <f>IF(INDEX(DATOS3!$1:$19397,A276,MATCH("PatientID",DATOS3!$1:$1,0))=0,"",INDEX(DATOS3!$1:$19397,A276,MATCH("PatientID",DATOS3!$1:$1,0)))</f>
        <v>#N/A</v>
      </c>
      <c r="F276" t="e">
        <f>IF(INDEX(DATOS3!$1:$19397,A276,MATCH("SeriesDate",DATOS3!$1:$1,0))=0,"",INDEX(DATOS3!$1:$19397,A276,MATCH("SeriesDate",DATOS3!$1:$1,0)))</f>
        <v>#N/A</v>
      </c>
      <c r="G276" t="e">
        <f>IF(INDEX(DATOS3!$1:$19397,A276,MATCH("SeriesTime",DATOS3!$1:$1,0))=0,"",INDEX(DATOS3!$1:$19397,A276,MATCH("SeriesTime",DATOS3!$1:$1,0)))</f>
        <v>#N/A</v>
      </c>
      <c r="H276" t="e">
        <f>IF(INDEX(DATOS3!$1:$19397,A276,MATCH("StudyDescription",DATOS3!$1:$1,0))=0,"",INDEX(DATOS3!$1:$19397,A276,MATCH("StudyDescription",DATOS3!$1:$1,0)))</f>
        <v>#N/A</v>
      </c>
      <c r="I276" t="e">
        <f>IF(INDEX(DATOS3!$1:$19397,A276,MATCH("Dose_Area_Product_Total",DATOS3!$1:$1,0))=0,0,INDEX(DATOS3!$1:$19397,A276,MATCH("Dose_Area_Product_Total",DATOS3!$1:$1,0)))</f>
        <v>#N/A</v>
      </c>
      <c r="J276" t="e">
        <f>IF(INDEX(DATOS3!$1:$19397,A276,MATCH("Dose_RP_Total",DATOS3!$1:$1,0))=0,0,INDEX(DATOS3!$1:$19397,A276,MATCH("Dose_RP_Total",DATOS3!$1:$1,0)))</f>
        <v>#N/A</v>
      </c>
      <c r="K276" t="e">
        <f>IF(INDEX(DATOS3!$1:$19397,A276,MATCH("Total_Fluoro_Time",DATOS3!$1:$1,0))=0,0,INDEX(DATOS3!$1:$19397,A276,MATCH("Total_Fluoro_Time",DATOS3!$1:$1,0)))</f>
        <v>#N/A</v>
      </c>
      <c r="L276" t="e">
        <f>IF(INDEX(DATOS3!$1:$19397,A276,MATCH("Total_Acquisition_Time",DATOS3!$1:$1,0))=0,0,INDEX(DATOS3!$1:$19397,A276,MATCH("Total_Acquisition_Time",DATOS3!$1:$1,0)))</f>
        <v>#N/A</v>
      </c>
    </row>
    <row r="277" spans="1:12" x14ac:dyDescent="0.25">
      <c r="A277">
        <v>277</v>
      </c>
      <c r="B277" t="e">
        <f t="shared" si="4"/>
        <v>#N/A</v>
      </c>
      <c r="D277" t="e">
        <f>IF(INDEX(DATOS3!$1:$19397,A277,MATCH("PatientID",DATOS3!$1:$1,0))=0,"",INDEX(DATOS3!$1:$19397,A277,MATCH("PatientID",DATOS3!$1:$1,0)))</f>
        <v>#N/A</v>
      </c>
      <c r="F277" t="e">
        <f>IF(INDEX(DATOS3!$1:$19397,A277,MATCH("SeriesDate",DATOS3!$1:$1,0))=0,"",INDEX(DATOS3!$1:$19397,A277,MATCH("SeriesDate",DATOS3!$1:$1,0)))</f>
        <v>#N/A</v>
      </c>
      <c r="G277" t="e">
        <f>IF(INDEX(DATOS3!$1:$19397,A277,MATCH("SeriesTime",DATOS3!$1:$1,0))=0,"",INDEX(DATOS3!$1:$19397,A277,MATCH("SeriesTime",DATOS3!$1:$1,0)))</f>
        <v>#N/A</v>
      </c>
      <c r="H277" t="e">
        <f>IF(INDEX(DATOS3!$1:$19397,A277,MATCH("StudyDescription",DATOS3!$1:$1,0))=0,"",INDEX(DATOS3!$1:$19397,A277,MATCH("StudyDescription",DATOS3!$1:$1,0)))</f>
        <v>#N/A</v>
      </c>
      <c r="I277" t="e">
        <f>IF(INDEX(DATOS3!$1:$19397,A277,MATCH("Dose_Area_Product_Total",DATOS3!$1:$1,0))=0,0,INDEX(DATOS3!$1:$19397,A277,MATCH("Dose_Area_Product_Total",DATOS3!$1:$1,0)))</f>
        <v>#N/A</v>
      </c>
      <c r="J277" t="e">
        <f>IF(INDEX(DATOS3!$1:$19397,A277,MATCH("Dose_RP_Total",DATOS3!$1:$1,0))=0,0,INDEX(DATOS3!$1:$19397,A277,MATCH("Dose_RP_Total",DATOS3!$1:$1,0)))</f>
        <v>#N/A</v>
      </c>
      <c r="K277" t="e">
        <f>IF(INDEX(DATOS3!$1:$19397,A277,MATCH("Total_Fluoro_Time",DATOS3!$1:$1,0))=0,0,INDEX(DATOS3!$1:$19397,A277,MATCH("Total_Fluoro_Time",DATOS3!$1:$1,0)))</f>
        <v>#N/A</v>
      </c>
      <c r="L277" t="e">
        <f>IF(INDEX(DATOS3!$1:$19397,A277,MATCH("Total_Acquisition_Time",DATOS3!$1:$1,0))=0,0,INDEX(DATOS3!$1:$19397,A277,MATCH("Total_Acquisition_Time",DATOS3!$1:$1,0)))</f>
        <v>#N/A</v>
      </c>
    </row>
    <row r="278" spans="1:12" x14ac:dyDescent="0.25">
      <c r="A278">
        <v>278</v>
      </c>
      <c r="B278" t="e">
        <f t="shared" si="4"/>
        <v>#N/A</v>
      </c>
      <c r="D278" t="e">
        <f>IF(INDEX(DATOS3!$1:$19397,A278,MATCH("PatientID",DATOS3!$1:$1,0))=0,"",INDEX(DATOS3!$1:$19397,A278,MATCH("PatientID",DATOS3!$1:$1,0)))</f>
        <v>#N/A</v>
      </c>
      <c r="F278" t="e">
        <f>IF(INDEX(DATOS3!$1:$19397,A278,MATCH("SeriesDate",DATOS3!$1:$1,0))=0,"",INDEX(DATOS3!$1:$19397,A278,MATCH("SeriesDate",DATOS3!$1:$1,0)))</f>
        <v>#N/A</v>
      </c>
      <c r="G278" t="e">
        <f>IF(INDEX(DATOS3!$1:$19397,A278,MATCH("SeriesTime",DATOS3!$1:$1,0))=0,"",INDEX(DATOS3!$1:$19397,A278,MATCH("SeriesTime",DATOS3!$1:$1,0)))</f>
        <v>#N/A</v>
      </c>
      <c r="H278" t="e">
        <f>IF(INDEX(DATOS3!$1:$19397,A278,MATCH("StudyDescription",DATOS3!$1:$1,0))=0,"",INDEX(DATOS3!$1:$19397,A278,MATCH("StudyDescription",DATOS3!$1:$1,0)))</f>
        <v>#N/A</v>
      </c>
      <c r="I278" t="e">
        <f>IF(INDEX(DATOS3!$1:$19397,A278,MATCH("Dose_Area_Product_Total",DATOS3!$1:$1,0))=0,0,INDEX(DATOS3!$1:$19397,A278,MATCH("Dose_Area_Product_Total",DATOS3!$1:$1,0)))</f>
        <v>#N/A</v>
      </c>
      <c r="J278" t="e">
        <f>IF(INDEX(DATOS3!$1:$19397,A278,MATCH("Dose_RP_Total",DATOS3!$1:$1,0))=0,0,INDEX(DATOS3!$1:$19397,A278,MATCH("Dose_RP_Total",DATOS3!$1:$1,0)))</f>
        <v>#N/A</v>
      </c>
      <c r="K278" t="e">
        <f>IF(INDEX(DATOS3!$1:$19397,A278,MATCH("Total_Fluoro_Time",DATOS3!$1:$1,0))=0,0,INDEX(DATOS3!$1:$19397,A278,MATCH("Total_Fluoro_Time",DATOS3!$1:$1,0)))</f>
        <v>#N/A</v>
      </c>
      <c r="L278" t="e">
        <f>IF(INDEX(DATOS3!$1:$19397,A278,MATCH("Total_Acquisition_Time",DATOS3!$1:$1,0))=0,0,INDEX(DATOS3!$1:$19397,A278,MATCH("Total_Acquisition_Time",DATOS3!$1:$1,0)))</f>
        <v>#N/A</v>
      </c>
    </row>
    <row r="279" spans="1:12" x14ac:dyDescent="0.25">
      <c r="A279">
        <v>279</v>
      </c>
      <c r="B279" t="e">
        <f t="shared" si="4"/>
        <v>#N/A</v>
      </c>
      <c r="D279" t="e">
        <f>IF(INDEX(DATOS3!$1:$19397,A279,MATCH("PatientID",DATOS3!$1:$1,0))=0,"",INDEX(DATOS3!$1:$19397,A279,MATCH("PatientID",DATOS3!$1:$1,0)))</f>
        <v>#N/A</v>
      </c>
      <c r="F279" t="e">
        <f>IF(INDEX(DATOS3!$1:$19397,A279,MATCH("SeriesDate",DATOS3!$1:$1,0))=0,"",INDEX(DATOS3!$1:$19397,A279,MATCH("SeriesDate",DATOS3!$1:$1,0)))</f>
        <v>#N/A</v>
      </c>
      <c r="G279" t="e">
        <f>IF(INDEX(DATOS3!$1:$19397,A279,MATCH("SeriesTime",DATOS3!$1:$1,0))=0,"",INDEX(DATOS3!$1:$19397,A279,MATCH("SeriesTime",DATOS3!$1:$1,0)))</f>
        <v>#N/A</v>
      </c>
      <c r="H279" t="e">
        <f>IF(INDEX(DATOS3!$1:$19397,A279,MATCH("StudyDescription",DATOS3!$1:$1,0))=0,"",INDEX(DATOS3!$1:$19397,A279,MATCH("StudyDescription",DATOS3!$1:$1,0)))</f>
        <v>#N/A</v>
      </c>
      <c r="I279" t="e">
        <f>IF(INDEX(DATOS3!$1:$19397,A279,MATCH("Dose_Area_Product_Total",DATOS3!$1:$1,0))=0,0,INDEX(DATOS3!$1:$19397,A279,MATCH("Dose_Area_Product_Total",DATOS3!$1:$1,0)))</f>
        <v>#N/A</v>
      </c>
      <c r="J279" t="e">
        <f>IF(INDEX(DATOS3!$1:$19397,A279,MATCH("Dose_RP_Total",DATOS3!$1:$1,0))=0,0,INDEX(DATOS3!$1:$19397,A279,MATCH("Dose_RP_Total",DATOS3!$1:$1,0)))</f>
        <v>#N/A</v>
      </c>
      <c r="K279" t="e">
        <f>IF(INDEX(DATOS3!$1:$19397,A279,MATCH("Total_Fluoro_Time",DATOS3!$1:$1,0))=0,0,INDEX(DATOS3!$1:$19397,A279,MATCH("Total_Fluoro_Time",DATOS3!$1:$1,0)))</f>
        <v>#N/A</v>
      </c>
      <c r="L279" t="e">
        <f>IF(INDEX(DATOS3!$1:$19397,A279,MATCH("Total_Acquisition_Time",DATOS3!$1:$1,0))=0,0,INDEX(DATOS3!$1:$19397,A279,MATCH("Total_Acquisition_Time",DATOS3!$1:$1,0)))</f>
        <v>#N/A</v>
      </c>
    </row>
    <row r="280" spans="1:12" x14ac:dyDescent="0.25">
      <c r="A280">
        <v>280</v>
      </c>
      <c r="B280" t="e">
        <f t="shared" si="4"/>
        <v>#N/A</v>
      </c>
      <c r="D280" t="e">
        <f>IF(INDEX(DATOS3!$1:$19397,A280,MATCH("PatientID",DATOS3!$1:$1,0))=0,"",INDEX(DATOS3!$1:$19397,A280,MATCH("PatientID",DATOS3!$1:$1,0)))</f>
        <v>#N/A</v>
      </c>
      <c r="F280" t="e">
        <f>IF(INDEX(DATOS3!$1:$19397,A280,MATCH("SeriesDate",DATOS3!$1:$1,0))=0,"",INDEX(DATOS3!$1:$19397,A280,MATCH("SeriesDate",DATOS3!$1:$1,0)))</f>
        <v>#N/A</v>
      </c>
      <c r="G280" t="e">
        <f>IF(INDEX(DATOS3!$1:$19397,A280,MATCH("SeriesTime",DATOS3!$1:$1,0))=0,"",INDEX(DATOS3!$1:$19397,A280,MATCH("SeriesTime",DATOS3!$1:$1,0)))</f>
        <v>#N/A</v>
      </c>
      <c r="H280" t="e">
        <f>IF(INDEX(DATOS3!$1:$19397,A280,MATCH("StudyDescription",DATOS3!$1:$1,0))=0,"",INDEX(DATOS3!$1:$19397,A280,MATCH("StudyDescription",DATOS3!$1:$1,0)))</f>
        <v>#N/A</v>
      </c>
      <c r="I280" t="e">
        <f>IF(INDEX(DATOS3!$1:$19397,A280,MATCH("Dose_Area_Product_Total",DATOS3!$1:$1,0))=0,0,INDEX(DATOS3!$1:$19397,A280,MATCH("Dose_Area_Product_Total",DATOS3!$1:$1,0)))</f>
        <v>#N/A</v>
      </c>
      <c r="J280" t="e">
        <f>IF(INDEX(DATOS3!$1:$19397,A280,MATCH("Dose_RP_Total",DATOS3!$1:$1,0))=0,0,INDEX(DATOS3!$1:$19397,A280,MATCH("Dose_RP_Total",DATOS3!$1:$1,0)))</f>
        <v>#N/A</v>
      </c>
      <c r="K280" t="e">
        <f>IF(INDEX(DATOS3!$1:$19397,A280,MATCH("Total_Fluoro_Time",DATOS3!$1:$1,0))=0,0,INDEX(DATOS3!$1:$19397,A280,MATCH("Total_Fluoro_Time",DATOS3!$1:$1,0)))</f>
        <v>#N/A</v>
      </c>
      <c r="L280" t="e">
        <f>IF(INDEX(DATOS3!$1:$19397,A280,MATCH("Total_Acquisition_Time",DATOS3!$1:$1,0))=0,0,INDEX(DATOS3!$1:$19397,A280,MATCH("Total_Acquisition_Time",DATOS3!$1:$1,0)))</f>
        <v>#N/A</v>
      </c>
    </row>
    <row r="281" spans="1:12" x14ac:dyDescent="0.25">
      <c r="A281">
        <v>281</v>
      </c>
      <c r="B281" t="e">
        <f t="shared" si="4"/>
        <v>#N/A</v>
      </c>
      <c r="D281" t="e">
        <f>IF(INDEX(DATOS3!$1:$19397,A281,MATCH("PatientID",DATOS3!$1:$1,0))=0,"",INDEX(DATOS3!$1:$19397,A281,MATCH("PatientID",DATOS3!$1:$1,0)))</f>
        <v>#N/A</v>
      </c>
      <c r="F281" t="e">
        <f>IF(INDEX(DATOS3!$1:$19397,A281,MATCH("SeriesDate",DATOS3!$1:$1,0))=0,"",INDEX(DATOS3!$1:$19397,A281,MATCH("SeriesDate",DATOS3!$1:$1,0)))</f>
        <v>#N/A</v>
      </c>
      <c r="G281" t="e">
        <f>IF(INDEX(DATOS3!$1:$19397,A281,MATCH("SeriesTime",DATOS3!$1:$1,0))=0,"",INDEX(DATOS3!$1:$19397,A281,MATCH("SeriesTime",DATOS3!$1:$1,0)))</f>
        <v>#N/A</v>
      </c>
      <c r="H281" t="e">
        <f>IF(INDEX(DATOS3!$1:$19397,A281,MATCH("StudyDescription",DATOS3!$1:$1,0))=0,"",INDEX(DATOS3!$1:$19397,A281,MATCH("StudyDescription",DATOS3!$1:$1,0)))</f>
        <v>#N/A</v>
      </c>
      <c r="I281" t="e">
        <f>IF(INDEX(DATOS3!$1:$19397,A281,MATCH("Dose_Area_Product_Total",DATOS3!$1:$1,0))=0,0,INDEX(DATOS3!$1:$19397,A281,MATCH("Dose_Area_Product_Total",DATOS3!$1:$1,0)))</f>
        <v>#N/A</v>
      </c>
      <c r="J281" t="e">
        <f>IF(INDEX(DATOS3!$1:$19397,A281,MATCH("Dose_RP_Total",DATOS3!$1:$1,0))=0,0,INDEX(DATOS3!$1:$19397,A281,MATCH("Dose_RP_Total",DATOS3!$1:$1,0)))</f>
        <v>#N/A</v>
      </c>
      <c r="K281" t="e">
        <f>IF(INDEX(DATOS3!$1:$19397,A281,MATCH("Total_Fluoro_Time",DATOS3!$1:$1,0))=0,0,INDEX(DATOS3!$1:$19397,A281,MATCH("Total_Fluoro_Time",DATOS3!$1:$1,0)))</f>
        <v>#N/A</v>
      </c>
      <c r="L281" t="e">
        <f>IF(INDEX(DATOS3!$1:$19397,A281,MATCH("Total_Acquisition_Time",DATOS3!$1:$1,0))=0,0,INDEX(DATOS3!$1:$19397,A281,MATCH("Total_Acquisition_Time",DATOS3!$1:$1,0)))</f>
        <v>#N/A</v>
      </c>
    </row>
    <row r="282" spans="1:12" x14ac:dyDescent="0.25">
      <c r="A282">
        <v>282</v>
      </c>
      <c r="B282" t="e">
        <f t="shared" si="4"/>
        <v>#N/A</v>
      </c>
      <c r="D282" t="e">
        <f>IF(INDEX(DATOS3!$1:$19397,A282,MATCH("PatientID",DATOS3!$1:$1,0))=0,"",INDEX(DATOS3!$1:$19397,A282,MATCH("PatientID",DATOS3!$1:$1,0)))</f>
        <v>#N/A</v>
      </c>
      <c r="F282" t="e">
        <f>IF(INDEX(DATOS3!$1:$19397,A282,MATCH("SeriesDate",DATOS3!$1:$1,0))=0,"",INDEX(DATOS3!$1:$19397,A282,MATCH("SeriesDate",DATOS3!$1:$1,0)))</f>
        <v>#N/A</v>
      </c>
      <c r="G282" t="e">
        <f>IF(INDEX(DATOS3!$1:$19397,A282,MATCH("SeriesTime",DATOS3!$1:$1,0))=0,"",INDEX(DATOS3!$1:$19397,A282,MATCH("SeriesTime",DATOS3!$1:$1,0)))</f>
        <v>#N/A</v>
      </c>
      <c r="H282" t="e">
        <f>IF(INDEX(DATOS3!$1:$19397,A282,MATCH("StudyDescription",DATOS3!$1:$1,0))=0,"",INDEX(DATOS3!$1:$19397,A282,MATCH("StudyDescription",DATOS3!$1:$1,0)))</f>
        <v>#N/A</v>
      </c>
      <c r="I282" t="e">
        <f>IF(INDEX(DATOS3!$1:$19397,A282,MATCH("Dose_Area_Product_Total",DATOS3!$1:$1,0))=0,0,INDEX(DATOS3!$1:$19397,A282,MATCH("Dose_Area_Product_Total",DATOS3!$1:$1,0)))</f>
        <v>#N/A</v>
      </c>
      <c r="J282" t="e">
        <f>IF(INDEX(DATOS3!$1:$19397,A282,MATCH("Dose_RP_Total",DATOS3!$1:$1,0))=0,0,INDEX(DATOS3!$1:$19397,A282,MATCH("Dose_RP_Total",DATOS3!$1:$1,0)))</f>
        <v>#N/A</v>
      </c>
      <c r="K282" t="e">
        <f>IF(INDEX(DATOS3!$1:$19397,A282,MATCH("Total_Fluoro_Time",DATOS3!$1:$1,0))=0,0,INDEX(DATOS3!$1:$19397,A282,MATCH("Total_Fluoro_Time",DATOS3!$1:$1,0)))</f>
        <v>#N/A</v>
      </c>
      <c r="L282" t="e">
        <f>IF(INDEX(DATOS3!$1:$19397,A282,MATCH("Total_Acquisition_Time",DATOS3!$1:$1,0))=0,0,INDEX(DATOS3!$1:$19397,A282,MATCH("Total_Acquisition_Time",DATOS3!$1:$1,0)))</f>
        <v>#N/A</v>
      </c>
    </row>
    <row r="283" spans="1:12" x14ac:dyDescent="0.25">
      <c r="A283">
        <v>283</v>
      </c>
      <c r="B283" t="e">
        <f t="shared" si="4"/>
        <v>#N/A</v>
      </c>
      <c r="D283" t="e">
        <f>IF(INDEX(DATOS3!$1:$19397,A283,MATCH("PatientID",DATOS3!$1:$1,0))=0,"",INDEX(DATOS3!$1:$19397,A283,MATCH("PatientID",DATOS3!$1:$1,0)))</f>
        <v>#N/A</v>
      </c>
      <c r="F283" t="e">
        <f>IF(INDEX(DATOS3!$1:$19397,A283,MATCH("SeriesDate",DATOS3!$1:$1,0))=0,"",INDEX(DATOS3!$1:$19397,A283,MATCH("SeriesDate",DATOS3!$1:$1,0)))</f>
        <v>#N/A</v>
      </c>
      <c r="G283" t="e">
        <f>IF(INDEX(DATOS3!$1:$19397,A283,MATCH("SeriesTime",DATOS3!$1:$1,0))=0,"",INDEX(DATOS3!$1:$19397,A283,MATCH("SeriesTime",DATOS3!$1:$1,0)))</f>
        <v>#N/A</v>
      </c>
      <c r="H283" t="e">
        <f>IF(INDEX(DATOS3!$1:$19397,A283,MATCH("StudyDescription",DATOS3!$1:$1,0))=0,"",INDEX(DATOS3!$1:$19397,A283,MATCH("StudyDescription",DATOS3!$1:$1,0)))</f>
        <v>#N/A</v>
      </c>
      <c r="I283" t="e">
        <f>IF(INDEX(DATOS3!$1:$19397,A283,MATCH("Dose_Area_Product_Total",DATOS3!$1:$1,0))=0,0,INDEX(DATOS3!$1:$19397,A283,MATCH("Dose_Area_Product_Total",DATOS3!$1:$1,0)))</f>
        <v>#N/A</v>
      </c>
      <c r="J283" t="e">
        <f>IF(INDEX(DATOS3!$1:$19397,A283,MATCH("Dose_RP_Total",DATOS3!$1:$1,0))=0,0,INDEX(DATOS3!$1:$19397,A283,MATCH("Dose_RP_Total",DATOS3!$1:$1,0)))</f>
        <v>#N/A</v>
      </c>
      <c r="K283" t="e">
        <f>IF(INDEX(DATOS3!$1:$19397,A283,MATCH("Total_Fluoro_Time",DATOS3!$1:$1,0))=0,0,INDEX(DATOS3!$1:$19397,A283,MATCH("Total_Fluoro_Time",DATOS3!$1:$1,0)))</f>
        <v>#N/A</v>
      </c>
      <c r="L283" t="e">
        <f>IF(INDEX(DATOS3!$1:$19397,A283,MATCH("Total_Acquisition_Time",DATOS3!$1:$1,0))=0,0,INDEX(DATOS3!$1:$19397,A283,MATCH("Total_Acquisition_Time",DATOS3!$1:$1,0)))</f>
        <v>#N/A</v>
      </c>
    </row>
    <row r="284" spans="1:12" x14ac:dyDescent="0.25">
      <c r="A284">
        <v>284</v>
      </c>
      <c r="B284" t="e">
        <f t="shared" si="4"/>
        <v>#N/A</v>
      </c>
      <c r="D284" t="e">
        <f>IF(INDEX(DATOS3!$1:$19397,A284,MATCH("PatientID",DATOS3!$1:$1,0))=0,"",INDEX(DATOS3!$1:$19397,A284,MATCH("PatientID",DATOS3!$1:$1,0)))</f>
        <v>#N/A</v>
      </c>
      <c r="F284" t="e">
        <f>IF(INDEX(DATOS3!$1:$19397,A284,MATCH("SeriesDate",DATOS3!$1:$1,0))=0,"",INDEX(DATOS3!$1:$19397,A284,MATCH("SeriesDate",DATOS3!$1:$1,0)))</f>
        <v>#N/A</v>
      </c>
      <c r="G284" t="e">
        <f>IF(INDEX(DATOS3!$1:$19397,A284,MATCH("SeriesTime",DATOS3!$1:$1,0))=0,"",INDEX(DATOS3!$1:$19397,A284,MATCH("SeriesTime",DATOS3!$1:$1,0)))</f>
        <v>#N/A</v>
      </c>
      <c r="H284" t="e">
        <f>IF(INDEX(DATOS3!$1:$19397,A284,MATCH("StudyDescription",DATOS3!$1:$1,0))=0,"",INDEX(DATOS3!$1:$19397,A284,MATCH("StudyDescription",DATOS3!$1:$1,0)))</f>
        <v>#N/A</v>
      </c>
      <c r="I284" t="e">
        <f>IF(INDEX(DATOS3!$1:$19397,A284,MATCH("Dose_Area_Product_Total",DATOS3!$1:$1,0))=0,0,INDEX(DATOS3!$1:$19397,A284,MATCH("Dose_Area_Product_Total",DATOS3!$1:$1,0)))</f>
        <v>#N/A</v>
      </c>
      <c r="J284" t="e">
        <f>IF(INDEX(DATOS3!$1:$19397,A284,MATCH("Dose_RP_Total",DATOS3!$1:$1,0))=0,0,INDEX(DATOS3!$1:$19397,A284,MATCH("Dose_RP_Total",DATOS3!$1:$1,0)))</f>
        <v>#N/A</v>
      </c>
      <c r="K284" t="e">
        <f>IF(INDEX(DATOS3!$1:$19397,A284,MATCH("Total_Fluoro_Time",DATOS3!$1:$1,0))=0,0,INDEX(DATOS3!$1:$19397,A284,MATCH("Total_Fluoro_Time",DATOS3!$1:$1,0)))</f>
        <v>#N/A</v>
      </c>
      <c r="L284" t="e">
        <f>IF(INDEX(DATOS3!$1:$19397,A284,MATCH("Total_Acquisition_Time",DATOS3!$1:$1,0))=0,0,INDEX(DATOS3!$1:$19397,A284,MATCH("Total_Acquisition_Time",DATOS3!$1:$1,0)))</f>
        <v>#N/A</v>
      </c>
    </row>
    <row r="285" spans="1:12" x14ac:dyDescent="0.25">
      <c r="A285">
        <v>285</v>
      </c>
      <c r="B285" t="e">
        <f t="shared" si="4"/>
        <v>#N/A</v>
      </c>
      <c r="D285" t="e">
        <f>IF(INDEX(DATOS3!$1:$19397,A285,MATCH("PatientID",DATOS3!$1:$1,0))=0,"",INDEX(DATOS3!$1:$19397,A285,MATCH("PatientID",DATOS3!$1:$1,0)))</f>
        <v>#N/A</v>
      </c>
      <c r="F285" t="e">
        <f>IF(INDEX(DATOS3!$1:$19397,A285,MATCH("SeriesDate",DATOS3!$1:$1,0))=0,"",INDEX(DATOS3!$1:$19397,A285,MATCH("SeriesDate",DATOS3!$1:$1,0)))</f>
        <v>#N/A</v>
      </c>
      <c r="G285" t="e">
        <f>IF(INDEX(DATOS3!$1:$19397,A285,MATCH("SeriesTime",DATOS3!$1:$1,0))=0,"",INDEX(DATOS3!$1:$19397,A285,MATCH("SeriesTime",DATOS3!$1:$1,0)))</f>
        <v>#N/A</v>
      </c>
      <c r="H285" t="e">
        <f>IF(INDEX(DATOS3!$1:$19397,A285,MATCH("StudyDescription",DATOS3!$1:$1,0))=0,"",INDEX(DATOS3!$1:$19397,A285,MATCH("StudyDescription",DATOS3!$1:$1,0)))</f>
        <v>#N/A</v>
      </c>
      <c r="I285" t="e">
        <f>IF(INDEX(DATOS3!$1:$19397,A285,MATCH("Dose_Area_Product_Total",DATOS3!$1:$1,0))=0,0,INDEX(DATOS3!$1:$19397,A285,MATCH("Dose_Area_Product_Total",DATOS3!$1:$1,0)))</f>
        <v>#N/A</v>
      </c>
      <c r="J285" t="e">
        <f>IF(INDEX(DATOS3!$1:$19397,A285,MATCH("Dose_RP_Total",DATOS3!$1:$1,0))=0,0,INDEX(DATOS3!$1:$19397,A285,MATCH("Dose_RP_Total",DATOS3!$1:$1,0)))</f>
        <v>#N/A</v>
      </c>
      <c r="K285" t="e">
        <f>IF(INDEX(DATOS3!$1:$19397,A285,MATCH("Total_Fluoro_Time",DATOS3!$1:$1,0))=0,0,INDEX(DATOS3!$1:$19397,A285,MATCH("Total_Fluoro_Time",DATOS3!$1:$1,0)))</f>
        <v>#N/A</v>
      </c>
      <c r="L285" t="e">
        <f>IF(INDEX(DATOS3!$1:$19397,A285,MATCH("Total_Acquisition_Time",DATOS3!$1:$1,0))=0,0,INDEX(DATOS3!$1:$19397,A285,MATCH("Total_Acquisition_Time",DATOS3!$1:$1,0)))</f>
        <v>#N/A</v>
      </c>
    </row>
    <row r="286" spans="1:12" x14ac:dyDescent="0.25">
      <c r="A286">
        <v>286</v>
      </c>
      <c r="B286" t="e">
        <f t="shared" si="4"/>
        <v>#N/A</v>
      </c>
      <c r="D286" t="e">
        <f>IF(INDEX(DATOS3!$1:$19397,A286,MATCH("PatientID",DATOS3!$1:$1,0))=0,"",INDEX(DATOS3!$1:$19397,A286,MATCH("PatientID",DATOS3!$1:$1,0)))</f>
        <v>#N/A</v>
      </c>
      <c r="F286" t="e">
        <f>IF(INDEX(DATOS3!$1:$19397,A286,MATCH("SeriesDate",DATOS3!$1:$1,0))=0,"",INDEX(DATOS3!$1:$19397,A286,MATCH("SeriesDate",DATOS3!$1:$1,0)))</f>
        <v>#N/A</v>
      </c>
      <c r="G286" t="e">
        <f>IF(INDEX(DATOS3!$1:$19397,A286,MATCH("SeriesTime",DATOS3!$1:$1,0))=0,"",INDEX(DATOS3!$1:$19397,A286,MATCH("SeriesTime",DATOS3!$1:$1,0)))</f>
        <v>#N/A</v>
      </c>
      <c r="H286" t="e">
        <f>IF(INDEX(DATOS3!$1:$19397,A286,MATCH("StudyDescription",DATOS3!$1:$1,0))=0,"",INDEX(DATOS3!$1:$19397,A286,MATCH("StudyDescription",DATOS3!$1:$1,0)))</f>
        <v>#N/A</v>
      </c>
      <c r="I286" t="e">
        <f>IF(INDEX(DATOS3!$1:$19397,A286,MATCH("Dose_Area_Product_Total",DATOS3!$1:$1,0))=0,0,INDEX(DATOS3!$1:$19397,A286,MATCH("Dose_Area_Product_Total",DATOS3!$1:$1,0)))</f>
        <v>#N/A</v>
      </c>
      <c r="J286" t="e">
        <f>IF(INDEX(DATOS3!$1:$19397,A286,MATCH("Dose_RP_Total",DATOS3!$1:$1,0))=0,0,INDEX(DATOS3!$1:$19397,A286,MATCH("Dose_RP_Total",DATOS3!$1:$1,0)))</f>
        <v>#N/A</v>
      </c>
      <c r="K286" t="e">
        <f>IF(INDEX(DATOS3!$1:$19397,A286,MATCH("Total_Fluoro_Time",DATOS3!$1:$1,0))=0,0,INDEX(DATOS3!$1:$19397,A286,MATCH("Total_Fluoro_Time",DATOS3!$1:$1,0)))</f>
        <v>#N/A</v>
      </c>
      <c r="L286" t="e">
        <f>IF(INDEX(DATOS3!$1:$19397,A286,MATCH("Total_Acquisition_Time",DATOS3!$1:$1,0))=0,0,INDEX(DATOS3!$1:$19397,A286,MATCH("Total_Acquisition_Time",DATOS3!$1:$1,0)))</f>
        <v>#N/A</v>
      </c>
    </row>
    <row r="287" spans="1:12" x14ac:dyDescent="0.25">
      <c r="A287">
        <v>287</v>
      </c>
      <c r="B287" t="e">
        <f t="shared" si="4"/>
        <v>#N/A</v>
      </c>
      <c r="D287" t="e">
        <f>IF(INDEX(DATOS3!$1:$19397,A287,MATCH("PatientID",DATOS3!$1:$1,0))=0,"",INDEX(DATOS3!$1:$19397,A287,MATCH("PatientID",DATOS3!$1:$1,0)))</f>
        <v>#N/A</v>
      </c>
      <c r="F287" t="e">
        <f>IF(INDEX(DATOS3!$1:$19397,A287,MATCH("SeriesDate",DATOS3!$1:$1,0))=0,"",INDEX(DATOS3!$1:$19397,A287,MATCH("SeriesDate",DATOS3!$1:$1,0)))</f>
        <v>#N/A</v>
      </c>
      <c r="G287" t="e">
        <f>IF(INDEX(DATOS3!$1:$19397,A287,MATCH("SeriesTime",DATOS3!$1:$1,0))=0,"",INDEX(DATOS3!$1:$19397,A287,MATCH("SeriesTime",DATOS3!$1:$1,0)))</f>
        <v>#N/A</v>
      </c>
      <c r="H287" t="e">
        <f>IF(INDEX(DATOS3!$1:$19397,A287,MATCH("StudyDescription",DATOS3!$1:$1,0))=0,"",INDEX(DATOS3!$1:$19397,A287,MATCH("StudyDescription",DATOS3!$1:$1,0)))</f>
        <v>#N/A</v>
      </c>
      <c r="I287" t="e">
        <f>IF(INDEX(DATOS3!$1:$19397,A287,MATCH("Dose_Area_Product_Total",DATOS3!$1:$1,0))=0,0,INDEX(DATOS3!$1:$19397,A287,MATCH("Dose_Area_Product_Total",DATOS3!$1:$1,0)))</f>
        <v>#N/A</v>
      </c>
      <c r="J287" t="e">
        <f>IF(INDEX(DATOS3!$1:$19397,A287,MATCH("Dose_RP_Total",DATOS3!$1:$1,0))=0,0,INDEX(DATOS3!$1:$19397,A287,MATCH("Dose_RP_Total",DATOS3!$1:$1,0)))</f>
        <v>#N/A</v>
      </c>
      <c r="K287" t="e">
        <f>IF(INDEX(DATOS3!$1:$19397,A287,MATCH("Total_Fluoro_Time",DATOS3!$1:$1,0))=0,0,INDEX(DATOS3!$1:$19397,A287,MATCH("Total_Fluoro_Time",DATOS3!$1:$1,0)))</f>
        <v>#N/A</v>
      </c>
      <c r="L287" t="e">
        <f>IF(INDEX(DATOS3!$1:$19397,A287,MATCH("Total_Acquisition_Time",DATOS3!$1:$1,0))=0,0,INDEX(DATOS3!$1:$19397,A287,MATCH("Total_Acquisition_Time",DATOS3!$1:$1,0)))</f>
        <v>#N/A</v>
      </c>
    </row>
    <row r="288" spans="1:12" x14ac:dyDescent="0.25">
      <c r="A288">
        <v>288</v>
      </c>
      <c r="B288" t="e">
        <f t="shared" si="4"/>
        <v>#N/A</v>
      </c>
      <c r="D288" t="e">
        <f>IF(INDEX(DATOS3!$1:$19397,A288,MATCH("PatientID",DATOS3!$1:$1,0))=0,"",INDEX(DATOS3!$1:$19397,A288,MATCH("PatientID",DATOS3!$1:$1,0)))</f>
        <v>#N/A</v>
      </c>
      <c r="F288" t="e">
        <f>IF(INDEX(DATOS3!$1:$19397,A288,MATCH("SeriesDate",DATOS3!$1:$1,0))=0,"",INDEX(DATOS3!$1:$19397,A288,MATCH("SeriesDate",DATOS3!$1:$1,0)))</f>
        <v>#N/A</v>
      </c>
      <c r="G288" t="e">
        <f>IF(INDEX(DATOS3!$1:$19397,A288,MATCH("SeriesTime",DATOS3!$1:$1,0))=0,"",INDEX(DATOS3!$1:$19397,A288,MATCH("SeriesTime",DATOS3!$1:$1,0)))</f>
        <v>#N/A</v>
      </c>
      <c r="H288" t="e">
        <f>IF(INDEX(DATOS3!$1:$19397,A288,MATCH("StudyDescription",DATOS3!$1:$1,0))=0,"",INDEX(DATOS3!$1:$19397,A288,MATCH("StudyDescription",DATOS3!$1:$1,0)))</f>
        <v>#N/A</v>
      </c>
      <c r="I288" t="e">
        <f>IF(INDEX(DATOS3!$1:$19397,A288,MATCH("Dose_Area_Product_Total",DATOS3!$1:$1,0))=0,0,INDEX(DATOS3!$1:$19397,A288,MATCH("Dose_Area_Product_Total",DATOS3!$1:$1,0)))</f>
        <v>#N/A</v>
      </c>
      <c r="J288" t="e">
        <f>IF(INDEX(DATOS3!$1:$19397,A288,MATCH("Dose_RP_Total",DATOS3!$1:$1,0))=0,0,INDEX(DATOS3!$1:$19397,A288,MATCH("Dose_RP_Total",DATOS3!$1:$1,0)))</f>
        <v>#N/A</v>
      </c>
      <c r="K288" t="e">
        <f>IF(INDEX(DATOS3!$1:$19397,A288,MATCH("Total_Fluoro_Time",DATOS3!$1:$1,0))=0,0,INDEX(DATOS3!$1:$19397,A288,MATCH("Total_Fluoro_Time",DATOS3!$1:$1,0)))</f>
        <v>#N/A</v>
      </c>
      <c r="L288" t="e">
        <f>IF(INDEX(DATOS3!$1:$19397,A288,MATCH("Total_Acquisition_Time",DATOS3!$1:$1,0))=0,0,INDEX(DATOS3!$1:$19397,A288,MATCH("Total_Acquisition_Time",DATOS3!$1:$1,0)))</f>
        <v>#N/A</v>
      </c>
    </row>
    <row r="289" spans="1:12" x14ac:dyDescent="0.25">
      <c r="A289">
        <v>289</v>
      </c>
      <c r="B289" t="e">
        <f t="shared" si="4"/>
        <v>#N/A</v>
      </c>
      <c r="D289" t="e">
        <f>IF(INDEX(DATOS3!$1:$19397,A289,MATCH("PatientID",DATOS3!$1:$1,0))=0,"",INDEX(DATOS3!$1:$19397,A289,MATCH("PatientID",DATOS3!$1:$1,0)))</f>
        <v>#N/A</v>
      </c>
      <c r="F289" t="e">
        <f>IF(INDEX(DATOS3!$1:$19397,A289,MATCH("SeriesDate",DATOS3!$1:$1,0))=0,"",INDEX(DATOS3!$1:$19397,A289,MATCH("SeriesDate",DATOS3!$1:$1,0)))</f>
        <v>#N/A</v>
      </c>
      <c r="G289" t="e">
        <f>IF(INDEX(DATOS3!$1:$19397,A289,MATCH("SeriesTime",DATOS3!$1:$1,0))=0,"",INDEX(DATOS3!$1:$19397,A289,MATCH("SeriesTime",DATOS3!$1:$1,0)))</f>
        <v>#N/A</v>
      </c>
      <c r="H289" t="e">
        <f>IF(INDEX(DATOS3!$1:$19397,A289,MATCH("StudyDescription",DATOS3!$1:$1,0))=0,"",INDEX(DATOS3!$1:$19397,A289,MATCH("StudyDescription",DATOS3!$1:$1,0)))</f>
        <v>#N/A</v>
      </c>
      <c r="I289" t="e">
        <f>IF(INDEX(DATOS3!$1:$19397,A289,MATCH("Dose_Area_Product_Total",DATOS3!$1:$1,0))=0,0,INDEX(DATOS3!$1:$19397,A289,MATCH("Dose_Area_Product_Total",DATOS3!$1:$1,0)))</f>
        <v>#N/A</v>
      </c>
      <c r="J289" t="e">
        <f>IF(INDEX(DATOS3!$1:$19397,A289,MATCH("Dose_RP_Total",DATOS3!$1:$1,0))=0,0,INDEX(DATOS3!$1:$19397,A289,MATCH("Dose_RP_Total",DATOS3!$1:$1,0)))</f>
        <v>#N/A</v>
      </c>
      <c r="K289" t="e">
        <f>IF(INDEX(DATOS3!$1:$19397,A289,MATCH("Total_Fluoro_Time",DATOS3!$1:$1,0))=0,0,INDEX(DATOS3!$1:$19397,A289,MATCH("Total_Fluoro_Time",DATOS3!$1:$1,0)))</f>
        <v>#N/A</v>
      </c>
      <c r="L289" t="e">
        <f>IF(INDEX(DATOS3!$1:$19397,A289,MATCH("Total_Acquisition_Time",DATOS3!$1:$1,0))=0,0,INDEX(DATOS3!$1:$19397,A289,MATCH("Total_Acquisition_Time",DATOS3!$1:$1,0)))</f>
        <v>#N/A</v>
      </c>
    </row>
    <row r="290" spans="1:12" x14ac:dyDescent="0.25">
      <c r="A290">
        <v>290</v>
      </c>
      <c r="B290" t="e">
        <f t="shared" si="4"/>
        <v>#N/A</v>
      </c>
      <c r="D290" t="e">
        <f>IF(INDEX(DATOS3!$1:$19397,A290,MATCH("PatientID",DATOS3!$1:$1,0))=0,"",INDEX(DATOS3!$1:$19397,A290,MATCH("PatientID",DATOS3!$1:$1,0)))</f>
        <v>#N/A</v>
      </c>
      <c r="F290" t="e">
        <f>IF(INDEX(DATOS3!$1:$19397,A290,MATCH("SeriesDate",DATOS3!$1:$1,0))=0,"",INDEX(DATOS3!$1:$19397,A290,MATCH("SeriesDate",DATOS3!$1:$1,0)))</f>
        <v>#N/A</v>
      </c>
      <c r="G290" t="e">
        <f>IF(INDEX(DATOS3!$1:$19397,A290,MATCH("SeriesTime",DATOS3!$1:$1,0))=0,"",INDEX(DATOS3!$1:$19397,A290,MATCH("SeriesTime",DATOS3!$1:$1,0)))</f>
        <v>#N/A</v>
      </c>
      <c r="H290" t="e">
        <f>IF(INDEX(DATOS3!$1:$19397,A290,MATCH("StudyDescription",DATOS3!$1:$1,0))=0,"",INDEX(DATOS3!$1:$19397,A290,MATCH("StudyDescription",DATOS3!$1:$1,0)))</f>
        <v>#N/A</v>
      </c>
      <c r="I290" t="e">
        <f>IF(INDEX(DATOS3!$1:$19397,A290,MATCH("Dose_Area_Product_Total",DATOS3!$1:$1,0))=0,0,INDEX(DATOS3!$1:$19397,A290,MATCH("Dose_Area_Product_Total",DATOS3!$1:$1,0)))</f>
        <v>#N/A</v>
      </c>
      <c r="J290" t="e">
        <f>IF(INDEX(DATOS3!$1:$19397,A290,MATCH("Dose_RP_Total",DATOS3!$1:$1,0))=0,0,INDEX(DATOS3!$1:$19397,A290,MATCH("Dose_RP_Total",DATOS3!$1:$1,0)))</f>
        <v>#N/A</v>
      </c>
      <c r="K290" t="e">
        <f>IF(INDEX(DATOS3!$1:$19397,A290,MATCH("Total_Fluoro_Time",DATOS3!$1:$1,0))=0,0,INDEX(DATOS3!$1:$19397,A290,MATCH("Total_Fluoro_Time",DATOS3!$1:$1,0)))</f>
        <v>#N/A</v>
      </c>
      <c r="L290" t="e">
        <f>IF(INDEX(DATOS3!$1:$19397,A290,MATCH("Total_Acquisition_Time",DATOS3!$1:$1,0))=0,0,INDEX(DATOS3!$1:$19397,A290,MATCH("Total_Acquisition_Time",DATOS3!$1:$1,0)))</f>
        <v>#N/A</v>
      </c>
    </row>
    <row r="291" spans="1:12" x14ac:dyDescent="0.25">
      <c r="A291">
        <v>291</v>
      </c>
      <c r="B291" t="e">
        <f t="shared" si="4"/>
        <v>#N/A</v>
      </c>
      <c r="D291" t="e">
        <f>IF(INDEX(DATOS3!$1:$19397,A291,MATCH("PatientID",DATOS3!$1:$1,0))=0,"",INDEX(DATOS3!$1:$19397,A291,MATCH("PatientID",DATOS3!$1:$1,0)))</f>
        <v>#N/A</v>
      </c>
      <c r="F291" t="e">
        <f>IF(INDEX(DATOS3!$1:$19397,A291,MATCH("SeriesDate",DATOS3!$1:$1,0))=0,"",INDEX(DATOS3!$1:$19397,A291,MATCH("SeriesDate",DATOS3!$1:$1,0)))</f>
        <v>#N/A</v>
      </c>
      <c r="G291" t="e">
        <f>IF(INDEX(DATOS3!$1:$19397,A291,MATCH("SeriesTime",DATOS3!$1:$1,0))=0,"",INDEX(DATOS3!$1:$19397,A291,MATCH("SeriesTime",DATOS3!$1:$1,0)))</f>
        <v>#N/A</v>
      </c>
      <c r="H291" t="e">
        <f>IF(INDEX(DATOS3!$1:$19397,A291,MATCH("StudyDescription",DATOS3!$1:$1,0))=0,"",INDEX(DATOS3!$1:$19397,A291,MATCH("StudyDescription",DATOS3!$1:$1,0)))</f>
        <v>#N/A</v>
      </c>
      <c r="I291" t="e">
        <f>IF(INDEX(DATOS3!$1:$19397,A291,MATCH("Dose_Area_Product_Total",DATOS3!$1:$1,0))=0,0,INDEX(DATOS3!$1:$19397,A291,MATCH("Dose_Area_Product_Total",DATOS3!$1:$1,0)))</f>
        <v>#N/A</v>
      </c>
      <c r="J291" t="e">
        <f>IF(INDEX(DATOS3!$1:$19397,A291,MATCH("Dose_RP_Total",DATOS3!$1:$1,0))=0,0,INDEX(DATOS3!$1:$19397,A291,MATCH("Dose_RP_Total",DATOS3!$1:$1,0)))</f>
        <v>#N/A</v>
      </c>
      <c r="K291" t="e">
        <f>IF(INDEX(DATOS3!$1:$19397,A291,MATCH("Total_Fluoro_Time",DATOS3!$1:$1,0))=0,0,INDEX(DATOS3!$1:$19397,A291,MATCH("Total_Fluoro_Time",DATOS3!$1:$1,0)))</f>
        <v>#N/A</v>
      </c>
      <c r="L291" t="e">
        <f>IF(INDEX(DATOS3!$1:$19397,A291,MATCH("Total_Acquisition_Time",DATOS3!$1:$1,0))=0,0,INDEX(DATOS3!$1:$19397,A291,MATCH("Total_Acquisition_Time",DATOS3!$1:$1,0)))</f>
        <v>#N/A</v>
      </c>
    </row>
    <row r="292" spans="1:12" x14ac:dyDescent="0.25">
      <c r="A292">
        <v>292</v>
      </c>
      <c r="B292" t="e">
        <f t="shared" si="4"/>
        <v>#N/A</v>
      </c>
      <c r="D292" t="e">
        <f>IF(INDEX(DATOS3!$1:$19397,A292,MATCH("PatientID",DATOS3!$1:$1,0))=0,"",INDEX(DATOS3!$1:$19397,A292,MATCH("PatientID",DATOS3!$1:$1,0)))</f>
        <v>#N/A</v>
      </c>
      <c r="F292" t="e">
        <f>IF(INDEX(DATOS3!$1:$19397,A292,MATCH("SeriesDate",DATOS3!$1:$1,0))=0,"",INDEX(DATOS3!$1:$19397,A292,MATCH("SeriesDate",DATOS3!$1:$1,0)))</f>
        <v>#N/A</v>
      </c>
      <c r="G292" t="e">
        <f>IF(INDEX(DATOS3!$1:$19397,A292,MATCH("SeriesTime",DATOS3!$1:$1,0))=0,"",INDEX(DATOS3!$1:$19397,A292,MATCH("SeriesTime",DATOS3!$1:$1,0)))</f>
        <v>#N/A</v>
      </c>
      <c r="H292" t="e">
        <f>IF(INDEX(DATOS3!$1:$19397,A292,MATCH("StudyDescription",DATOS3!$1:$1,0))=0,"",INDEX(DATOS3!$1:$19397,A292,MATCH("StudyDescription",DATOS3!$1:$1,0)))</f>
        <v>#N/A</v>
      </c>
      <c r="I292" t="e">
        <f>IF(INDEX(DATOS3!$1:$19397,A292,MATCH("Dose_Area_Product_Total",DATOS3!$1:$1,0))=0,0,INDEX(DATOS3!$1:$19397,A292,MATCH("Dose_Area_Product_Total",DATOS3!$1:$1,0)))</f>
        <v>#N/A</v>
      </c>
      <c r="J292" t="e">
        <f>IF(INDEX(DATOS3!$1:$19397,A292,MATCH("Dose_RP_Total",DATOS3!$1:$1,0))=0,0,INDEX(DATOS3!$1:$19397,A292,MATCH("Dose_RP_Total",DATOS3!$1:$1,0)))</f>
        <v>#N/A</v>
      </c>
      <c r="K292" t="e">
        <f>IF(INDEX(DATOS3!$1:$19397,A292,MATCH("Total_Fluoro_Time",DATOS3!$1:$1,0))=0,0,INDEX(DATOS3!$1:$19397,A292,MATCH("Total_Fluoro_Time",DATOS3!$1:$1,0)))</f>
        <v>#N/A</v>
      </c>
      <c r="L292" t="e">
        <f>IF(INDEX(DATOS3!$1:$19397,A292,MATCH("Total_Acquisition_Time",DATOS3!$1:$1,0))=0,0,INDEX(DATOS3!$1:$19397,A292,MATCH("Total_Acquisition_Time",DATOS3!$1:$1,0)))</f>
        <v>#N/A</v>
      </c>
    </row>
    <row r="293" spans="1:12" x14ac:dyDescent="0.25">
      <c r="A293">
        <v>293</v>
      </c>
      <c r="B293" t="e">
        <f t="shared" si="4"/>
        <v>#N/A</v>
      </c>
      <c r="D293" t="e">
        <f>IF(INDEX(DATOS3!$1:$19397,A293,MATCH("PatientID",DATOS3!$1:$1,0))=0,"",INDEX(DATOS3!$1:$19397,A293,MATCH("PatientID",DATOS3!$1:$1,0)))</f>
        <v>#N/A</v>
      </c>
      <c r="F293" t="e">
        <f>IF(INDEX(DATOS3!$1:$19397,A293,MATCH("SeriesDate",DATOS3!$1:$1,0))=0,"",INDEX(DATOS3!$1:$19397,A293,MATCH("SeriesDate",DATOS3!$1:$1,0)))</f>
        <v>#N/A</v>
      </c>
      <c r="G293" t="e">
        <f>IF(INDEX(DATOS3!$1:$19397,A293,MATCH("SeriesTime",DATOS3!$1:$1,0))=0,"",INDEX(DATOS3!$1:$19397,A293,MATCH("SeriesTime",DATOS3!$1:$1,0)))</f>
        <v>#N/A</v>
      </c>
      <c r="H293" t="e">
        <f>IF(INDEX(DATOS3!$1:$19397,A293,MATCH("StudyDescription",DATOS3!$1:$1,0))=0,"",INDEX(DATOS3!$1:$19397,A293,MATCH("StudyDescription",DATOS3!$1:$1,0)))</f>
        <v>#N/A</v>
      </c>
      <c r="I293" t="e">
        <f>IF(INDEX(DATOS3!$1:$19397,A293,MATCH("Dose_Area_Product_Total",DATOS3!$1:$1,0))=0,0,INDEX(DATOS3!$1:$19397,A293,MATCH("Dose_Area_Product_Total",DATOS3!$1:$1,0)))</f>
        <v>#N/A</v>
      </c>
      <c r="J293" t="e">
        <f>IF(INDEX(DATOS3!$1:$19397,A293,MATCH("Dose_RP_Total",DATOS3!$1:$1,0))=0,0,INDEX(DATOS3!$1:$19397,A293,MATCH("Dose_RP_Total",DATOS3!$1:$1,0)))</f>
        <v>#N/A</v>
      </c>
      <c r="K293" t="e">
        <f>IF(INDEX(DATOS3!$1:$19397,A293,MATCH("Total_Fluoro_Time",DATOS3!$1:$1,0))=0,0,INDEX(DATOS3!$1:$19397,A293,MATCH("Total_Fluoro_Time",DATOS3!$1:$1,0)))</f>
        <v>#N/A</v>
      </c>
      <c r="L293" t="e">
        <f>IF(INDEX(DATOS3!$1:$19397,A293,MATCH("Total_Acquisition_Time",DATOS3!$1:$1,0))=0,0,INDEX(DATOS3!$1:$19397,A293,MATCH("Total_Acquisition_Time",DATOS3!$1:$1,0)))</f>
        <v>#N/A</v>
      </c>
    </row>
    <row r="294" spans="1:12" x14ac:dyDescent="0.25">
      <c r="A294">
        <v>294</v>
      </c>
      <c r="B294" t="e">
        <f t="shared" si="4"/>
        <v>#N/A</v>
      </c>
      <c r="D294" t="e">
        <f>IF(INDEX(DATOS3!$1:$19397,A294,MATCH("PatientID",DATOS3!$1:$1,0))=0,"",INDEX(DATOS3!$1:$19397,A294,MATCH("PatientID",DATOS3!$1:$1,0)))</f>
        <v>#N/A</v>
      </c>
      <c r="F294" t="e">
        <f>IF(INDEX(DATOS3!$1:$19397,A294,MATCH("SeriesDate",DATOS3!$1:$1,0))=0,"",INDEX(DATOS3!$1:$19397,A294,MATCH("SeriesDate",DATOS3!$1:$1,0)))</f>
        <v>#N/A</v>
      </c>
      <c r="G294" t="e">
        <f>IF(INDEX(DATOS3!$1:$19397,A294,MATCH("SeriesTime",DATOS3!$1:$1,0))=0,"",INDEX(DATOS3!$1:$19397,A294,MATCH("SeriesTime",DATOS3!$1:$1,0)))</f>
        <v>#N/A</v>
      </c>
      <c r="H294" t="e">
        <f>IF(INDEX(DATOS3!$1:$19397,A294,MATCH("StudyDescription",DATOS3!$1:$1,0))=0,"",INDEX(DATOS3!$1:$19397,A294,MATCH("StudyDescription",DATOS3!$1:$1,0)))</f>
        <v>#N/A</v>
      </c>
      <c r="I294" t="e">
        <f>IF(INDEX(DATOS3!$1:$19397,A294,MATCH("Dose_Area_Product_Total",DATOS3!$1:$1,0))=0,0,INDEX(DATOS3!$1:$19397,A294,MATCH("Dose_Area_Product_Total",DATOS3!$1:$1,0)))</f>
        <v>#N/A</v>
      </c>
      <c r="J294" t="e">
        <f>IF(INDEX(DATOS3!$1:$19397,A294,MATCH("Dose_RP_Total",DATOS3!$1:$1,0))=0,0,INDEX(DATOS3!$1:$19397,A294,MATCH("Dose_RP_Total",DATOS3!$1:$1,0)))</f>
        <v>#N/A</v>
      </c>
      <c r="K294" t="e">
        <f>IF(INDEX(DATOS3!$1:$19397,A294,MATCH("Total_Fluoro_Time",DATOS3!$1:$1,0))=0,0,INDEX(DATOS3!$1:$19397,A294,MATCH("Total_Fluoro_Time",DATOS3!$1:$1,0)))</f>
        <v>#N/A</v>
      </c>
      <c r="L294" t="e">
        <f>IF(INDEX(DATOS3!$1:$19397,A294,MATCH("Total_Acquisition_Time",DATOS3!$1:$1,0))=0,0,INDEX(DATOS3!$1:$19397,A294,MATCH("Total_Acquisition_Time",DATOS3!$1:$1,0)))</f>
        <v>#N/A</v>
      </c>
    </row>
    <row r="295" spans="1:12" x14ac:dyDescent="0.25">
      <c r="A295">
        <v>295</v>
      </c>
      <c r="B295" t="e">
        <f t="shared" si="4"/>
        <v>#N/A</v>
      </c>
      <c r="D295" t="e">
        <f>IF(INDEX(DATOS3!$1:$19397,A295,MATCH("PatientID",DATOS3!$1:$1,0))=0,"",INDEX(DATOS3!$1:$19397,A295,MATCH("PatientID",DATOS3!$1:$1,0)))</f>
        <v>#N/A</v>
      </c>
      <c r="F295" t="e">
        <f>IF(INDEX(DATOS3!$1:$19397,A295,MATCH("SeriesDate",DATOS3!$1:$1,0))=0,"",INDEX(DATOS3!$1:$19397,A295,MATCH("SeriesDate",DATOS3!$1:$1,0)))</f>
        <v>#N/A</v>
      </c>
      <c r="G295" t="e">
        <f>IF(INDEX(DATOS3!$1:$19397,A295,MATCH("SeriesTime",DATOS3!$1:$1,0))=0,"",INDEX(DATOS3!$1:$19397,A295,MATCH("SeriesTime",DATOS3!$1:$1,0)))</f>
        <v>#N/A</v>
      </c>
      <c r="H295" t="e">
        <f>IF(INDEX(DATOS3!$1:$19397,A295,MATCH("StudyDescription",DATOS3!$1:$1,0))=0,"",INDEX(DATOS3!$1:$19397,A295,MATCH("StudyDescription",DATOS3!$1:$1,0)))</f>
        <v>#N/A</v>
      </c>
      <c r="I295" t="e">
        <f>IF(INDEX(DATOS3!$1:$19397,A295,MATCH("Dose_Area_Product_Total",DATOS3!$1:$1,0))=0,0,INDEX(DATOS3!$1:$19397,A295,MATCH("Dose_Area_Product_Total",DATOS3!$1:$1,0)))</f>
        <v>#N/A</v>
      </c>
      <c r="J295" t="e">
        <f>IF(INDEX(DATOS3!$1:$19397,A295,MATCH("Dose_RP_Total",DATOS3!$1:$1,0))=0,0,INDEX(DATOS3!$1:$19397,A295,MATCH("Dose_RP_Total",DATOS3!$1:$1,0)))</f>
        <v>#N/A</v>
      </c>
      <c r="K295" t="e">
        <f>IF(INDEX(DATOS3!$1:$19397,A295,MATCH("Total_Fluoro_Time",DATOS3!$1:$1,0))=0,0,INDEX(DATOS3!$1:$19397,A295,MATCH("Total_Fluoro_Time",DATOS3!$1:$1,0)))</f>
        <v>#N/A</v>
      </c>
      <c r="L295" t="e">
        <f>IF(INDEX(DATOS3!$1:$19397,A295,MATCH("Total_Acquisition_Time",DATOS3!$1:$1,0))=0,0,INDEX(DATOS3!$1:$19397,A295,MATCH("Total_Acquisition_Time",DATOS3!$1:$1,0)))</f>
        <v>#N/A</v>
      </c>
    </row>
    <row r="296" spans="1:12" x14ac:dyDescent="0.25">
      <c r="A296">
        <v>296</v>
      </c>
      <c r="B296" t="e">
        <f t="shared" si="4"/>
        <v>#N/A</v>
      </c>
      <c r="D296" t="e">
        <f>IF(INDEX(DATOS3!$1:$19397,A296,MATCH("PatientID",DATOS3!$1:$1,0))=0,"",INDEX(DATOS3!$1:$19397,A296,MATCH("PatientID",DATOS3!$1:$1,0)))</f>
        <v>#N/A</v>
      </c>
      <c r="F296" t="e">
        <f>IF(INDEX(DATOS3!$1:$19397,A296,MATCH("SeriesDate",DATOS3!$1:$1,0))=0,"",INDEX(DATOS3!$1:$19397,A296,MATCH("SeriesDate",DATOS3!$1:$1,0)))</f>
        <v>#N/A</v>
      </c>
      <c r="G296" t="e">
        <f>IF(INDEX(DATOS3!$1:$19397,A296,MATCH("SeriesTime",DATOS3!$1:$1,0))=0,"",INDEX(DATOS3!$1:$19397,A296,MATCH("SeriesTime",DATOS3!$1:$1,0)))</f>
        <v>#N/A</v>
      </c>
      <c r="H296" t="e">
        <f>IF(INDEX(DATOS3!$1:$19397,A296,MATCH("StudyDescription",DATOS3!$1:$1,0))=0,"",INDEX(DATOS3!$1:$19397,A296,MATCH("StudyDescription",DATOS3!$1:$1,0)))</f>
        <v>#N/A</v>
      </c>
      <c r="I296" t="e">
        <f>IF(INDEX(DATOS3!$1:$19397,A296,MATCH("Dose_Area_Product_Total",DATOS3!$1:$1,0))=0,0,INDEX(DATOS3!$1:$19397,A296,MATCH("Dose_Area_Product_Total",DATOS3!$1:$1,0)))</f>
        <v>#N/A</v>
      </c>
      <c r="J296" t="e">
        <f>IF(INDEX(DATOS3!$1:$19397,A296,MATCH("Dose_RP_Total",DATOS3!$1:$1,0))=0,0,INDEX(DATOS3!$1:$19397,A296,MATCH("Dose_RP_Total",DATOS3!$1:$1,0)))</f>
        <v>#N/A</v>
      </c>
      <c r="K296" t="e">
        <f>IF(INDEX(DATOS3!$1:$19397,A296,MATCH("Total_Fluoro_Time",DATOS3!$1:$1,0))=0,0,INDEX(DATOS3!$1:$19397,A296,MATCH("Total_Fluoro_Time",DATOS3!$1:$1,0)))</f>
        <v>#N/A</v>
      </c>
      <c r="L296" t="e">
        <f>IF(INDEX(DATOS3!$1:$19397,A296,MATCH("Total_Acquisition_Time",DATOS3!$1:$1,0))=0,0,INDEX(DATOS3!$1:$19397,A296,MATCH("Total_Acquisition_Time",DATOS3!$1:$1,0)))</f>
        <v>#N/A</v>
      </c>
    </row>
    <row r="297" spans="1:12" x14ac:dyDescent="0.25">
      <c r="A297">
        <v>297</v>
      </c>
      <c r="B297" t="e">
        <f t="shared" si="4"/>
        <v>#N/A</v>
      </c>
      <c r="D297" t="e">
        <f>IF(INDEX(DATOS3!$1:$19397,A297,MATCH("PatientID",DATOS3!$1:$1,0))=0,"",INDEX(DATOS3!$1:$19397,A297,MATCH("PatientID",DATOS3!$1:$1,0)))</f>
        <v>#N/A</v>
      </c>
      <c r="F297" t="e">
        <f>IF(INDEX(DATOS3!$1:$19397,A297,MATCH("SeriesDate",DATOS3!$1:$1,0))=0,"",INDEX(DATOS3!$1:$19397,A297,MATCH("SeriesDate",DATOS3!$1:$1,0)))</f>
        <v>#N/A</v>
      </c>
      <c r="G297" t="e">
        <f>IF(INDEX(DATOS3!$1:$19397,A297,MATCH("SeriesTime",DATOS3!$1:$1,0))=0,"",INDEX(DATOS3!$1:$19397,A297,MATCH("SeriesTime",DATOS3!$1:$1,0)))</f>
        <v>#N/A</v>
      </c>
      <c r="H297" t="e">
        <f>IF(INDEX(DATOS3!$1:$19397,A297,MATCH("StudyDescription",DATOS3!$1:$1,0))=0,"",INDEX(DATOS3!$1:$19397,A297,MATCH("StudyDescription",DATOS3!$1:$1,0)))</f>
        <v>#N/A</v>
      </c>
      <c r="I297" t="e">
        <f>IF(INDEX(DATOS3!$1:$19397,A297,MATCH("Dose_Area_Product_Total",DATOS3!$1:$1,0))=0,0,INDEX(DATOS3!$1:$19397,A297,MATCH("Dose_Area_Product_Total",DATOS3!$1:$1,0)))</f>
        <v>#N/A</v>
      </c>
      <c r="J297" t="e">
        <f>IF(INDEX(DATOS3!$1:$19397,A297,MATCH("Dose_RP_Total",DATOS3!$1:$1,0))=0,0,INDEX(DATOS3!$1:$19397,A297,MATCH("Dose_RP_Total",DATOS3!$1:$1,0)))</f>
        <v>#N/A</v>
      </c>
      <c r="K297" t="e">
        <f>IF(INDEX(DATOS3!$1:$19397,A297,MATCH("Total_Fluoro_Time",DATOS3!$1:$1,0))=0,0,INDEX(DATOS3!$1:$19397,A297,MATCH("Total_Fluoro_Time",DATOS3!$1:$1,0)))</f>
        <v>#N/A</v>
      </c>
      <c r="L297" t="e">
        <f>IF(INDEX(DATOS3!$1:$19397,A297,MATCH("Total_Acquisition_Time",DATOS3!$1:$1,0))=0,0,INDEX(DATOS3!$1:$19397,A297,MATCH("Total_Acquisition_Time",DATOS3!$1:$1,0)))</f>
        <v>#N/A</v>
      </c>
    </row>
    <row r="298" spans="1:12" x14ac:dyDescent="0.25">
      <c r="A298">
        <v>298</v>
      </c>
      <c r="B298" t="e">
        <f t="shared" si="4"/>
        <v>#N/A</v>
      </c>
      <c r="D298" t="e">
        <f>IF(INDEX(DATOS3!$1:$19397,A298,MATCH("PatientID",DATOS3!$1:$1,0))=0,"",INDEX(DATOS3!$1:$19397,A298,MATCH("PatientID",DATOS3!$1:$1,0)))</f>
        <v>#N/A</v>
      </c>
      <c r="F298" t="e">
        <f>IF(INDEX(DATOS3!$1:$19397,A298,MATCH("SeriesDate",DATOS3!$1:$1,0))=0,"",INDEX(DATOS3!$1:$19397,A298,MATCH("SeriesDate",DATOS3!$1:$1,0)))</f>
        <v>#N/A</v>
      </c>
      <c r="G298" t="e">
        <f>IF(INDEX(DATOS3!$1:$19397,A298,MATCH("SeriesTime",DATOS3!$1:$1,0))=0,"",INDEX(DATOS3!$1:$19397,A298,MATCH("SeriesTime",DATOS3!$1:$1,0)))</f>
        <v>#N/A</v>
      </c>
      <c r="H298" t="e">
        <f>IF(INDEX(DATOS3!$1:$19397,A298,MATCH("StudyDescription",DATOS3!$1:$1,0))=0,"",INDEX(DATOS3!$1:$19397,A298,MATCH("StudyDescription",DATOS3!$1:$1,0)))</f>
        <v>#N/A</v>
      </c>
      <c r="I298" t="e">
        <f>IF(INDEX(DATOS3!$1:$19397,A298,MATCH("Dose_Area_Product_Total",DATOS3!$1:$1,0))=0,0,INDEX(DATOS3!$1:$19397,A298,MATCH("Dose_Area_Product_Total",DATOS3!$1:$1,0)))</f>
        <v>#N/A</v>
      </c>
      <c r="J298" t="e">
        <f>IF(INDEX(DATOS3!$1:$19397,A298,MATCH("Dose_RP_Total",DATOS3!$1:$1,0))=0,0,INDEX(DATOS3!$1:$19397,A298,MATCH("Dose_RP_Total",DATOS3!$1:$1,0)))</f>
        <v>#N/A</v>
      </c>
      <c r="K298" t="e">
        <f>IF(INDEX(DATOS3!$1:$19397,A298,MATCH("Total_Fluoro_Time",DATOS3!$1:$1,0))=0,0,INDEX(DATOS3!$1:$19397,A298,MATCH("Total_Fluoro_Time",DATOS3!$1:$1,0)))</f>
        <v>#N/A</v>
      </c>
      <c r="L298" t="e">
        <f>IF(INDEX(DATOS3!$1:$19397,A298,MATCH("Total_Acquisition_Time",DATOS3!$1:$1,0))=0,0,INDEX(DATOS3!$1:$19397,A298,MATCH("Total_Acquisition_Time",DATOS3!$1:$1,0)))</f>
        <v>#N/A</v>
      </c>
    </row>
    <row r="299" spans="1:12" x14ac:dyDescent="0.25">
      <c r="A299">
        <v>299</v>
      </c>
      <c r="B299" t="e">
        <f t="shared" si="4"/>
        <v>#N/A</v>
      </c>
      <c r="D299" t="e">
        <f>IF(INDEX(DATOS3!$1:$19397,A299,MATCH("PatientID",DATOS3!$1:$1,0))=0,"",INDEX(DATOS3!$1:$19397,A299,MATCH("PatientID",DATOS3!$1:$1,0)))</f>
        <v>#N/A</v>
      </c>
      <c r="F299" t="e">
        <f>IF(INDEX(DATOS3!$1:$19397,A299,MATCH("SeriesDate",DATOS3!$1:$1,0))=0,"",INDEX(DATOS3!$1:$19397,A299,MATCH("SeriesDate",DATOS3!$1:$1,0)))</f>
        <v>#N/A</v>
      </c>
      <c r="G299" t="e">
        <f>IF(INDEX(DATOS3!$1:$19397,A299,MATCH("SeriesTime",DATOS3!$1:$1,0))=0,"",INDEX(DATOS3!$1:$19397,A299,MATCH("SeriesTime",DATOS3!$1:$1,0)))</f>
        <v>#N/A</v>
      </c>
      <c r="H299" t="e">
        <f>IF(INDEX(DATOS3!$1:$19397,A299,MATCH("StudyDescription",DATOS3!$1:$1,0))=0,"",INDEX(DATOS3!$1:$19397,A299,MATCH("StudyDescription",DATOS3!$1:$1,0)))</f>
        <v>#N/A</v>
      </c>
      <c r="I299" t="e">
        <f>IF(INDEX(DATOS3!$1:$19397,A299,MATCH("Dose_Area_Product_Total",DATOS3!$1:$1,0))=0,0,INDEX(DATOS3!$1:$19397,A299,MATCH("Dose_Area_Product_Total",DATOS3!$1:$1,0)))</f>
        <v>#N/A</v>
      </c>
      <c r="J299" t="e">
        <f>IF(INDEX(DATOS3!$1:$19397,A299,MATCH("Dose_RP_Total",DATOS3!$1:$1,0))=0,0,INDEX(DATOS3!$1:$19397,A299,MATCH("Dose_RP_Total",DATOS3!$1:$1,0)))</f>
        <v>#N/A</v>
      </c>
      <c r="K299" t="e">
        <f>IF(INDEX(DATOS3!$1:$19397,A299,MATCH("Total_Fluoro_Time",DATOS3!$1:$1,0))=0,0,INDEX(DATOS3!$1:$19397,A299,MATCH("Total_Fluoro_Time",DATOS3!$1:$1,0)))</f>
        <v>#N/A</v>
      </c>
      <c r="L299" t="e">
        <f>IF(INDEX(DATOS3!$1:$19397,A299,MATCH("Total_Acquisition_Time",DATOS3!$1:$1,0))=0,0,INDEX(DATOS3!$1:$19397,A299,MATCH("Total_Acquisition_Time",DATOS3!$1:$1,0)))</f>
        <v>#N/A</v>
      </c>
    </row>
    <row r="300" spans="1:12" x14ac:dyDescent="0.25">
      <c r="A300">
        <v>300</v>
      </c>
      <c r="B300" t="e">
        <f t="shared" si="4"/>
        <v>#N/A</v>
      </c>
      <c r="D300" t="e">
        <f>IF(INDEX(DATOS3!$1:$19397,A300,MATCH("PatientID",DATOS3!$1:$1,0))=0,"",INDEX(DATOS3!$1:$19397,A300,MATCH("PatientID",DATOS3!$1:$1,0)))</f>
        <v>#N/A</v>
      </c>
      <c r="F300" t="e">
        <f>IF(INDEX(DATOS3!$1:$19397,A300,MATCH("SeriesDate",DATOS3!$1:$1,0))=0,"",INDEX(DATOS3!$1:$19397,A300,MATCH("SeriesDate",DATOS3!$1:$1,0)))</f>
        <v>#N/A</v>
      </c>
      <c r="G300" t="e">
        <f>IF(INDEX(DATOS3!$1:$19397,A300,MATCH("SeriesTime",DATOS3!$1:$1,0))=0,"",INDEX(DATOS3!$1:$19397,A300,MATCH("SeriesTime",DATOS3!$1:$1,0)))</f>
        <v>#N/A</v>
      </c>
      <c r="H300" t="e">
        <f>IF(INDEX(DATOS3!$1:$19397,A300,MATCH("StudyDescription",DATOS3!$1:$1,0))=0,"",INDEX(DATOS3!$1:$19397,A300,MATCH("StudyDescription",DATOS3!$1:$1,0)))</f>
        <v>#N/A</v>
      </c>
      <c r="I300" t="e">
        <f>IF(INDEX(DATOS3!$1:$19397,A300,MATCH("Dose_Area_Product_Total",DATOS3!$1:$1,0))=0,0,INDEX(DATOS3!$1:$19397,A300,MATCH("Dose_Area_Product_Total",DATOS3!$1:$1,0)))</f>
        <v>#N/A</v>
      </c>
      <c r="J300" t="e">
        <f>IF(INDEX(DATOS3!$1:$19397,A300,MATCH("Dose_RP_Total",DATOS3!$1:$1,0))=0,0,INDEX(DATOS3!$1:$19397,A300,MATCH("Dose_RP_Total",DATOS3!$1:$1,0)))</f>
        <v>#N/A</v>
      </c>
      <c r="K300" t="e">
        <f>IF(INDEX(DATOS3!$1:$19397,A300,MATCH("Total_Fluoro_Time",DATOS3!$1:$1,0))=0,0,INDEX(DATOS3!$1:$19397,A300,MATCH("Total_Fluoro_Time",DATOS3!$1:$1,0)))</f>
        <v>#N/A</v>
      </c>
      <c r="L300" t="e">
        <f>IF(INDEX(DATOS3!$1:$19397,A300,MATCH("Total_Acquisition_Time",DATOS3!$1:$1,0))=0,0,INDEX(DATOS3!$1:$19397,A300,MATCH("Total_Acquisition_Time",DATOS3!$1:$1,0)))</f>
        <v>#N/A</v>
      </c>
    </row>
    <row r="301" spans="1:12" x14ac:dyDescent="0.25">
      <c r="A301">
        <v>301</v>
      </c>
      <c r="B301" t="e">
        <f t="shared" si="4"/>
        <v>#N/A</v>
      </c>
      <c r="D301" t="e">
        <f>IF(INDEX(DATOS3!$1:$19397,A301,MATCH("PatientID",DATOS3!$1:$1,0))=0,"",INDEX(DATOS3!$1:$19397,A301,MATCH("PatientID",DATOS3!$1:$1,0)))</f>
        <v>#N/A</v>
      </c>
      <c r="F301" t="e">
        <f>IF(INDEX(DATOS3!$1:$19397,A301,MATCH("SeriesDate",DATOS3!$1:$1,0))=0,"",INDEX(DATOS3!$1:$19397,A301,MATCH("SeriesDate",DATOS3!$1:$1,0)))</f>
        <v>#N/A</v>
      </c>
      <c r="G301" t="e">
        <f>IF(INDEX(DATOS3!$1:$19397,A301,MATCH("SeriesTime",DATOS3!$1:$1,0))=0,"",INDEX(DATOS3!$1:$19397,A301,MATCH("SeriesTime",DATOS3!$1:$1,0)))</f>
        <v>#N/A</v>
      </c>
      <c r="H301" t="e">
        <f>IF(INDEX(DATOS3!$1:$19397,A301,MATCH("StudyDescription",DATOS3!$1:$1,0))=0,"",INDEX(DATOS3!$1:$19397,A301,MATCH("StudyDescription",DATOS3!$1:$1,0)))</f>
        <v>#N/A</v>
      </c>
      <c r="I301" t="e">
        <f>IF(INDEX(DATOS3!$1:$19397,A301,MATCH("Dose_Area_Product_Total",DATOS3!$1:$1,0))=0,0,INDEX(DATOS3!$1:$19397,A301,MATCH("Dose_Area_Product_Total",DATOS3!$1:$1,0)))</f>
        <v>#N/A</v>
      </c>
      <c r="J301" t="e">
        <f>IF(INDEX(DATOS3!$1:$19397,A301,MATCH("Dose_RP_Total",DATOS3!$1:$1,0))=0,0,INDEX(DATOS3!$1:$19397,A301,MATCH("Dose_RP_Total",DATOS3!$1:$1,0)))</f>
        <v>#N/A</v>
      </c>
      <c r="K301" t="e">
        <f>IF(INDEX(DATOS3!$1:$19397,A301,MATCH("Total_Fluoro_Time",DATOS3!$1:$1,0))=0,0,INDEX(DATOS3!$1:$19397,A301,MATCH("Total_Fluoro_Time",DATOS3!$1:$1,0)))</f>
        <v>#N/A</v>
      </c>
      <c r="L301" t="e">
        <f>IF(INDEX(DATOS3!$1:$19397,A301,MATCH("Total_Acquisition_Time",DATOS3!$1:$1,0))=0,0,INDEX(DATOS3!$1:$19397,A301,MATCH("Total_Acquisition_Time",DATOS3!$1:$1,0)))</f>
        <v>#N/A</v>
      </c>
    </row>
    <row r="302" spans="1:12" x14ac:dyDescent="0.25">
      <c r="A302">
        <v>302</v>
      </c>
      <c r="B302" t="e">
        <f t="shared" si="4"/>
        <v>#N/A</v>
      </c>
      <c r="D302" t="e">
        <f>IF(INDEX(DATOS3!$1:$19397,A302,MATCH("PatientID",DATOS3!$1:$1,0))=0,"",INDEX(DATOS3!$1:$19397,A302,MATCH("PatientID",DATOS3!$1:$1,0)))</f>
        <v>#N/A</v>
      </c>
      <c r="F302" t="e">
        <f>IF(INDEX(DATOS3!$1:$19397,A302,MATCH("SeriesDate",DATOS3!$1:$1,0))=0,"",INDEX(DATOS3!$1:$19397,A302,MATCH("SeriesDate",DATOS3!$1:$1,0)))</f>
        <v>#N/A</v>
      </c>
      <c r="G302" t="e">
        <f>IF(INDEX(DATOS3!$1:$19397,A302,MATCH("SeriesTime",DATOS3!$1:$1,0))=0,"",INDEX(DATOS3!$1:$19397,A302,MATCH("SeriesTime",DATOS3!$1:$1,0)))</f>
        <v>#N/A</v>
      </c>
      <c r="H302" t="e">
        <f>IF(INDEX(DATOS3!$1:$19397,A302,MATCH("StudyDescription",DATOS3!$1:$1,0))=0,"",INDEX(DATOS3!$1:$19397,A302,MATCH("StudyDescription",DATOS3!$1:$1,0)))</f>
        <v>#N/A</v>
      </c>
      <c r="I302" t="e">
        <f>IF(INDEX(DATOS3!$1:$19397,A302,MATCH("Dose_Area_Product_Total",DATOS3!$1:$1,0))=0,0,INDEX(DATOS3!$1:$19397,A302,MATCH("Dose_Area_Product_Total",DATOS3!$1:$1,0)))</f>
        <v>#N/A</v>
      </c>
      <c r="J302" t="e">
        <f>IF(INDEX(DATOS3!$1:$19397,A302,MATCH("Dose_RP_Total",DATOS3!$1:$1,0))=0,0,INDEX(DATOS3!$1:$19397,A302,MATCH("Dose_RP_Total",DATOS3!$1:$1,0)))</f>
        <v>#N/A</v>
      </c>
      <c r="K302" t="e">
        <f>IF(INDEX(DATOS3!$1:$19397,A302,MATCH("Total_Fluoro_Time",DATOS3!$1:$1,0))=0,0,INDEX(DATOS3!$1:$19397,A302,MATCH("Total_Fluoro_Time",DATOS3!$1:$1,0)))</f>
        <v>#N/A</v>
      </c>
      <c r="L302" t="e">
        <f>IF(INDEX(DATOS3!$1:$19397,A302,MATCH("Total_Acquisition_Time",DATOS3!$1:$1,0))=0,0,INDEX(DATOS3!$1:$19397,A302,MATCH("Total_Acquisition_Time",DATOS3!$1:$1,0)))</f>
        <v>#N/A</v>
      </c>
    </row>
    <row r="303" spans="1:12" x14ac:dyDescent="0.25">
      <c r="A303">
        <v>303</v>
      </c>
      <c r="B303" t="e">
        <f t="shared" si="4"/>
        <v>#N/A</v>
      </c>
      <c r="D303" t="e">
        <f>IF(INDEX(DATOS3!$1:$19397,A303,MATCH("PatientID",DATOS3!$1:$1,0))=0,"",INDEX(DATOS3!$1:$19397,A303,MATCH("PatientID",DATOS3!$1:$1,0)))</f>
        <v>#N/A</v>
      </c>
      <c r="F303" t="e">
        <f>IF(INDEX(DATOS3!$1:$19397,A303,MATCH("SeriesDate",DATOS3!$1:$1,0))=0,"",INDEX(DATOS3!$1:$19397,A303,MATCH("SeriesDate",DATOS3!$1:$1,0)))</f>
        <v>#N/A</v>
      </c>
      <c r="G303" t="e">
        <f>IF(INDEX(DATOS3!$1:$19397,A303,MATCH("SeriesTime",DATOS3!$1:$1,0))=0,"",INDEX(DATOS3!$1:$19397,A303,MATCH("SeriesTime",DATOS3!$1:$1,0)))</f>
        <v>#N/A</v>
      </c>
      <c r="H303" t="e">
        <f>IF(INDEX(DATOS3!$1:$19397,A303,MATCH("StudyDescription",DATOS3!$1:$1,0))=0,"",INDEX(DATOS3!$1:$19397,A303,MATCH("StudyDescription",DATOS3!$1:$1,0)))</f>
        <v>#N/A</v>
      </c>
      <c r="I303" t="e">
        <f>IF(INDEX(DATOS3!$1:$19397,A303,MATCH("Dose_Area_Product_Total",DATOS3!$1:$1,0))=0,0,INDEX(DATOS3!$1:$19397,A303,MATCH("Dose_Area_Product_Total",DATOS3!$1:$1,0)))</f>
        <v>#N/A</v>
      </c>
      <c r="J303" t="e">
        <f>IF(INDEX(DATOS3!$1:$19397,A303,MATCH("Dose_RP_Total",DATOS3!$1:$1,0))=0,0,INDEX(DATOS3!$1:$19397,A303,MATCH("Dose_RP_Total",DATOS3!$1:$1,0)))</f>
        <v>#N/A</v>
      </c>
      <c r="K303" t="e">
        <f>IF(INDEX(DATOS3!$1:$19397,A303,MATCH("Total_Fluoro_Time",DATOS3!$1:$1,0))=0,0,INDEX(DATOS3!$1:$19397,A303,MATCH("Total_Fluoro_Time",DATOS3!$1:$1,0)))</f>
        <v>#N/A</v>
      </c>
      <c r="L303" t="e">
        <f>IF(INDEX(DATOS3!$1:$19397,A303,MATCH("Total_Acquisition_Time",DATOS3!$1:$1,0))=0,0,INDEX(DATOS3!$1:$19397,A303,MATCH("Total_Acquisition_Time",DATOS3!$1:$1,0)))</f>
        <v>#N/A</v>
      </c>
    </row>
    <row r="304" spans="1:12" x14ac:dyDescent="0.25">
      <c r="A304">
        <v>304</v>
      </c>
      <c r="B304" t="e">
        <f t="shared" si="4"/>
        <v>#N/A</v>
      </c>
      <c r="D304" t="e">
        <f>IF(INDEX(DATOS3!$1:$19397,A304,MATCH("PatientID",DATOS3!$1:$1,0))=0,"",INDEX(DATOS3!$1:$19397,A304,MATCH("PatientID",DATOS3!$1:$1,0)))</f>
        <v>#N/A</v>
      </c>
      <c r="F304" t="e">
        <f>IF(INDEX(DATOS3!$1:$19397,A304,MATCH("SeriesDate",DATOS3!$1:$1,0))=0,"",INDEX(DATOS3!$1:$19397,A304,MATCH("SeriesDate",DATOS3!$1:$1,0)))</f>
        <v>#N/A</v>
      </c>
      <c r="G304" t="e">
        <f>IF(INDEX(DATOS3!$1:$19397,A304,MATCH("SeriesTime",DATOS3!$1:$1,0))=0,"",INDEX(DATOS3!$1:$19397,A304,MATCH("SeriesTime",DATOS3!$1:$1,0)))</f>
        <v>#N/A</v>
      </c>
      <c r="H304" t="e">
        <f>IF(INDEX(DATOS3!$1:$19397,A304,MATCH("StudyDescription",DATOS3!$1:$1,0))=0,"",INDEX(DATOS3!$1:$19397,A304,MATCH("StudyDescription",DATOS3!$1:$1,0)))</f>
        <v>#N/A</v>
      </c>
      <c r="I304" t="e">
        <f>IF(INDEX(DATOS3!$1:$19397,A304,MATCH("Dose_Area_Product_Total",DATOS3!$1:$1,0))=0,0,INDEX(DATOS3!$1:$19397,A304,MATCH("Dose_Area_Product_Total",DATOS3!$1:$1,0)))</f>
        <v>#N/A</v>
      </c>
      <c r="J304" t="e">
        <f>IF(INDEX(DATOS3!$1:$19397,A304,MATCH("Dose_RP_Total",DATOS3!$1:$1,0))=0,0,INDEX(DATOS3!$1:$19397,A304,MATCH("Dose_RP_Total",DATOS3!$1:$1,0)))</f>
        <v>#N/A</v>
      </c>
      <c r="K304" t="e">
        <f>IF(INDEX(DATOS3!$1:$19397,A304,MATCH("Total_Fluoro_Time",DATOS3!$1:$1,0))=0,0,INDEX(DATOS3!$1:$19397,A304,MATCH("Total_Fluoro_Time",DATOS3!$1:$1,0)))</f>
        <v>#N/A</v>
      </c>
      <c r="L304" t="e">
        <f>IF(INDEX(DATOS3!$1:$19397,A304,MATCH("Total_Acquisition_Time",DATOS3!$1:$1,0))=0,0,INDEX(DATOS3!$1:$19397,A304,MATCH("Total_Acquisition_Time",DATOS3!$1:$1,0)))</f>
        <v>#N/A</v>
      </c>
    </row>
    <row r="305" spans="1:12" x14ac:dyDescent="0.25">
      <c r="A305">
        <v>305</v>
      </c>
      <c r="B305" t="e">
        <f t="shared" si="4"/>
        <v>#N/A</v>
      </c>
      <c r="D305" t="e">
        <f>IF(INDEX(DATOS3!$1:$19397,A305,MATCH("PatientID",DATOS3!$1:$1,0))=0,"",INDEX(DATOS3!$1:$19397,A305,MATCH("PatientID",DATOS3!$1:$1,0)))</f>
        <v>#N/A</v>
      </c>
      <c r="F305" t="e">
        <f>IF(INDEX(DATOS3!$1:$19397,A305,MATCH("SeriesDate",DATOS3!$1:$1,0))=0,"",INDEX(DATOS3!$1:$19397,A305,MATCH("SeriesDate",DATOS3!$1:$1,0)))</f>
        <v>#N/A</v>
      </c>
      <c r="G305" t="e">
        <f>IF(INDEX(DATOS3!$1:$19397,A305,MATCH("SeriesTime",DATOS3!$1:$1,0))=0,"",INDEX(DATOS3!$1:$19397,A305,MATCH("SeriesTime",DATOS3!$1:$1,0)))</f>
        <v>#N/A</v>
      </c>
      <c r="H305" t="e">
        <f>IF(INDEX(DATOS3!$1:$19397,A305,MATCH("StudyDescription",DATOS3!$1:$1,0))=0,"",INDEX(DATOS3!$1:$19397,A305,MATCH("StudyDescription",DATOS3!$1:$1,0)))</f>
        <v>#N/A</v>
      </c>
      <c r="I305" t="e">
        <f>IF(INDEX(DATOS3!$1:$19397,A305,MATCH("Dose_Area_Product_Total",DATOS3!$1:$1,0))=0,0,INDEX(DATOS3!$1:$19397,A305,MATCH("Dose_Area_Product_Total",DATOS3!$1:$1,0)))</f>
        <v>#N/A</v>
      </c>
      <c r="J305" t="e">
        <f>IF(INDEX(DATOS3!$1:$19397,A305,MATCH("Dose_RP_Total",DATOS3!$1:$1,0))=0,0,INDEX(DATOS3!$1:$19397,A305,MATCH("Dose_RP_Total",DATOS3!$1:$1,0)))</f>
        <v>#N/A</v>
      </c>
      <c r="K305" t="e">
        <f>IF(INDEX(DATOS3!$1:$19397,A305,MATCH("Total_Fluoro_Time",DATOS3!$1:$1,0))=0,0,INDEX(DATOS3!$1:$19397,A305,MATCH("Total_Fluoro_Time",DATOS3!$1:$1,0)))</f>
        <v>#N/A</v>
      </c>
      <c r="L305" t="e">
        <f>IF(INDEX(DATOS3!$1:$19397,A305,MATCH("Total_Acquisition_Time",DATOS3!$1:$1,0))=0,0,INDEX(DATOS3!$1:$19397,A305,MATCH("Total_Acquisition_Time",DATOS3!$1:$1,0)))</f>
        <v>#N/A</v>
      </c>
    </row>
    <row r="306" spans="1:12" x14ac:dyDescent="0.25">
      <c r="A306">
        <v>306</v>
      </c>
      <c r="B306" t="e">
        <f t="shared" si="4"/>
        <v>#N/A</v>
      </c>
      <c r="D306" t="e">
        <f>IF(INDEX(DATOS3!$1:$19397,A306,MATCH("PatientID",DATOS3!$1:$1,0))=0,"",INDEX(DATOS3!$1:$19397,A306,MATCH("PatientID",DATOS3!$1:$1,0)))</f>
        <v>#N/A</v>
      </c>
      <c r="F306" t="e">
        <f>IF(INDEX(DATOS3!$1:$19397,A306,MATCH("SeriesDate",DATOS3!$1:$1,0))=0,"",INDEX(DATOS3!$1:$19397,A306,MATCH("SeriesDate",DATOS3!$1:$1,0)))</f>
        <v>#N/A</v>
      </c>
      <c r="G306" t="e">
        <f>IF(INDEX(DATOS3!$1:$19397,A306,MATCH("SeriesTime",DATOS3!$1:$1,0))=0,"",INDEX(DATOS3!$1:$19397,A306,MATCH("SeriesTime",DATOS3!$1:$1,0)))</f>
        <v>#N/A</v>
      </c>
      <c r="H306" t="e">
        <f>IF(INDEX(DATOS3!$1:$19397,A306,MATCH("StudyDescription",DATOS3!$1:$1,0))=0,"",INDEX(DATOS3!$1:$19397,A306,MATCH("StudyDescription",DATOS3!$1:$1,0)))</f>
        <v>#N/A</v>
      </c>
      <c r="I306" t="e">
        <f>IF(INDEX(DATOS3!$1:$19397,A306,MATCH("Dose_Area_Product_Total",DATOS3!$1:$1,0))=0,0,INDEX(DATOS3!$1:$19397,A306,MATCH("Dose_Area_Product_Total",DATOS3!$1:$1,0)))</f>
        <v>#N/A</v>
      </c>
      <c r="J306" t="e">
        <f>IF(INDEX(DATOS3!$1:$19397,A306,MATCH("Dose_RP_Total",DATOS3!$1:$1,0))=0,0,INDEX(DATOS3!$1:$19397,A306,MATCH("Dose_RP_Total",DATOS3!$1:$1,0)))</f>
        <v>#N/A</v>
      </c>
      <c r="K306" t="e">
        <f>IF(INDEX(DATOS3!$1:$19397,A306,MATCH("Total_Fluoro_Time",DATOS3!$1:$1,0))=0,0,INDEX(DATOS3!$1:$19397,A306,MATCH("Total_Fluoro_Time",DATOS3!$1:$1,0)))</f>
        <v>#N/A</v>
      </c>
      <c r="L306" t="e">
        <f>IF(INDEX(DATOS3!$1:$19397,A306,MATCH("Total_Acquisition_Time",DATOS3!$1:$1,0))=0,0,INDEX(DATOS3!$1:$19397,A306,MATCH("Total_Acquisition_Time",DATOS3!$1:$1,0)))</f>
        <v>#N/A</v>
      </c>
    </row>
    <row r="307" spans="1:12" x14ac:dyDescent="0.25">
      <c r="A307">
        <v>307</v>
      </c>
      <c r="B307" t="e">
        <f t="shared" si="4"/>
        <v>#N/A</v>
      </c>
      <c r="D307" t="e">
        <f>IF(INDEX(DATOS3!$1:$19397,A307,MATCH("PatientID",DATOS3!$1:$1,0))=0,"",INDEX(DATOS3!$1:$19397,A307,MATCH("PatientID",DATOS3!$1:$1,0)))</f>
        <v>#N/A</v>
      </c>
      <c r="F307" t="e">
        <f>IF(INDEX(DATOS3!$1:$19397,A307,MATCH("SeriesDate",DATOS3!$1:$1,0))=0,"",INDEX(DATOS3!$1:$19397,A307,MATCH("SeriesDate",DATOS3!$1:$1,0)))</f>
        <v>#N/A</v>
      </c>
      <c r="G307" t="e">
        <f>IF(INDEX(DATOS3!$1:$19397,A307,MATCH("SeriesTime",DATOS3!$1:$1,0))=0,"",INDEX(DATOS3!$1:$19397,A307,MATCH("SeriesTime",DATOS3!$1:$1,0)))</f>
        <v>#N/A</v>
      </c>
      <c r="H307" t="e">
        <f>IF(INDEX(DATOS3!$1:$19397,A307,MATCH("StudyDescription",DATOS3!$1:$1,0))=0,"",INDEX(DATOS3!$1:$19397,A307,MATCH("StudyDescription",DATOS3!$1:$1,0)))</f>
        <v>#N/A</v>
      </c>
      <c r="I307" t="e">
        <f>IF(INDEX(DATOS3!$1:$19397,A307,MATCH("Dose_Area_Product_Total",DATOS3!$1:$1,0))=0,0,INDEX(DATOS3!$1:$19397,A307,MATCH("Dose_Area_Product_Total",DATOS3!$1:$1,0)))</f>
        <v>#N/A</v>
      </c>
      <c r="J307" t="e">
        <f>IF(INDEX(DATOS3!$1:$19397,A307,MATCH("Dose_RP_Total",DATOS3!$1:$1,0))=0,0,INDEX(DATOS3!$1:$19397,A307,MATCH("Dose_RP_Total",DATOS3!$1:$1,0)))</f>
        <v>#N/A</v>
      </c>
      <c r="K307" t="e">
        <f>IF(INDEX(DATOS3!$1:$19397,A307,MATCH("Total_Fluoro_Time",DATOS3!$1:$1,0))=0,0,INDEX(DATOS3!$1:$19397,A307,MATCH("Total_Fluoro_Time",DATOS3!$1:$1,0)))</f>
        <v>#N/A</v>
      </c>
      <c r="L307" t="e">
        <f>IF(INDEX(DATOS3!$1:$19397,A307,MATCH("Total_Acquisition_Time",DATOS3!$1:$1,0))=0,0,INDEX(DATOS3!$1:$19397,A307,MATCH("Total_Acquisition_Time",DATOS3!$1:$1,0)))</f>
        <v>#N/A</v>
      </c>
    </row>
    <row r="308" spans="1:12" x14ac:dyDescent="0.25">
      <c r="A308">
        <v>308</v>
      </c>
      <c r="B308" t="e">
        <f t="shared" si="4"/>
        <v>#N/A</v>
      </c>
      <c r="D308" t="e">
        <f>IF(INDEX(DATOS3!$1:$19397,A308,MATCH("PatientID",DATOS3!$1:$1,0))=0,"",INDEX(DATOS3!$1:$19397,A308,MATCH("PatientID",DATOS3!$1:$1,0)))</f>
        <v>#N/A</v>
      </c>
      <c r="F308" t="e">
        <f>IF(INDEX(DATOS3!$1:$19397,A308,MATCH("SeriesDate",DATOS3!$1:$1,0))=0,"",INDEX(DATOS3!$1:$19397,A308,MATCH("SeriesDate",DATOS3!$1:$1,0)))</f>
        <v>#N/A</v>
      </c>
      <c r="G308" t="e">
        <f>IF(INDEX(DATOS3!$1:$19397,A308,MATCH("SeriesTime",DATOS3!$1:$1,0))=0,"",INDEX(DATOS3!$1:$19397,A308,MATCH("SeriesTime",DATOS3!$1:$1,0)))</f>
        <v>#N/A</v>
      </c>
      <c r="H308" t="e">
        <f>IF(INDEX(DATOS3!$1:$19397,A308,MATCH("StudyDescription",DATOS3!$1:$1,0))=0,"",INDEX(DATOS3!$1:$19397,A308,MATCH("StudyDescription",DATOS3!$1:$1,0)))</f>
        <v>#N/A</v>
      </c>
      <c r="I308" t="e">
        <f>IF(INDEX(DATOS3!$1:$19397,A308,MATCH("Dose_Area_Product_Total",DATOS3!$1:$1,0))=0,0,INDEX(DATOS3!$1:$19397,A308,MATCH("Dose_Area_Product_Total",DATOS3!$1:$1,0)))</f>
        <v>#N/A</v>
      </c>
      <c r="J308" t="e">
        <f>IF(INDEX(DATOS3!$1:$19397,A308,MATCH("Dose_RP_Total",DATOS3!$1:$1,0))=0,0,INDEX(DATOS3!$1:$19397,A308,MATCH("Dose_RP_Total",DATOS3!$1:$1,0)))</f>
        <v>#N/A</v>
      </c>
      <c r="K308" t="e">
        <f>IF(INDEX(DATOS3!$1:$19397,A308,MATCH("Total_Fluoro_Time",DATOS3!$1:$1,0))=0,0,INDEX(DATOS3!$1:$19397,A308,MATCH("Total_Fluoro_Time",DATOS3!$1:$1,0)))</f>
        <v>#N/A</v>
      </c>
      <c r="L308" t="e">
        <f>IF(INDEX(DATOS3!$1:$19397,A308,MATCH("Total_Acquisition_Time",DATOS3!$1:$1,0))=0,0,INDEX(DATOS3!$1:$19397,A308,MATCH("Total_Acquisition_Time",DATOS3!$1:$1,0)))</f>
        <v>#N/A</v>
      </c>
    </row>
    <row r="309" spans="1:12" x14ac:dyDescent="0.25">
      <c r="A309">
        <v>309</v>
      </c>
      <c r="B309" t="e">
        <f t="shared" si="4"/>
        <v>#N/A</v>
      </c>
      <c r="D309" t="e">
        <f>IF(INDEX(DATOS3!$1:$19397,A309,MATCH("PatientID",DATOS3!$1:$1,0))=0,"",INDEX(DATOS3!$1:$19397,A309,MATCH("PatientID",DATOS3!$1:$1,0)))</f>
        <v>#N/A</v>
      </c>
      <c r="F309" t="e">
        <f>IF(INDEX(DATOS3!$1:$19397,A309,MATCH("SeriesDate",DATOS3!$1:$1,0))=0,"",INDEX(DATOS3!$1:$19397,A309,MATCH("SeriesDate",DATOS3!$1:$1,0)))</f>
        <v>#N/A</v>
      </c>
      <c r="G309" t="e">
        <f>IF(INDEX(DATOS3!$1:$19397,A309,MATCH("SeriesTime",DATOS3!$1:$1,0))=0,"",INDEX(DATOS3!$1:$19397,A309,MATCH("SeriesTime",DATOS3!$1:$1,0)))</f>
        <v>#N/A</v>
      </c>
      <c r="H309" t="e">
        <f>IF(INDEX(DATOS3!$1:$19397,A309,MATCH("StudyDescription",DATOS3!$1:$1,0))=0,"",INDEX(DATOS3!$1:$19397,A309,MATCH("StudyDescription",DATOS3!$1:$1,0)))</f>
        <v>#N/A</v>
      </c>
      <c r="I309" t="e">
        <f>IF(INDEX(DATOS3!$1:$19397,A309,MATCH("Dose_Area_Product_Total",DATOS3!$1:$1,0))=0,0,INDEX(DATOS3!$1:$19397,A309,MATCH("Dose_Area_Product_Total",DATOS3!$1:$1,0)))</f>
        <v>#N/A</v>
      </c>
      <c r="J309" t="e">
        <f>IF(INDEX(DATOS3!$1:$19397,A309,MATCH("Dose_RP_Total",DATOS3!$1:$1,0))=0,0,INDEX(DATOS3!$1:$19397,A309,MATCH("Dose_RP_Total",DATOS3!$1:$1,0)))</f>
        <v>#N/A</v>
      </c>
      <c r="K309" t="e">
        <f>IF(INDEX(DATOS3!$1:$19397,A309,MATCH("Total_Fluoro_Time",DATOS3!$1:$1,0))=0,0,INDEX(DATOS3!$1:$19397,A309,MATCH("Total_Fluoro_Time",DATOS3!$1:$1,0)))</f>
        <v>#N/A</v>
      </c>
      <c r="L309" t="e">
        <f>IF(INDEX(DATOS3!$1:$19397,A309,MATCH("Total_Acquisition_Time",DATOS3!$1:$1,0))=0,0,INDEX(DATOS3!$1:$19397,A309,MATCH("Total_Acquisition_Time",DATOS3!$1:$1,0)))</f>
        <v>#N/A</v>
      </c>
    </row>
    <row r="310" spans="1:12" x14ac:dyDescent="0.25">
      <c r="A310">
        <v>310</v>
      </c>
      <c r="B310" t="e">
        <f t="shared" si="4"/>
        <v>#N/A</v>
      </c>
      <c r="D310" t="e">
        <f>IF(INDEX(DATOS3!$1:$19397,A310,MATCH("PatientID",DATOS3!$1:$1,0))=0,"",INDEX(DATOS3!$1:$19397,A310,MATCH("PatientID",DATOS3!$1:$1,0)))</f>
        <v>#N/A</v>
      </c>
      <c r="F310" t="e">
        <f>IF(INDEX(DATOS3!$1:$19397,A310,MATCH("SeriesDate",DATOS3!$1:$1,0))=0,"",INDEX(DATOS3!$1:$19397,A310,MATCH("SeriesDate",DATOS3!$1:$1,0)))</f>
        <v>#N/A</v>
      </c>
      <c r="G310" t="e">
        <f>IF(INDEX(DATOS3!$1:$19397,A310,MATCH("SeriesTime",DATOS3!$1:$1,0))=0,"",INDEX(DATOS3!$1:$19397,A310,MATCH("SeriesTime",DATOS3!$1:$1,0)))</f>
        <v>#N/A</v>
      </c>
      <c r="H310" t="e">
        <f>IF(INDEX(DATOS3!$1:$19397,A310,MATCH("StudyDescription",DATOS3!$1:$1,0))=0,"",INDEX(DATOS3!$1:$19397,A310,MATCH("StudyDescription",DATOS3!$1:$1,0)))</f>
        <v>#N/A</v>
      </c>
      <c r="I310" t="e">
        <f>IF(INDEX(DATOS3!$1:$19397,A310,MATCH("Dose_Area_Product_Total",DATOS3!$1:$1,0))=0,0,INDEX(DATOS3!$1:$19397,A310,MATCH("Dose_Area_Product_Total",DATOS3!$1:$1,0)))</f>
        <v>#N/A</v>
      </c>
      <c r="J310" t="e">
        <f>IF(INDEX(DATOS3!$1:$19397,A310,MATCH("Dose_RP_Total",DATOS3!$1:$1,0))=0,0,INDEX(DATOS3!$1:$19397,A310,MATCH("Dose_RP_Total",DATOS3!$1:$1,0)))</f>
        <v>#N/A</v>
      </c>
      <c r="K310" t="e">
        <f>IF(INDEX(DATOS3!$1:$19397,A310,MATCH("Total_Fluoro_Time",DATOS3!$1:$1,0))=0,0,INDEX(DATOS3!$1:$19397,A310,MATCH("Total_Fluoro_Time",DATOS3!$1:$1,0)))</f>
        <v>#N/A</v>
      </c>
      <c r="L310" t="e">
        <f>IF(INDEX(DATOS3!$1:$19397,A310,MATCH("Total_Acquisition_Time",DATOS3!$1:$1,0))=0,0,INDEX(DATOS3!$1:$19397,A310,MATCH("Total_Acquisition_Time",DATOS3!$1:$1,0)))</f>
        <v>#N/A</v>
      </c>
    </row>
    <row r="311" spans="1:12" x14ac:dyDescent="0.25">
      <c r="A311">
        <v>311</v>
      </c>
      <c r="B311" t="e">
        <f t="shared" si="4"/>
        <v>#N/A</v>
      </c>
      <c r="D311" t="e">
        <f>IF(INDEX(DATOS3!$1:$19397,A311,MATCH("PatientID",DATOS3!$1:$1,0))=0,"",INDEX(DATOS3!$1:$19397,A311,MATCH("PatientID",DATOS3!$1:$1,0)))</f>
        <v>#N/A</v>
      </c>
      <c r="F311" t="e">
        <f>IF(INDEX(DATOS3!$1:$19397,A311,MATCH("SeriesDate",DATOS3!$1:$1,0))=0,"",INDEX(DATOS3!$1:$19397,A311,MATCH("SeriesDate",DATOS3!$1:$1,0)))</f>
        <v>#N/A</v>
      </c>
      <c r="G311" t="e">
        <f>IF(INDEX(DATOS3!$1:$19397,A311,MATCH("SeriesTime",DATOS3!$1:$1,0))=0,"",INDEX(DATOS3!$1:$19397,A311,MATCH("SeriesTime",DATOS3!$1:$1,0)))</f>
        <v>#N/A</v>
      </c>
      <c r="H311" t="e">
        <f>IF(INDEX(DATOS3!$1:$19397,A311,MATCH("StudyDescription",DATOS3!$1:$1,0))=0,"",INDEX(DATOS3!$1:$19397,A311,MATCH("StudyDescription",DATOS3!$1:$1,0)))</f>
        <v>#N/A</v>
      </c>
      <c r="I311" t="e">
        <f>IF(INDEX(DATOS3!$1:$19397,A311,MATCH("Dose_Area_Product_Total",DATOS3!$1:$1,0))=0,0,INDEX(DATOS3!$1:$19397,A311,MATCH("Dose_Area_Product_Total",DATOS3!$1:$1,0)))</f>
        <v>#N/A</v>
      </c>
      <c r="J311" t="e">
        <f>IF(INDEX(DATOS3!$1:$19397,A311,MATCH("Dose_RP_Total",DATOS3!$1:$1,0))=0,0,INDEX(DATOS3!$1:$19397,A311,MATCH("Dose_RP_Total",DATOS3!$1:$1,0)))</f>
        <v>#N/A</v>
      </c>
      <c r="K311" t="e">
        <f>IF(INDEX(DATOS3!$1:$19397,A311,MATCH("Total_Fluoro_Time",DATOS3!$1:$1,0))=0,0,INDEX(DATOS3!$1:$19397,A311,MATCH("Total_Fluoro_Time",DATOS3!$1:$1,0)))</f>
        <v>#N/A</v>
      </c>
      <c r="L311" t="e">
        <f>IF(INDEX(DATOS3!$1:$19397,A311,MATCH("Total_Acquisition_Time",DATOS3!$1:$1,0))=0,0,INDEX(DATOS3!$1:$19397,A311,MATCH("Total_Acquisition_Time",DATOS3!$1:$1,0)))</f>
        <v>#N/A</v>
      </c>
    </row>
    <row r="312" spans="1:12" x14ac:dyDescent="0.25">
      <c r="A312">
        <v>312</v>
      </c>
      <c r="B312" t="e">
        <f t="shared" si="4"/>
        <v>#N/A</v>
      </c>
      <c r="D312" t="e">
        <f>IF(INDEX(DATOS3!$1:$19397,A312,MATCH("PatientID",DATOS3!$1:$1,0))=0,"",INDEX(DATOS3!$1:$19397,A312,MATCH("PatientID",DATOS3!$1:$1,0)))</f>
        <v>#N/A</v>
      </c>
      <c r="F312" t="e">
        <f>IF(INDEX(DATOS3!$1:$19397,A312,MATCH("SeriesDate",DATOS3!$1:$1,0))=0,"",INDEX(DATOS3!$1:$19397,A312,MATCH("SeriesDate",DATOS3!$1:$1,0)))</f>
        <v>#N/A</v>
      </c>
      <c r="G312" t="e">
        <f>IF(INDEX(DATOS3!$1:$19397,A312,MATCH("SeriesTime",DATOS3!$1:$1,0))=0,"",INDEX(DATOS3!$1:$19397,A312,MATCH("SeriesTime",DATOS3!$1:$1,0)))</f>
        <v>#N/A</v>
      </c>
      <c r="H312" t="e">
        <f>IF(INDEX(DATOS3!$1:$19397,A312,MATCH("StudyDescription",DATOS3!$1:$1,0))=0,"",INDEX(DATOS3!$1:$19397,A312,MATCH("StudyDescription",DATOS3!$1:$1,0)))</f>
        <v>#N/A</v>
      </c>
      <c r="I312" t="e">
        <f>IF(INDEX(DATOS3!$1:$19397,A312,MATCH("Dose_Area_Product_Total",DATOS3!$1:$1,0))=0,0,INDEX(DATOS3!$1:$19397,A312,MATCH("Dose_Area_Product_Total",DATOS3!$1:$1,0)))</f>
        <v>#N/A</v>
      </c>
      <c r="J312" t="e">
        <f>IF(INDEX(DATOS3!$1:$19397,A312,MATCH("Dose_RP_Total",DATOS3!$1:$1,0))=0,0,INDEX(DATOS3!$1:$19397,A312,MATCH("Dose_RP_Total",DATOS3!$1:$1,0)))</f>
        <v>#N/A</v>
      </c>
      <c r="K312" t="e">
        <f>IF(INDEX(DATOS3!$1:$19397,A312,MATCH("Total_Fluoro_Time",DATOS3!$1:$1,0))=0,0,INDEX(DATOS3!$1:$19397,A312,MATCH("Total_Fluoro_Time",DATOS3!$1:$1,0)))</f>
        <v>#N/A</v>
      </c>
      <c r="L312" t="e">
        <f>IF(INDEX(DATOS3!$1:$19397,A312,MATCH("Total_Acquisition_Time",DATOS3!$1:$1,0))=0,0,INDEX(DATOS3!$1:$19397,A312,MATCH("Total_Acquisition_Time",DATOS3!$1:$1,0)))</f>
        <v>#N/A</v>
      </c>
    </row>
    <row r="313" spans="1:12" x14ac:dyDescent="0.25">
      <c r="A313">
        <v>313</v>
      </c>
      <c r="B313" t="e">
        <f t="shared" si="4"/>
        <v>#N/A</v>
      </c>
      <c r="D313" t="e">
        <f>IF(INDEX(DATOS3!$1:$19397,A313,MATCH("PatientID",DATOS3!$1:$1,0))=0,"",INDEX(DATOS3!$1:$19397,A313,MATCH("PatientID",DATOS3!$1:$1,0)))</f>
        <v>#N/A</v>
      </c>
      <c r="F313" t="e">
        <f>IF(INDEX(DATOS3!$1:$19397,A313,MATCH("SeriesDate",DATOS3!$1:$1,0))=0,"",INDEX(DATOS3!$1:$19397,A313,MATCH("SeriesDate",DATOS3!$1:$1,0)))</f>
        <v>#N/A</v>
      </c>
      <c r="G313" t="e">
        <f>IF(INDEX(DATOS3!$1:$19397,A313,MATCH("SeriesTime",DATOS3!$1:$1,0))=0,"",INDEX(DATOS3!$1:$19397,A313,MATCH("SeriesTime",DATOS3!$1:$1,0)))</f>
        <v>#N/A</v>
      </c>
      <c r="H313" t="e">
        <f>IF(INDEX(DATOS3!$1:$19397,A313,MATCH("StudyDescription",DATOS3!$1:$1,0))=0,"",INDEX(DATOS3!$1:$19397,A313,MATCH("StudyDescription",DATOS3!$1:$1,0)))</f>
        <v>#N/A</v>
      </c>
      <c r="I313" t="e">
        <f>IF(INDEX(DATOS3!$1:$19397,A313,MATCH("Dose_Area_Product_Total",DATOS3!$1:$1,0))=0,0,INDEX(DATOS3!$1:$19397,A313,MATCH("Dose_Area_Product_Total",DATOS3!$1:$1,0)))</f>
        <v>#N/A</v>
      </c>
      <c r="J313" t="e">
        <f>IF(INDEX(DATOS3!$1:$19397,A313,MATCH("Dose_RP_Total",DATOS3!$1:$1,0))=0,0,INDEX(DATOS3!$1:$19397,A313,MATCH("Dose_RP_Total",DATOS3!$1:$1,0)))</f>
        <v>#N/A</v>
      </c>
      <c r="K313" t="e">
        <f>IF(INDEX(DATOS3!$1:$19397,A313,MATCH("Total_Fluoro_Time",DATOS3!$1:$1,0))=0,0,INDEX(DATOS3!$1:$19397,A313,MATCH("Total_Fluoro_Time",DATOS3!$1:$1,0)))</f>
        <v>#N/A</v>
      </c>
      <c r="L313" t="e">
        <f>IF(INDEX(DATOS3!$1:$19397,A313,MATCH("Total_Acquisition_Time",DATOS3!$1:$1,0))=0,0,INDEX(DATOS3!$1:$19397,A313,MATCH("Total_Acquisition_Time",DATOS3!$1:$1,0)))</f>
        <v>#N/A</v>
      </c>
    </row>
    <row r="314" spans="1:12" x14ac:dyDescent="0.25">
      <c r="A314">
        <v>314</v>
      </c>
      <c r="B314" t="e">
        <f t="shared" si="4"/>
        <v>#N/A</v>
      </c>
      <c r="D314" t="e">
        <f>IF(INDEX(DATOS3!$1:$19397,A314,MATCH("PatientID",DATOS3!$1:$1,0))=0,"",INDEX(DATOS3!$1:$19397,A314,MATCH("PatientID",DATOS3!$1:$1,0)))</f>
        <v>#N/A</v>
      </c>
      <c r="F314" t="e">
        <f>IF(INDEX(DATOS3!$1:$19397,A314,MATCH("SeriesDate",DATOS3!$1:$1,0))=0,"",INDEX(DATOS3!$1:$19397,A314,MATCH("SeriesDate",DATOS3!$1:$1,0)))</f>
        <v>#N/A</v>
      </c>
      <c r="G314" t="e">
        <f>IF(INDEX(DATOS3!$1:$19397,A314,MATCH("SeriesTime",DATOS3!$1:$1,0))=0,"",INDEX(DATOS3!$1:$19397,A314,MATCH("SeriesTime",DATOS3!$1:$1,0)))</f>
        <v>#N/A</v>
      </c>
      <c r="H314" t="e">
        <f>IF(INDEX(DATOS3!$1:$19397,A314,MATCH("StudyDescription",DATOS3!$1:$1,0))=0,"",INDEX(DATOS3!$1:$19397,A314,MATCH("StudyDescription",DATOS3!$1:$1,0)))</f>
        <v>#N/A</v>
      </c>
      <c r="I314" t="e">
        <f>IF(INDEX(DATOS3!$1:$19397,A314,MATCH("Dose_Area_Product_Total",DATOS3!$1:$1,0))=0,0,INDEX(DATOS3!$1:$19397,A314,MATCH("Dose_Area_Product_Total",DATOS3!$1:$1,0)))</f>
        <v>#N/A</v>
      </c>
      <c r="J314" t="e">
        <f>IF(INDEX(DATOS3!$1:$19397,A314,MATCH("Dose_RP_Total",DATOS3!$1:$1,0))=0,0,INDEX(DATOS3!$1:$19397,A314,MATCH("Dose_RP_Total",DATOS3!$1:$1,0)))</f>
        <v>#N/A</v>
      </c>
      <c r="K314" t="e">
        <f>IF(INDEX(DATOS3!$1:$19397,A314,MATCH("Total_Fluoro_Time",DATOS3!$1:$1,0))=0,0,INDEX(DATOS3!$1:$19397,A314,MATCH("Total_Fluoro_Time",DATOS3!$1:$1,0)))</f>
        <v>#N/A</v>
      </c>
      <c r="L314" t="e">
        <f>IF(INDEX(DATOS3!$1:$19397,A314,MATCH("Total_Acquisition_Time",DATOS3!$1:$1,0))=0,0,INDEX(DATOS3!$1:$19397,A314,MATCH("Total_Acquisition_Time",DATOS3!$1:$1,0)))</f>
        <v>#N/A</v>
      </c>
    </row>
    <row r="315" spans="1:12" x14ac:dyDescent="0.25">
      <c r="A315">
        <v>315</v>
      </c>
      <c r="B315" t="e">
        <f t="shared" si="4"/>
        <v>#N/A</v>
      </c>
      <c r="D315" t="e">
        <f>IF(INDEX(DATOS3!$1:$19397,A315,MATCH("PatientID",DATOS3!$1:$1,0))=0,"",INDEX(DATOS3!$1:$19397,A315,MATCH("PatientID",DATOS3!$1:$1,0)))</f>
        <v>#N/A</v>
      </c>
      <c r="F315" t="e">
        <f>IF(INDEX(DATOS3!$1:$19397,A315,MATCH("SeriesDate",DATOS3!$1:$1,0))=0,"",INDEX(DATOS3!$1:$19397,A315,MATCH("SeriesDate",DATOS3!$1:$1,0)))</f>
        <v>#N/A</v>
      </c>
      <c r="G315" t="e">
        <f>IF(INDEX(DATOS3!$1:$19397,A315,MATCH("SeriesTime",DATOS3!$1:$1,0))=0,"",INDEX(DATOS3!$1:$19397,A315,MATCH("SeriesTime",DATOS3!$1:$1,0)))</f>
        <v>#N/A</v>
      </c>
      <c r="H315" t="e">
        <f>IF(INDEX(DATOS3!$1:$19397,A315,MATCH("StudyDescription",DATOS3!$1:$1,0))=0,"",INDEX(DATOS3!$1:$19397,A315,MATCH("StudyDescription",DATOS3!$1:$1,0)))</f>
        <v>#N/A</v>
      </c>
      <c r="I315" t="e">
        <f>IF(INDEX(DATOS3!$1:$19397,A315,MATCH("Dose_Area_Product_Total",DATOS3!$1:$1,0))=0,0,INDEX(DATOS3!$1:$19397,A315,MATCH("Dose_Area_Product_Total",DATOS3!$1:$1,0)))</f>
        <v>#N/A</v>
      </c>
      <c r="J315" t="e">
        <f>IF(INDEX(DATOS3!$1:$19397,A315,MATCH("Dose_RP_Total",DATOS3!$1:$1,0))=0,0,INDEX(DATOS3!$1:$19397,A315,MATCH("Dose_RP_Total",DATOS3!$1:$1,0)))</f>
        <v>#N/A</v>
      </c>
      <c r="K315" t="e">
        <f>IF(INDEX(DATOS3!$1:$19397,A315,MATCH("Total_Fluoro_Time",DATOS3!$1:$1,0))=0,0,INDEX(DATOS3!$1:$19397,A315,MATCH("Total_Fluoro_Time",DATOS3!$1:$1,0)))</f>
        <v>#N/A</v>
      </c>
      <c r="L315" t="e">
        <f>IF(INDEX(DATOS3!$1:$19397,A315,MATCH("Total_Acquisition_Time",DATOS3!$1:$1,0))=0,0,INDEX(DATOS3!$1:$19397,A315,MATCH("Total_Acquisition_Time",DATOS3!$1:$1,0)))</f>
        <v>#N/A</v>
      </c>
    </row>
    <row r="316" spans="1:12" x14ac:dyDescent="0.25">
      <c r="A316">
        <v>316</v>
      </c>
      <c r="B316" t="e">
        <f t="shared" si="4"/>
        <v>#N/A</v>
      </c>
      <c r="D316" t="e">
        <f>IF(INDEX(DATOS3!$1:$19397,A316,MATCH("PatientID",DATOS3!$1:$1,0))=0,"",INDEX(DATOS3!$1:$19397,A316,MATCH("PatientID",DATOS3!$1:$1,0)))</f>
        <v>#N/A</v>
      </c>
      <c r="F316" t="e">
        <f>IF(INDEX(DATOS3!$1:$19397,A316,MATCH("SeriesDate",DATOS3!$1:$1,0))=0,"",INDEX(DATOS3!$1:$19397,A316,MATCH("SeriesDate",DATOS3!$1:$1,0)))</f>
        <v>#N/A</v>
      </c>
      <c r="G316" t="e">
        <f>IF(INDEX(DATOS3!$1:$19397,A316,MATCH("SeriesTime",DATOS3!$1:$1,0))=0,"",INDEX(DATOS3!$1:$19397,A316,MATCH("SeriesTime",DATOS3!$1:$1,0)))</f>
        <v>#N/A</v>
      </c>
      <c r="H316" t="e">
        <f>IF(INDEX(DATOS3!$1:$19397,A316,MATCH("StudyDescription",DATOS3!$1:$1,0))=0,"",INDEX(DATOS3!$1:$19397,A316,MATCH("StudyDescription",DATOS3!$1:$1,0)))</f>
        <v>#N/A</v>
      </c>
      <c r="I316" t="e">
        <f>IF(INDEX(DATOS3!$1:$19397,A316,MATCH("Dose_Area_Product_Total",DATOS3!$1:$1,0))=0,0,INDEX(DATOS3!$1:$19397,A316,MATCH("Dose_Area_Product_Total",DATOS3!$1:$1,0)))</f>
        <v>#N/A</v>
      </c>
      <c r="J316" t="e">
        <f>IF(INDEX(DATOS3!$1:$19397,A316,MATCH("Dose_RP_Total",DATOS3!$1:$1,0))=0,0,INDEX(DATOS3!$1:$19397,A316,MATCH("Dose_RP_Total",DATOS3!$1:$1,0)))</f>
        <v>#N/A</v>
      </c>
      <c r="K316" t="e">
        <f>IF(INDEX(DATOS3!$1:$19397,A316,MATCH("Total_Fluoro_Time",DATOS3!$1:$1,0))=0,0,INDEX(DATOS3!$1:$19397,A316,MATCH("Total_Fluoro_Time",DATOS3!$1:$1,0)))</f>
        <v>#N/A</v>
      </c>
      <c r="L316" t="e">
        <f>IF(INDEX(DATOS3!$1:$19397,A316,MATCH("Total_Acquisition_Time",DATOS3!$1:$1,0))=0,0,INDEX(DATOS3!$1:$19397,A316,MATCH("Total_Acquisition_Time",DATOS3!$1:$1,0)))</f>
        <v>#N/A</v>
      </c>
    </row>
    <row r="317" spans="1:12" x14ac:dyDescent="0.25">
      <c r="A317">
        <v>317</v>
      </c>
      <c r="B317" t="e">
        <f t="shared" si="4"/>
        <v>#N/A</v>
      </c>
      <c r="D317" t="e">
        <f>IF(INDEX(DATOS3!$1:$19397,A317,MATCH("PatientID",DATOS3!$1:$1,0))=0,"",INDEX(DATOS3!$1:$19397,A317,MATCH("PatientID",DATOS3!$1:$1,0)))</f>
        <v>#N/A</v>
      </c>
      <c r="F317" t="e">
        <f>IF(INDEX(DATOS3!$1:$19397,A317,MATCH("SeriesDate",DATOS3!$1:$1,0))=0,"",INDEX(DATOS3!$1:$19397,A317,MATCH("SeriesDate",DATOS3!$1:$1,0)))</f>
        <v>#N/A</v>
      </c>
      <c r="G317" t="e">
        <f>IF(INDEX(DATOS3!$1:$19397,A317,MATCH("SeriesTime",DATOS3!$1:$1,0))=0,"",INDEX(DATOS3!$1:$19397,A317,MATCH("SeriesTime",DATOS3!$1:$1,0)))</f>
        <v>#N/A</v>
      </c>
      <c r="H317" t="e">
        <f>IF(INDEX(DATOS3!$1:$19397,A317,MATCH("StudyDescription",DATOS3!$1:$1,0))=0,"",INDEX(DATOS3!$1:$19397,A317,MATCH("StudyDescription",DATOS3!$1:$1,0)))</f>
        <v>#N/A</v>
      </c>
      <c r="I317" t="e">
        <f>IF(INDEX(DATOS3!$1:$19397,A317,MATCH("Dose_Area_Product_Total",DATOS3!$1:$1,0))=0,0,INDEX(DATOS3!$1:$19397,A317,MATCH("Dose_Area_Product_Total",DATOS3!$1:$1,0)))</f>
        <v>#N/A</v>
      </c>
      <c r="J317" t="e">
        <f>IF(INDEX(DATOS3!$1:$19397,A317,MATCH("Dose_RP_Total",DATOS3!$1:$1,0))=0,0,INDEX(DATOS3!$1:$19397,A317,MATCH("Dose_RP_Total",DATOS3!$1:$1,0)))</f>
        <v>#N/A</v>
      </c>
      <c r="K317" t="e">
        <f>IF(INDEX(DATOS3!$1:$19397,A317,MATCH("Total_Fluoro_Time",DATOS3!$1:$1,0))=0,0,INDEX(DATOS3!$1:$19397,A317,MATCH("Total_Fluoro_Time",DATOS3!$1:$1,0)))</f>
        <v>#N/A</v>
      </c>
      <c r="L317" t="e">
        <f>IF(INDEX(DATOS3!$1:$19397,A317,MATCH("Total_Acquisition_Time",DATOS3!$1:$1,0))=0,0,INDEX(DATOS3!$1:$19397,A317,MATCH("Total_Acquisition_Time",DATOS3!$1:$1,0)))</f>
        <v>#N/A</v>
      </c>
    </row>
    <row r="318" spans="1:12" x14ac:dyDescent="0.25">
      <c r="A318">
        <v>318</v>
      </c>
      <c r="B318" t="e">
        <f t="shared" si="4"/>
        <v>#N/A</v>
      </c>
      <c r="D318" t="e">
        <f>IF(INDEX(DATOS3!$1:$19397,A318,MATCH("PatientID",DATOS3!$1:$1,0))=0,"",INDEX(DATOS3!$1:$19397,A318,MATCH("PatientID",DATOS3!$1:$1,0)))</f>
        <v>#N/A</v>
      </c>
      <c r="F318" t="e">
        <f>IF(INDEX(DATOS3!$1:$19397,A318,MATCH("SeriesDate",DATOS3!$1:$1,0))=0,"",INDEX(DATOS3!$1:$19397,A318,MATCH("SeriesDate",DATOS3!$1:$1,0)))</f>
        <v>#N/A</v>
      </c>
      <c r="G318" t="e">
        <f>IF(INDEX(DATOS3!$1:$19397,A318,MATCH("SeriesTime",DATOS3!$1:$1,0))=0,"",INDEX(DATOS3!$1:$19397,A318,MATCH("SeriesTime",DATOS3!$1:$1,0)))</f>
        <v>#N/A</v>
      </c>
      <c r="H318" t="e">
        <f>IF(INDEX(DATOS3!$1:$19397,A318,MATCH("StudyDescription",DATOS3!$1:$1,0))=0,"",INDEX(DATOS3!$1:$19397,A318,MATCH("StudyDescription",DATOS3!$1:$1,0)))</f>
        <v>#N/A</v>
      </c>
      <c r="I318" t="e">
        <f>IF(INDEX(DATOS3!$1:$19397,A318,MATCH("Dose_Area_Product_Total",DATOS3!$1:$1,0))=0,0,INDEX(DATOS3!$1:$19397,A318,MATCH("Dose_Area_Product_Total",DATOS3!$1:$1,0)))</f>
        <v>#N/A</v>
      </c>
      <c r="J318" t="e">
        <f>IF(INDEX(DATOS3!$1:$19397,A318,MATCH("Dose_RP_Total",DATOS3!$1:$1,0))=0,0,INDEX(DATOS3!$1:$19397,A318,MATCH("Dose_RP_Total",DATOS3!$1:$1,0)))</f>
        <v>#N/A</v>
      </c>
      <c r="K318" t="e">
        <f>IF(INDEX(DATOS3!$1:$19397,A318,MATCH("Total_Fluoro_Time",DATOS3!$1:$1,0))=0,0,INDEX(DATOS3!$1:$19397,A318,MATCH("Total_Fluoro_Time",DATOS3!$1:$1,0)))</f>
        <v>#N/A</v>
      </c>
      <c r="L318" t="e">
        <f>IF(INDEX(DATOS3!$1:$19397,A318,MATCH("Total_Acquisition_Time",DATOS3!$1:$1,0))=0,0,INDEX(DATOS3!$1:$19397,A318,MATCH("Total_Acquisition_Time",DATOS3!$1:$1,0)))</f>
        <v>#N/A</v>
      </c>
    </row>
    <row r="319" spans="1:12" x14ac:dyDescent="0.25">
      <c r="A319">
        <v>319</v>
      </c>
      <c r="B319" t="e">
        <f t="shared" si="4"/>
        <v>#N/A</v>
      </c>
      <c r="D319" t="e">
        <f>IF(INDEX(DATOS3!$1:$19397,A319,MATCH("PatientID",DATOS3!$1:$1,0))=0,"",INDEX(DATOS3!$1:$19397,A319,MATCH("PatientID",DATOS3!$1:$1,0)))</f>
        <v>#N/A</v>
      </c>
      <c r="F319" t="e">
        <f>IF(INDEX(DATOS3!$1:$19397,A319,MATCH("SeriesDate",DATOS3!$1:$1,0))=0,"",INDEX(DATOS3!$1:$19397,A319,MATCH("SeriesDate",DATOS3!$1:$1,0)))</f>
        <v>#N/A</v>
      </c>
      <c r="G319" t="e">
        <f>IF(INDEX(DATOS3!$1:$19397,A319,MATCH("SeriesTime",DATOS3!$1:$1,0))=0,"",INDEX(DATOS3!$1:$19397,A319,MATCH("SeriesTime",DATOS3!$1:$1,0)))</f>
        <v>#N/A</v>
      </c>
      <c r="H319" t="e">
        <f>IF(INDEX(DATOS3!$1:$19397,A319,MATCH("StudyDescription",DATOS3!$1:$1,0))=0,"",INDEX(DATOS3!$1:$19397,A319,MATCH("StudyDescription",DATOS3!$1:$1,0)))</f>
        <v>#N/A</v>
      </c>
      <c r="I319" t="e">
        <f>IF(INDEX(DATOS3!$1:$19397,A319,MATCH("Dose_Area_Product_Total",DATOS3!$1:$1,0))=0,0,INDEX(DATOS3!$1:$19397,A319,MATCH("Dose_Area_Product_Total",DATOS3!$1:$1,0)))</f>
        <v>#N/A</v>
      </c>
      <c r="J319" t="e">
        <f>IF(INDEX(DATOS3!$1:$19397,A319,MATCH("Dose_RP_Total",DATOS3!$1:$1,0))=0,0,INDEX(DATOS3!$1:$19397,A319,MATCH("Dose_RP_Total",DATOS3!$1:$1,0)))</f>
        <v>#N/A</v>
      </c>
      <c r="K319" t="e">
        <f>IF(INDEX(DATOS3!$1:$19397,A319,MATCH("Total_Fluoro_Time",DATOS3!$1:$1,0))=0,0,INDEX(DATOS3!$1:$19397,A319,MATCH("Total_Fluoro_Time",DATOS3!$1:$1,0)))</f>
        <v>#N/A</v>
      </c>
      <c r="L319" t="e">
        <f>IF(INDEX(DATOS3!$1:$19397,A319,MATCH("Total_Acquisition_Time",DATOS3!$1:$1,0))=0,0,INDEX(DATOS3!$1:$19397,A319,MATCH("Total_Acquisition_Time",DATOS3!$1:$1,0)))</f>
        <v>#N/A</v>
      </c>
    </row>
    <row r="320" spans="1:12" x14ac:dyDescent="0.25">
      <c r="A320">
        <v>320</v>
      </c>
      <c r="B320" t="e">
        <f t="shared" si="4"/>
        <v>#N/A</v>
      </c>
      <c r="D320" t="e">
        <f>IF(INDEX(DATOS3!$1:$19397,A320,MATCH("PatientID",DATOS3!$1:$1,0))=0,"",INDEX(DATOS3!$1:$19397,A320,MATCH("PatientID",DATOS3!$1:$1,0)))</f>
        <v>#N/A</v>
      </c>
      <c r="F320" t="e">
        <f>IF(INDEX(DATOS3!$1:$19397,A320,MATCH("SeriesDate",DATOS3!$1:$1,0))=0,"",INDEX(DATOS3!$1:$19397,A320,MATCH("SeriesDate",DATOS3!$1:$1,0)))</f>
        <v>#N/A</v>
      </c>
      <c r="G320" t="e">
        <f>IF(INDEX(DATOS3!$1:$19397,A320,MATCH("SeriesTime",DATOS3!$1:$1,0))=0,"",INDEX(DATOS3!$1:$19397,A320,MATCH("SeriesTime",DATOS3!$1:$1,0)))</f>
        <v>#N/A</v>
      </c>
      <c r="H320" t="e">
        <f>IF(INDEX(DATOS3!$1:$19397,A320,MATCH("StudyDescription",DATOS3!$1:$1,0))=0,"",INDEX(DATOS3!$1:$19397,A320,MATCH("StudyDescription",DATOS3!$1:$1,0)))</f>
        <v>#N/A</v>
      </c>
      <c r="I320" t="e">
        <f>IF(INDEX(DATOS3!$1:$19397,A320,MATCH("Dose_Area_Product_Total",DATOS3!$1:$1,0))=0,0,INDEX(DATOS3!$1:$19397,A320,MATCH("Dose_Area_Product_Total",DATOS3!$1:$1,0)))</f>
        <v>#N/A</v>
      </c>
      <c r="J320" t="e">
        <f>IF(INDEX(DATOS3!$1:$19397,A320,MATCH("Dose_RP_Total",DATOS3!$1:$1,0))=0,0,INDEX(DATOS3!$1:$19397,A320,MATCH("Dose_RP_Total",DATOS3!$1:$1,0)))</f>
        <v>#N/A</v>
      </c>
      <c r="K320" t="e">
        <f>IF(INDEX(DATOS3!$1:$19397,A320,MATCH("Total_Fluoro_Time",DATOS3!$1:$1,0))=0,0,INDEX(DATOS3!$1:$19397,A320,MATCH("Total_Fluoro_Time",DATOS3!$1:$1,0)))</f>
        <v>#N/A</v>
      </c>
      <c r="L320" t="e">
        <f>IF(INDEX(DATOS3!$1:$19397,A320,MATCH("Total_Acquisition_Time",DATOS3!$1:$1,0))=0,0,INDEX(DATOS3!$1:$19397,A320,MATCH("Total_Acquisition_Time",DATOS3!$1:$1,0)))</f>
        <v>#N/A</v>
      </c>
    </row>
    <row r="321" spans="1:12" x14ac:dyDescent="0.25">
      <c r="A321">
        <v>321</v>
      </c>
      <c r="B321" t="e">
        <f t="shared" si="4"/>
        <v>#N/A</v>
      </c>
      <c r="D321" t="e">
        <f>IF(INDEX(DATOS3!$1:$19397,A321,MATCH("PatientID",DATOS3!$1:$1,0))=0,"",INDEX(DATOS3!$1:$19397,A321,MATCH("PatientID",DATOS3!$1:$1,0)))</f>
        <v>#N/A</v>
      </c>
      <c r="F321" t="e">
        <f>IF(INDEX(DATOS3!$1:$19397,A321,MATCH("SeriesDate",DATOS3!$1:$1,0))=0,"",INDEX(DATOS3!$1:$19397,A321,MATCH("SeriesDate",DATOS3!$1:$1,0)))</f>
        <v>#N/A</v>
      </c>
      <c r="G321" t="e">
        <f>IF(INDEX(DATOS3!$1:$19397,A321,MATCH("SeriesTime",DATOS3!$1:$1,0))=0,"",INDEX(DATOS3!$1:$19397,A321,MATCH("SeriesTime",DATOS3!$1:$1,0)))</f>
        <v>#N/A</v>
      </c>
      <c r="H321" t="e">
        <f>IF(INDEX(DATOS3!$1:$19397,A321,MATCH("StudyDescription",DATOS3!$1:$1,0))=0,"",INDEX(DATOS3!$1:$19397,A321,MATCH("StudyDescription",DATOS3!$1:$1,0)))</f>
        <v>#N/A</v>
      </c>
      <c r="I321" t="e">
        <f>IF(INDEX(DATOS3!$1:$19397,A321,MATCH("Dose_Area_Product_Total",DATOS3!$1:$1,0))=0,0,INDEX(DATOS3!$1:$19397,A321,MATCH("Dose_Area_Product_Total",DATOS3!$1:$1,0)))</f>
        <v>#N/A</v>
      </c>
      <c r="J321" t="e">
        <f>IF(INDEX(DATOS3!$1:$19397,A321,MATCH("Dose_RP_Total",DATOS3!$1:$1,0))=0,0,INDEX(DATOS3!$1:$19397,A321,MATCH("Dose_RP_Total",DATOS3!$1:$1,0)))</f>
        <v>#N/A</v>
      </c>
      <c r="K321" t="e">
        <f>IF(INDEX(DATOS3!$1:$19397,A321,MATCH("Total_Fluoro_Time",DATOS3!$1:$1,0))=0,0,INDEX(DATOS3!$1:$19397,A321,MATCH("Total_Fluoro_Time",DATOS3!$1:$1,0)))</f>
        <v>#N/A</v>
      </c>
      <c r="L321" t="e">
        <f>IF(INDEX(DATOS3!$1:$19397,A321,MATCH("Total_Acquisition_Time",DATOS3!$1:$1,0))=0,0,INDEX(DATOS3!$1:$19397,A321,MATCH("Total_Acquisition_Time",DATOS3!$1:$1,0)))</f>
        <v>#N/A</v>
      </c>
    </row>
    <row r="322" spans="1:12" x14ac:dyDescent="0.25">
      <c r="A322">
        <v>322</v>
      </c>
      <c r="B322" t="e">
        <f t="shared" si="4"/>
        <v>#N/A</v>
      </c>
      <c r="D322" t="e">
        <f>IF(INDEX(DATOS3!$1:$19397,A322,MATCH("PatientID",DATOS3!$1:$1,0))=0,"",INDEX(DATOS3!$1:$19397,A322,MATCH("PatientID",DATOS3!$1:$1,0)))</f>
        <v>#N/A</v>
      </c>
      <c r="F322" t="e">
        <f>IF(INDEX(DATOS3!$1:$19397,A322,MATCH("SeriesDate",DATOS3!$1:$1,0))=0,"",INDEX(DATOS3!$1:$19397,A322,MATCH("SeriesDate",DATOS3!$1:$1,0)))</f>
        <v>#N/A</v>
      </c>
      <c r="G322" t="e">
        <f>IF(INDEX(DATOS3!$1:$19397,A322,MATCH("SeriesTime",DATOS3!$1:$1,0))=0,"",INDEX(DATOS3!$1:$19397,A322,MATCH("SeriesTime",DATOS3!$1:$1,0)))</f>
        <v>#N/A</v>
      </c>
      <c r="H322" t="e">
        <f>IF(INDEX(DATOS3!$1:$19397,A322,MATCH("StudyDescription",DATOS3!$1:$1,0))=0,"",INDEX(DATOS3!$1:$19397,A322,MATCH("StudyDescription",DATOS3!$1:$1,0)))</f>
        <v>#N/A</v>
      </c>
      <c r="I322" t="e">
        <f>IF(INDEX(DATOS3!$1:$19397,A322,MATCH("Dose_Area_Product_Total",DATOS3!$1:$1,0))=0,0,INDEX(DATOS3!$1:$19397,A322,MATCH("Dose_Area_Product_Total",DATOS3!$1:$1,0)))</f>
        <v>#N/A</v>
      </c>
      <c r="J322" t="e">
        <f>IF(INDEX(DATOS3!$1:$19397,A322,MATCH("Dose_RP_Total",DATOS3!$1:$1,0))=0,0,INDEX(DATOS3!$1:$19397,A322,MATCH("Dose_RP_Total",DATOS3!$1:$1,0)))</f>
        <v>#N/A</v>
      </c>
      <c r="K322" t="e">
        <f>IF(INDEX(DATOS3!$1:$19397,A322,MATCH("Total_Fluoro_Time",DATOS3!$1:$1,0))=0,0,INDEX(DATOS3!$1:$19397,A322,MATCH("Total_Fluoro_Time",DATOS3!$1:$1,0)))</f>
        <v>#N/A</v>
      </c>
      <c r="L322" t="e">
        <f>IF(INDEX(DATOS3!$1:$19397,A322,MATCH("Total_Acquisition_Time",DATOS3!$1:$1,0))=0,0,INDEX(DATOS3!$1:$19397,A322,MATCH("Total_Acquisition_Time",DATOS3!$1:$1,0)))</f>
        <v>#N/A</v>
      </c>
    </row>
    <row r="323" spans="1:12" x14ac:dyDescent="0.25">
      <c r="A323">
        <v>323</v>
      </c>
      <c r="B323" t="e">
        <f t="shared" ref="B323:B386" si="5">IF(D323="","","HIBRIDO")</f>
        <v>#N/A</v>
      </c>
      <c r="D323" t="e">
        <f>IF(INDEX(DATOS3!$1:$19397,A323,MATCH("PatientID",DATOS3!$1:$1,0))=0,"",INDEX(DATOS3!$1:$19397,A323,MATCH("PatientID",DATOS3!$1:$1,0)))</f>
        <v>#N/A</v>
      </c>
      <c r="F323" t="e">
        <f>IF(INDEX(DATOS3!$1:$19397,A323,MATCH("SeriesDate",DATOS3!$1:$1,0))=0,"",INDEX(DATOS3!$1:$19397,A323,MATCH("SeriesDate",DATOS3!$1:$1,0)))</f>
        <v>#N/A</v>
      </c>
      <c r="G323" t="e">
        <f>IF(INDEX(DATOS3!$1:$19397,A323,MATCH("SeriesTime",DATOS3!$1:$1,0))=0,"",INDEX(DATOS3!$1:$19397,A323,MATCH("SeriesTime",DATOS3!$1:$1,0)))</f>
        <v>#N/A</v>
      </c>
      <c r="H323" t="e">
        <f>IF(INDEX(DATOS3!$1:$19397,A323,MATCH("StudyDescription",DATOS3!$1:$1,0))=0,"",INDEX(DATOS3!$1:$19397,A323,MATCH("StudyDescription",DATOS3!$1:$1,0)))</f>
        <v>#N/A</v>
      </c>
      <c r="I323" t="e">
        <f>IF(INDEX(DATOS3!$1:$19397,A323,MATCH("Dose_Area_Product_Total",DATOS3!$1:$1,0))=0,0,INDEX(DATOS3!$1:$19397,A323,MATCH("Dose_Area_Product_Total",DATOS3!$1:$1,0)))</f>
        <v>#N/A</v>
      </c>
      <c r="J323" t="e">
        <f>IF(INDEX(DATOS3!$1:$19397,A323,MATCH("Dose_RP_Total",DATOS3!$1:$1,0))=0,0,INDEX(DATOS3!$1:$19397,A323,MATCH("Dose_RP_Total",DATOS3!$1:$1,0)))</f>
        <v>#N/A</v>
      </c>
      <c r="K323" t="e">
        <f>IF(INDEX(DATOS3!$1:$19397,A323,MATCH("Total_Fluoro_Time",DATOS3!$1:$1,0))=0,0,INDEX(DATOS3!$1:$19397,A323,MATCH("Total_Fluoro_Time",DATOS3!$1:$1,0)))</f>
        <v>#N/A</v>
      </c>
      <c r="L323" t="e">
        <f>IF(INDEX(DATOS3!$1:$19397,A323,MATCH("Total_Acquisition_Time",DATOS3!$1:$1,0))=0,0,INDEX(DATOS3!$1:$19397,A323,MATCH("Total_Acquisition_Time",DATOS3!$1:$1,0)))</f>
        <v>#N/A</v>
      </c>
    </row>
    <row r="324" spans="1:12" x14ac:dyDescent="0.25">
      <c r="A324">
        <v>324</v>
      </c>
      <c r="B324" t="e">
        <f t="shared" si="5"/>
        <v>#N/A</v>
      </c>
      <c r="D324" t="e">
        <f>IF(INDEX(DATOS3!$1:$19397,A324,MATCH("PatientID",DATOS3!$1:$1,0))=0,"",INDEX(DATOS3!$1:$19397,A324,MATCH("PatientID",DATOS3!$1:$1,0)))</f>
        <v>#N/A</v>
      </c>
      <c r="F324" t="e">
        <f>IF(INDEX(DATOS3!$1:$19397,A324,MATCH("SeriesDate",DATOS3!$1:$1,0))=0,"",INDEX(DATOS3!$1:$19397,A324,MATCH("SeriesDate",DATOS3!$1:$1,0)))</f>
        <v>#N/A</v>
      </c>
      <c r="G324" t="e">
        <f>IF(INDEX(DATOS3!$1:$19397,A324,MATCH("SeriesTime",DATOS3!$1:$1,0))=0,"",INDEX(DATOS3!$1:$19397,A324,MATCH("SeriesTime",DATOS3!$1:$1,0)))</f>
        <v>#N/A</v>
      </c>
      <c r="H324" t="e">
        <f>IF(INDEX(DATOS3!$1:$19397,A324,MATCH("StudyDescription",DATOS3!$1:$1,0))=0,"",INDEX(DATOS3!$1:$19397,A324,MATCH("StudyDescription",DATOS3!$1:$1,0)))</f>
        <v>#N/A</v>
      </c>
      <c r="I324" t="e">
        <f>IF(INDEX(DATOS3!$1:$19397,A324,MATCH("Dose_Area_Product_Total",DATOS3!$1:$1,0))=0,0,INDEX(DATOS3!$1:$19397,A324,MATCH("Dose_Area_Product_Total",DATOS3!$1:$1,0)))</f>
        <v>#N/A</v>
      </c>
      <c r="J324" t="e">
        <f>IF(INDEX(DATOS3!$1:$19397,A324,MATCH("Dose_RP_Total",DATOS3!$1:$1,0))=0,0,INDEX(DATOS3!$1:$19397,A324,MATCH("Dose_RP_Total",DATOS3!$1:$1,0)))</f>
        <v>#N/A</v>
      </c>
      <c r="K324" t="e">
        <f>IF(INDEX(DATOS3!$1:$19397,A324,MATCH("Total_Fluoro_Time",DATOS3!$1:$1,0))=0,0,INDEX(DATOS3!$1:$19397,A324,MATCH("Total_Fluoro_Time",DATOS3!$1:$1,0)))</f>
        <v>#N/A</v>
      </c>
      <c r="L324" t="e">
        <f>IF(INDEX(DATOS3!$1:$19397,A324,MATCH("Total_Acquisition_Time",DATOS3!$1:$1,0))=0,0,INDEX(DATOS3!$1:$19397,A324,MATCH("Total_Acquisition_Time",DATOS3!$1:$1,0)))</f>
        <v>#N/A</v>
      </c>
    </row>
    <row r="325" spans="1:12" x14ac:dyDescent="0.25">
      <c r="A325">
        <v>325</v>
      </c>
      <c r="B325" t="e">
        <f t="shared" si="5"/>
        <v>#N/A</v>
      </c>
      <c r="D325" t="e">
        <f>IF(INDEX(DATOS3!$1:$19397,A325,MATCH("PatientID",DATOS3!$1:$1,0))=0,"",INDEX(DATOS3!$1:$19397,A325,MATCH("PatientID",DATOS3!$1:$1,0)))</f>
        <v>#N/A</v>
      </c>
      <c r="F325" t="e">
        <f>IF(INDEX(DATOS3!$1:$19397,A325,MATCH("SeriesDate",DATOS3!$1:$1,0))=0,"",INDEX(DATOS3!$1:$19397,A325,MATCH("SeriesDate",DATOS3!$1:$1,0)))</f>
        <v>#N/A</v>
      </c>
      <c r="G325" t="e">
        <f>IF(INDEX(DATOS3!$1:$19397,A325,MATCH("SeriesTime",DATOS3!$1:$1,0))=0,"",INDEX(DATOS3!$1:$19397,A325,MATCH("SeriesTime",DATOS3!$1:$1,0)))</f>
        <v>#N/A</v>
      </c>
      <c r="H325" t="e">
        <f>IF(INDEX(DATOS3!$1:$19397,A325,MATCH("StudyDescription",DATOS3!$1:$1,0))=0,"",INDEX(DATOS3!$1:$19397,A325,MATCH("StudyDescription",DATOS3!$1:$1,0)))</f>
        <v>#N/A</v>
      </c>
      <c r="I325" t="e">
        <f>IF(INDEX(DATOS3!$1:$19397,A325,MATCH("Dose_Area_Product_Total",DATOS3!$1:$1,0))=0,0,INDEX(DATOS3!$1:$19397,A325,MATCH("Dose_Area_Product_Total",DATOS3!$1:$1,0)))</f>
        <v>#N/A</v>
      </c>
      <c r="J325" t="e">
        <f>IF(INDEX(DATOS3!$1:$19397,A325,MATCH("Dose_RP_Total",DATOS3!$1:$1,0))=0,0,INDEX(DATOS3!$1:$19397,A325,MATCH("Dose_RP_Total",DATOS3!$1:$1,0)))</f>
        <v>#N/A</v>
      </c>
      <c r="K325" t="e">
        <f>IF(INDEX(DATOS3!$1:$19397,A325,MATCH("Total_Fluoro_Time",DATOS3!$1:$1,0))=0,0,INDEX(DATOS3!$1:$19397,A325,MATCH("Total_Fluoro_Time",DATOS3!$1:$1,0)))</f>
        <v>#N/A</v>
      </c>
      <c r="L325" t="e">
        <f>IF(INDEX(DATOS3!$1:$19397,A325,MATCH("Total_Acquisition_Time",DATOS3!$1:$1,0))=0,0,INDEX(DATOS3!$1:$19397,A325,MATCH("Total_Acquisition_Time",DATOS3!$1:$1,0)))</f>
        <v>#N/A</v>
      </c>
    </row>
    <row r="326" spans="1:12" x14ac:dyDescent="0.25">
      <c r="A326">
        <v>326</v>
      </c>
      <c r="B326" t="e">
        <f t="shared" si="5"/>
        <v>#N/A</v>
      </c>
      <c r="D326" t="e">
        <f>IF(INDEX(DATOS3!$1:$19397,A326,MATCH("PatientID",DATOS3!$1:$1,0))=0,"",INDEX(DATOS3!$1:$19397,A326,MATCH("PatientID",DATOS3!$1:$1,0)))</f>
        <v>#N/A</v>
      </c>
      <c r="F326" t="e">
        <f>IF(INDEX(DATOS3!$1:$19397,A326,MATCH("SeriesDate",DATOS3!$1:$1,0))=0,"",INDEX(DATOS3!$1:$19397,A326,MATCH("SeriesDate",DATOS3!$1:$1,0)))</f>
        <v>#N/A</v>
      </c>
      <c r="G326" t="e">
        <f>IF(INDEX(DATOS3!$1:$19397,A326,MATCH("SeriesTime",DATOS3!$1:$1,0))=0,"",INDEX(DATOS3!$1:$19397,A326,MATCH("SeriesTime",DATOS3!$1:$1,0)))</f>
        <v>#N/A</v>
      </c>
      <c r="H326" t="e">
        <f>IF(INDEX(DATOS3!$1:$19397,A326,MATCH("StudyDescription",DATOS3!$1:$1,0))=0,"",INDEX(DATOS3!$1:$19397,A326,MATCH("StudyDescription",DATOS3!$1:$1,0)))</f>
        <v>#N/A</v>
      </c>
      <c r="I326" t="e">
        <f>IF(INDEX(DATOS3!$1:$19397,A326,MATCH("Dose_Area_Product_Total",DATOS3!$1:$1,0))=0,0,INDEX(DATOS3!$1:$19397,A326,MATCH("Dose_Area_Product_Total",DATOS3!$1:$1,0)))</f>
        <v>#N/A</v>
      </c>
      <c r="J326" t="e">
        <f>IF(INDEX(DATOS3!$1:$19397,A326,MATCH("Dose_RP_Total",DATOS3!$1:$1,0))=0,0,INDEX(DATOS3!$1:$19397,A326,MATCH("Dose_RP_Total",DATOS3!$1:$1,0)))</f>
        <v>#N/A</v>
      </c>
      <c r="K326" t="e">
        <f>IF(INDEX(DATOS3!$1:$19397,A326,MATCH("Total_Fluoro_Time",DATOS3!$1:$1,0))=0,0,INDEX(DATOS3!$1:$19397,A326,MATCH("Total_Fluoro_Time",DATOS3!$1:$1,0)))</f>
        <v>#N/A</v>
      </c>
      <c r="L326" t="e">
        <f>IF(INDEX(DATOS3!$1:$19397,A326,MATCH("Total_Acquisition_Time",DATOS3!$1:$1,0))=0,0,INDEX(DATOS3!$1:$19397,A326,MATCH("Total_Acquisition_Time",DATOS3!$1:$1,0)))</f>
        <v>#N/A</v>
      </c>
    </row>
    <row r="327" spans="1:12" x14ac:dyDescent="0.25">
      <c r="A327">
        <v>327</v>
      </c>
      <c r="B327" t="e">
        <f t="shared" si="5"/>
        <v>#N/A</v>
      </c>
      <c r="D327" t="e">
        <f>IF(INDEX(DATOS3!$1:$19397,A327,MATCH("PatientID",DATOS3!$1:$1,0))=0,"",INDEX(DATOS3!$1:$19397,A327,MATCH("PatientID",DATOS3!$1:$1,0)))</f>
        <v>#N/A</v>
      </c>
      <c r="F327" t="e">
        <f>IF(INDEX(DATOS3!$1:$19397,A327,MATCH("SeriesDate",DATOS3!$1:$1,0))=0,"",INDEX(DATOS3!$1:$19397,A327,MATCH("SeriesDate",DATOS3!$1:$1,0)))</f>
        <v>#N/A</v>
      </c>
      <c r="G327" t="e">
        <f>IF(INDEX(DATOS3!$1:$19397,A327,MATCH("SeriesTime",DATOS3!$1:$1,0))=0,"",INDEX(DATOS3!$1:$19397,A327,MATCH("SeriesTime",DATOS3!$1:$1,0)))</f>
        <v>#N/A</v>
      </c>
      <c r="H327" t="e">
        <f>IF(INDEX(DATOS3!$1:$19397,A327,MATCH("StudyDescription",DATOS3!$1:$1,0))=0,"",INDEX(DATOS3!$1:$19397,A327,MATCH("StudyDescription",DATOS3!$1:$1,0)))</f>
        <v>#N/A</v>
      </c>
      <c r="I327" t="e">
        <f>IF(INDEX(DATOS3!$1:$19397,A327,MATCH("Dose_Area_Product_Total",DATOS3!$1:$1,0))=0,0,INDEX(DATOS3!$1:$19397,A327,MATCH("Dose_Area_Product_Total",DATOS3!$1:$1,0)))</f>
        <v>#N/A</v>
      </c>
      <c r="J327" t="e">
        <f>IF(INDEX(DATOS3!$1:$19397,A327,MATCH("Dose_RP_Total",DATOS3!$1:$1,0))=0,0,INDEX(DATOS3!$1:$19397,A327,MATCH("Dose_RP_Total",DATOS3!$1:$1,0)))</f>
        <v>#N/A</v>
      </c>
      <c r="K327" t="e">
        <f>IF(INDEX(DATOS3!$1:$19397,A327,MATCH("Total_Fluoro_Time",DATOS3!$1:$1,0))=0,0,INDEX(DATOS3!$1:$19397,A327,MATCH("Total_Fluoro_Time",DATOS3!$1:$1,0)))</f>
        <v>#N/A</v>
      </c>
      <c r="L327" t="e">
        <f>IF(INDEX(DATOS3!$1:$19397,A327,MATCH("Total_Acquisition_Time",DATOS3!$1:$1,0))=0,0,INDEX(DATOS3!$1:$19397,A327,MATCH("Total_Acquisition_Time",DATOS3!$1:$1,0)))</f>
        <v>#N/A</v>
      </c>
    </row>
    <row r="328" spans="1:12" x14ac:dyDescent="0.25">
      <c r="A328">
        <v>328</v>
      </c>
      <c r="B328" t="e">
        <f t="shared" si="5"/>
        <v>#N/A</v>
      </c>
      <c r="D328" t="e">
        <f>IF(INDEX(DATOS3!$1:$19397,A328,MATCH("PatientID",DATOS3!$1:$1,0))=0,"",INDEX(DATOS3!$1:$19397,A328,MATCH("PatientID",DATOS3!$1:$1,0)))</f>
        <v>#N/A</v>
      </c>
      <c r="F328" t="e">
        <f>IF(INDEX(DATOS3!$1:$19397,A328,MATCH("SeriesDate",DATOS3!$1:$1,0))=0,"",INDEX(DATOS3!$1:$19397,A328,MATCH("SeriesDate",DATOS3!$1:$1,0)))</f>
        <v>#N/A</v>
      </c>
      <c r="G328" t="e">
        <f>IF(INDEX(DATOS3!$1:$19397,A328,MATCH("SeriesTime",DATOS3!$1:$1,0))=0,"",INDEX(DATOS3!$1:$19397,A328,MATCH("SeriesTime",DATOS3!$1:$1,0)))</f>
        <v>#N/A</v>
      </c>
      <c r="H328" t="e">
        <f>IF(INDEX(DATOS3!$1:$19397,A328,MATCH("StudyDescription",DATOS3!$1:$1,0))=0,"",INDEX(DATOS3!$1:$19397,A328,MATCH("StudyDescription",DATOS3!$1:$1,0)))</f>
        <v>#N/A</v>
      </c>
      <c r="I328" t="e">
        <f>IF(INDEX(DATOS3!$1:$19397,A328,MATCH("Dose_Area_Product_Total",DATOS3!$1:$1,0))=0,0,INDEX(DATOS3!$1:$19397,A328,MATCH("Dose_Area_Product_Total",DATOS3!$1:$1,0)))</f>
        <v>#N/A</v>
      </c>
      <c r="J328" t="e">
        <f>IF(INDEX(DATOS3!$1:$19397,A328,MATCH("Dose_RP_Total",DATOS3!$1:$1,0))=0,0,INDEX(DATOS3!$1:$19397,A328,MATCH("Dose_RP_Total",DATOS3!$1:$1,0)))</f>
        <v>#N/A</v>
      </c>
      <c r="K328" t="e">
        <f>IF(INDEX(DATOS3!$1:$19397,A328,MATCH("Total_Fluoro_Time",DATOS3!$1:$1,0))=0,0,INDEX(DATOS3!$1:$19397,A328,MATCH("Total_Fluoro_Time",DATOS3!$1:$1,0)))</f>
        <v>#N/A</v>
      </c>
      <c r="L328" t="e">
        <f>IF(INDEX(DATOS3!$1:$19397,A328,MATCH("Total_Acquisition_Time",DATOS3!$1:$1,0))=0,0,INDEX(DATOS3!$1:$19397,A328,MATCH("Total_Acquisition_Time",DATOS3!$1:$1,0)))</f>
        <v>#N/A</v>
      </c>
    </row>
    <row r="329" spans="1:12" x14ac:dyDescent="0.25">
      <c r="A329">
        <v>329</v>
      </c>
      <c r="B329" t="e">
        <f t="shared" si="5"/>
        <v>#N/A</v>
      </c>
      <c r="D329" t="e">
        <f>IF(INDEX(DATOS3!$1:$19397,A329,MATCH("PatientID",DATOS3!$1:$1,0))=0,"",INDEX(DATOS3!$1:$19397,A329,MATCH("PatientID",DATOS3!$1:$1,0)))</f>
        <v>#N/A</v>
      </c>
      <c r="F329" t="e">
        <f>IF(INDEX(DATOS3!$1:$19397,A329,MATCH("SeriesDate",DATOS3!$1:$1,0))=0,"",INDEX(DATOS3!$1:$19397,A329,MATCH("SeriesDate",DATOS3!$1:$1,0)))</f>
        <v>#N/A</v>
      </c>
      <c r="G329" t="e">
        <f>IF(INDEX(DATOS3!$1:$19397,A329,MATCH("SeriesTime",DATOS3!$1:$1,0))=0,"",INDEX(DATOS3!$1:$19397,A329,MATCH("SeriesTime",DATOS3!$1:$1,0)))</f>
        <v>#N/A</v>
      </c>
      <c r="H329" t="e">
        <f>IF(INDEX(DATOS3!$1:$19397,A329,MATCH("StudyDescription",DATOS3!$1:$1,0))=0,"",INDEX(DATOS3!$1:$19397,A329,MATCH("StudyDescription",DATOS3!$1:$1,0)))</f>
        <v>#N/A</v>
      </c>
      <c r="I329" t="e">
        <f>IF(INDEX(DATOS3!$1:$19397,A329,MATCH("Dose_Area_Product_Total",DATOS3!$1:$1,0))=0,0,INDEX(DATOS3!$1:$19397,A329,MATCH("Dose_Area_Product_Total",DATOS3!$1:$1,0)))</f>
        <v>#N/A</v>
      </c>
      <c r="J329" t="e">
        <f>IF(INDEX(DATOS3!$1:$19397,A329,MATCH("Dose_RP_Total",DATOS3!$1:$1,0))=0,0,INDEX(DATOS3!$1:$19397,A329,MATCH("Dose_RP_Total",DATOS3!$1:$1,0)))</f>
        <v>#N/A</v>
      </c>
      <c r="K329" t="e">
        <f>IF(INDEX(DATOS3!$1:$19397,A329,MATCH("Total_Fluoro_Time",DATOS3!$1:$1,0))=0,0,INDEX(DATOS3!$1:$19397,A329,MATCH("Total_Fluoro_Time",DATOS3!$1:$1,0)))</f>
        <v>#N/A</v>
      </c>
      <c r="L329" t="e">
        <f>IF(INDEX(DATOS3!$1:$19397,A329,MATCH("Total_Acquisition_Time",DATOS3!$1:$1,0))=0,0,INDEX(DATOS3!$1:$19397,A329,MATCH("Total_Acquisition_Time",DATOS3!$1:$1,0)))</f>
        <v>#N/A</v>
      </c>
    </row>
    <row r="330" spans="1:12" x14ac:dyDescent="0.25">
      <c r="A330">
        <v>330</v>
      </c>
      <c r="B330" t="e">
        <f t="shared" si="5"/>
        <v>#N/A</v>
      </c>
      <c r="D330" t="e">
        <f>IF(INDEX(DATOS3!$1:$19397,A330,MATCH("PatientID",DATOS3!$1:$1,0))=0,"",INDEX(DATOS3!$1:$19397,A330,MATCH("PatientID",DATOS3!$1:$1,0)))</f>
        <v>#N/A</v>
      </c>
      <c r="F330" t="e">
        <f>IF(INDEX(DATOS3!$1:$19397,A330,MATCH("SeriesDate",DATOS3!$1:$1,0))=0,"",INDEX(DATOS3!$1:$19397,A330,MATCH("SeriesDate",DATOS3!$1:$1,0)))</f>
        <v>#N/A</v>
      </c>
      <c r="G330" t="e">
        <f>IF(INDEX(DATOS3!$1:$19397,A330,MATCH("SeriesTime",DATOS3!$1:$1,0))=0,"",INDEX(DATOS3!$1:$19397,A330,MATCH("SeriesTime",DATOS3!$1:$1,0)))</f>
        <v>#N/A</v>
      </c>
      <c r="H330" t="e">
        <f>IF(INDEX(DATOS3!$1:$19397,A330,MATCH("StudyDescription",DATOS3!$1:$1,0))=0,"",INDEX(DATOS3!$1:$19397,A330,MATCH("StudyDescription",DATOS3!$1:$1,0)))</f>
        <v>#N/A</v>
      </c>
      <c r="I330" t="e">
        <f>IF(INDEX(DATOS3!$1:$19397,A330,MATCH("Dose_Area_Product_Total",DATOS3!$1:$1,0))=0,0,INDEX(DATOS3!$1:$19397,A330,MATCH("Dose_Area_Product_Total",DATOS3!$1:$1,0)))</f>
        <v>#N/A</v>
      </c>
      <c r="J330" t="e">
        <f>IF(INDEX(DATOS3!$1:$19397,A330,MATCH("Dose_RP_Total",DATOS3!$1:$1,0))=0,0,INDEX(DATOS3!$1:$19397,A330,MATCH("Dose_RP_Total",DATOS3!$1:$1,0)))</f>
        <v>#N/A</v>
      </c>
      <c r="K330" t="e">
        <f>IF(INDEX(DATOS3!$1:$19397,A330,MATCH("Total_Fluoro_Time",DATOS3!$1:$1,0))=0,0,INDEX(DATOS3!$1:$19397,A330,MATCH("Total_Fluoro_Time",DATOS3!$1:$1,0)))</f>
        <v>#N/A</v>
      </c>
      <c r="L330" t="e">
        <f>IF(INDEX(DATOS3!$1:$19397,A330,MATCH("Total_Acquisition_Time",DATOS3!$1:$1,0))=0,0,INDEX(DATOS3!$1:$19397,A330,MATCH("Total_Acquisition_Time",DATOS3!$1:$1,0)))</f>
        <v>#N/A</v>
      </c>
    </row>
    <row r="331" spans="1:12" x14ac:dyDescent="0.25">
      <c r="A331">
        <v>331</v>
      </c>
      <c r="B331" t="e">
        <f t="shared" si="5"/>
        <v>#N/A</v>
      </c>
      <c r="D331" t="e">
        <f>IF(INDEX(DATOS3!$1:$19397,A331,MATCH("PatientID",DATOS3!$1:$1,0))=0,"",INDEX(DATOS3!$1:$19397,A331,MATCH("PatientID",DATOS3!$1:$1,0)))</f>
        <v>#N/A</v>
      </c>
      <c r="F331" t="e">
        <f>IF(INDEX(DATOS3!$1:$19397,A331,MATCH("SeriesDate",DATOS3!$1:$1,0))=0,"",INDEX(DATOS3!$1:$19397,A331,MATCH("SeriesDate",DATOS3!$1:$1,0)))</f>
        <v>#N/A</v>
      </c>
      <c r="G331" t="e">
        <f>IF(INDEX(DATOS3!$1:$19397,A331,MATCH("SeriesTime",DATOS3!$1:$1,0))=0,"",INDEX(DATOS3!$1:$19397,A331,MATCH("SeriesTime",DATOS3!$1:$1,0)))</f>
        <v>#N/A</v>
      </c>
      <c r="H331" t="e">
        <f>IF(INDEX(DATOS3!$1:$19397,A331,MATCH("StudyDescription",DATOS3!$1:$1,0))=0,"",INDEX(DATOS3!$1:$19397,A331,MATCH("StudyDescription",DATOS3!$1:$1,0)))</f>
        <v>#N/A</v>
      </c>
      <c r="I331" t="e">
        <f>IF(INDEX(DATOS3!$1:$19397,A331,MATCH("Dose_Area_Product_Total",DATOS3!$1:$1,0))=0,0,INDEX(DATOS3!$1:$19397,A331,MATCH("Dose_Area_Product_Total",DATOS3!$1:$1,0)))</f>
        <v>#N/A</v>
      </c>
      <c r="J331" t="e">
        <f>IF(INDEX(DATOS3!$1:$19397,A331,MATCH("Dose_RP_Total",DATOS3!$1:$1,0))=0,0,INDEX(DATOS3!$1:$19397,A331,MATCH("Dose_RP_Total",DATOS3!$1:$1,0)))</f>
        <v>#N/A</v>
      </c>
      <c r="K331" t="e">
        <f>IF(INDEX(DATOS3!$1:$19397,A331,MATCH("Total_Fluoro_Time",DATOS3!$1:$1,0))=0,0,INDEX(DATOS3!$1:$19397,A331,MATCH("Total_Fluoro_Time",DATOS3!$1:$1,0)))</f>
        <v>#N/A</v>
      </c>
      <c r="L331" t="e">
        <f>IF(INDEX(DATOS3!$1:$19397,A331,MATCH("Total_Acquisition_Time",DATOS3!$1:$1,0))=0,0,INDEX(DATOS3!$1:$19397,A331,MATCH("Total_Acquisition_Time",DATOS3!$1:$1,0)))</f>
        <v>#N/A</v>
      </c>
    </row>
    <row r="332" spans="1:12" x14ac:dyDescent="0.25">
      <c r="A332">
        <v>332</v>
      </c>
      <c r="B332" t="e">
        <f t="shared" si="5"/>
        <v>#N/A</v>
      </c>
      <c r="D332" t="e">
        <f>IF(INDEX(DATOS3!$1:$19397,A332,MATCH("PatientID",DATOS3!$1:$1,0))=0,"",INDEX(DATOS3!$1:$19397,A332,MATCH("PatientID",DATOS3!$1:$1,0)))</f>
        <v>#N/A</v>
      </c>
      <c r="F332" t="e">
        <f>IF(INDEX(DATOS3!$1:$19397,A332,MATCH("SeriesDate",DATOS3!$1:$1,0))=0,"",INDEX(DATOS3!$1:$19397,A332,MATCH("SeriesDate",DATOS3!$1:$1,0)))</f>
        <v>#N/A</v>
      </c>
      <c r="G332" t="e">
        <f>IF(INDEX(DATOS3!$1:$19397,A332,MATCH("SeriesTime",DATOS3!$1:$1,0))=0,"",INDEX(DATOS3!$1:$19397,A332,MATCH("SeriesTime",DATOS3!$1:$1,0)))</f>
        <v>#N/A</v>
      </c>
      <c r="H332" t="e">
        <f>IF(INDEX(DATOS3!$1:$19397,A332,MATCH("StudyDescription",DATOS3!$1:$1,0))=0,"",INDEX(DATOS3!$1:$19397,A332,MATCH("StudyDescription",DATOS3!$1:$1,0)))</f>
        <v>#N/A</v>
      </c>
      <c r="I332" t="e">
        <f>IF(INDEX(DATOS3!$1:$19397,A332,MATCH("Dose_Area_Product_Total",DATOS3!$1:$1,0))=0,0,INDEX(DATOS3!$1:$19397,A332,MATCH("Dose_Area_Product_Total",DATOS3!$1:$1,0)))</f>
        <v>#N/A</v>
      </c>
      <c r="J332" t="e">
        <f>IF(INDEX(DATOS3!$1:$19397,A332,MATCH("Dose_RP_Total",DATOS3!$1:$1,0))=0,0,INDEX(DATOS3!$1:$19397,A332,MATCH("Dose_RP_Total",DATOS3!$1:$1,0)))</f>
        <v>#N/A</v>
      </c>
      <c r="K332" t="e">
        <f>IF(INDEX(DATOS3!$1:$19397,A332,MATCH("Total_Fluoro_Time",DATOS3!$1:$1,0))=0,0,INDEX(DATOS3!$1:$19397,A332,MATCH("Total_Fluoro_Time",DATOS3!$1:$1,0)))</f>
        <v>#N/A</v>
      </c>
      <c r="L332" t="e">
        <f>IF(INDEX(DATOS3!$1:$19397,A332,MATCH("Total_Acquisition_Time",DATOS3!$1:$1,0))=0,0,INDEX(DATOS3!$1:$19397,A332,MATCH("Total_Acquisition_Time",DATOS3!$1:$1,0)))</f>
        <v>#N/A</v>
      </c>
    </row>
    <row r="333" spans="1:12" x14ac:dyDescent="0.25">
      <c r="A333">
        <v>333</v>
      </c>
      <c r="B333" t="e">
        <f t="shared" si="5"/>
        <v>#N/A</v>
      </c>
      <c r="D333" t="e">
        <f>IF(INDEX(DATOS3!$1:$19397,A333,MATCH("PatientID",DATOS3!$1:$1,0))=0,"",INDEX(DATOS3!$1:$19397,A333,MATCH("PatientID",DATOS3!$1:$1,0)))</f>
        <v>#N/A</v>
      </c>
      <c r="F333" t="e">
        <f>IF(INDEX(DATOS3!$1:$19397,A333,MATCH("SeriesDate",DATOS3!$1:$1,0))=0,"",INDEX(DATOS3!$1:$19397,A333,MATCH("SeriesDate",DATOS3!$1:$1,0)))</f>
        <v>#N/A</v>
      </c>
      <c r="G333" t="e">
        <f>IF(INDEX(DATOS3!$1:$19397,A333,MATCH("SeriesTime",DATOS3!$1:$1,0))=0,"",INDEX(DATOS3!$1:$19397,A333,MATCH("SeriesTime",DATOS3!$1:$1,0)))</f>
        <v>#N/A</v>
      </c>
      <c r="H333" t="e">
        <f>IF(INDEX(DATOS3!$1:$19397,A333,MATCH("StudyDescription",DATOS3!$1:$1,0))=0,"",INDEX(DATOS3!$1:$19397,A333,MATCH("StudyDescription",DATOS3!$1:$1,0)))</f>
        <v>#N/A</v>
      </c>
      <c r="I333" t="e">
        <f>IF(INDEX(DATOS3!$1:$19397,A333,MATCH("Dose_Area_Product_Total",DATOS3!$1:$1,0))=0,0,INDEX(DATOS3!$1:$19397,A333,MATCH("Dose_Area_Product_Total",DATOS3!$1:$1,0)))</f>
        <v>#N/A</v>
      </c>
      <c r="J333" t="e">
        <f>IF(INDEX(DATOS3!$1:$19397,A333,MATCH("Dose_RP_Total",DATOS3!$1:$1,0))=0,0,INDEX(DATOS3!$1:$19397,A333,MATCH("Dose_RP_Total",DATOS3!$1:$1,0)))</f>
        <v>#N/A</v>
      </c>
      <c r="K333" t="e">
        <f>IF(INDEX(DATOS3!$1:$19397,A333,MATCH("Total_Fluoro_Time",DATOS3!$1:$1,0))=0,0,INDEX(DATOS3!$1:$19397,A333,MATCH("Total_Fluoro_Time",DATOS3!$1:$1,0)))</f>
        <v>#N/A</v>
      </c>
      <c r="L333" t="e">
        <f>IF(INDEX(DATOS3!$1:$19397,A333,MATCH("Total_Acquisition_Time",DATOS3!$1:$1,0))=0,0,INDEX(DATOS3!$1:$19397,A333,MATCH("Total_Acquisition_Time",DATOS3!$1:$1,0)))</f>
        <v>#N/A</v>
      </c>
    </row>
    <row r="334" spans="1:12" x14ac:dyDescent="0.25">
      <c r="A334">
        <v>334</v>
      </c>
      <c r="B334" t="e">
        <f t="shared" si="5"/>
        <v>#N/A</v>
      </c>
      <c r="D334" t="e">
        <f>IF(INDEX(DATOS3!$1:$19397,A334,MATCH("PatientID",DATOS3!$1:$1,0))=0,"",INDEX(DATOS3!$1:$19397,A334,MATCH("PatientID",DATOS3!$1:$1,0)))</f>
        <v>#N/A</v>
      </c>
      <c r="F334" t="e">
        <f>IF(INDEX(DATOS3!$1:$19397,A334,MATCH("SeriesDate",DATOS3!$1:$1,0))=0,"",INDEX(DATOS3!$1:$19397,A334,MATCH("SeriesDate",DATOS3!$1:$1,0)))</f>
        <v>#N/A</v>
      </c>
      <c r="G334" t="e">
        <f>IF(INDEX(DATOS3!$1:$19397,A334,MATCH("SeriesTime",DATOS3!$1:$1,0))=0,"",INDEX(DATOS3!$1:$19397,A334,MATCH("SeriesTime",DATOS3!$1:$1,0)))</f>
        <v>#N/A</v>
      </c>
      <c r="H334" t="e">
        <f>IF(INDEX(DATOS3!$1:$19397,A334,MATCH("StudyDescription",DATOS3!$1:$1,0))=0,"",INDEX(DATOS3!$1:$19397,A334,MATCH("StudyDescription",DATOS3!$1:$1,0)))</f>
        <v>#N/A</v>
      </c>
      <c r="I334" t="e">
        <f>IF(INDEX(DATOS3!$1:$19397,A334,MATCH("Dose_Area_Product_Total",DATOS3!$1:$1,0))=0,0,INDEX(DATOS3!$1:$19397,A334,MATCH("Dose_Area_Product_Total",DATOS3!$1:$1,0)))</f>
        <v>#N/A</v>
      </c>
      <c r="J334" t="e">
        <f>IF(INDEX(DATOS3!$1:$19397,A334,MATCH("Dose_RP_Total",DATOS3!$1:$1,0))=0,0,INDEX(DATOS3!$1:$19397,A334,MATCH("Dose_RP_Total",DATOS3!$1:$1,0)))</f>
        <v>#N/A</v>
      </c>
      <c r="K334" t="e">
        <f>IF(INDEX(DATOS3!$1:$19397,A334,MATCH("Total_Fluoro_Time",DATOS3!$1:$1,0))=0,0,INDEX(DATOS3!$1:$19397,A334,MATCH("Total_Fluoro_Time",DATOS3!$1:$1,0)))</f>
        <v>#N/A</v>
      </c>
      <c r="L334" t="e">
        <f>IF(INDEX(DATOS3!$1:$19397,A334,MATCH("Total_Acquisition_Time",DATOS3!$1:$1,0))=0,0,INDEX(DATOS3!$1:$19397,A334,MATCH("Total_Acquisition_Time",DATOS3!$1:$1,0)))</f>
        <v>#N/A</v>
      </c>
    </row>
    <row r="335" spans="1:12" x14ac:dyDescent="0.25">
      <c r="A335">
        <v>335</v>
      </c>
      <c r="B335" t="e">
        <f t="shared" si="5"/>
        <v>#N/A</v>
      </c>
      <c r="D335" t="e">
        <f>IF(INDEX(DATOS3!$1:$19397,A335,MATCH("PatientID",DATOS3!$1:$1,0))=0,"",INDEX(DATOS3!$1:$19397,A335,MATCH("PatientID",DATOS3!$1:$1,0)))</f>
        <v>#N/A</v>
      </c>
      <c r="F335" t="e">
        <f>IF(INDEX(DATOS3!$1:$19397,A335,MATCH("SeriesDate",DATOS3!$1:$1,0))=0,"",INDEX(DATOS3!$1:$19397,A335,MATCH("SeriesDate",DATOS3!$1:$1,0)))</f>
        <v>#N/A</v>
      </c>
      <c r="G335" t="e">
        <f>IF(INDEX(DATOS3!$1:$19397,A335,MATCH("SeriesTime",DATOS3!$1:$1,0))=0,"",INDEX(DATOS3!$1:$19397,A335,MATCH("SeriesTime",DATOS3!$1:$1,0)))</f>
        <v>#N/A</v>
      </c>
      <c r="H335" t="e">
        <f>IF(INDEX(DATOS3!$1:$19397,A335,MATCH("StudyDescription",DATOS3!$1:$1,0))=0,"",INDEX(DATOS3!$1:$19397,A335,MATCH("StudyDescription",DATOS3!$1:$1,0)))</f>
        <v>#N/A</v>
      </c>
      <c r="I335" t="e">
        <f>IF(INDEX(DATOS3!$1:$19397,A335,MATCH("Dose_Area_Product_Total",DATOS3!$1:$1,0))=0,0,INDEX(DATOS3!$1:$19397,A335,MATCH("Dose_Area_Product_Total",DATOS3!$1:$1,0)))</f>
        <v>#N/A</v>
      </c>
      <c r="J335" t="e">
        <f>IF(INDEX(DATOS3!$1:$19397,A335,MATCH("Dose_RP_Total",DATOS3!$1:$1,0))=0,0,INDEX(DATOS3!$1:$19397,A335,MATCH("Dose_RP_Total",DATOS3!$1:$1,0)))</f>
        <v>#N/A</v>
      </c>
      <c r="K335" t="e">
        <f>IF(INDEX(DATOS3!$1:$19397,A335,MATCH("Total_Fluoro_Time",DATOS3!$1:$1,0))=0,0,INDEX(DATOS3!$1:$19397,A335,MATCH("Total_Fluoro_Time",DATOS3!$1:$1,0)))</f>
        <v>#N/A</v>
      </c>
      <c r="L335" t="e">
        <f>IF(INDEX(DATOS3!$1:$19397,A335,MATCH("Total_Acquisition_Time",DATOS3!$1:$1,0))=0,0,INDEX(DATOS3!$1:$19397,A335,MATCH("Total_Acquisition_Time",DATOS3!$1:$1,0)))</f>
        <v>#N/A</v>
      </c>
    </row>
    <row r="336" spans="1:12" x14ac:dyDescent="0.25">
      <c r="A336">
        <v>336</v>
      </c>
      <c r="B336" t="e">
        <f t="shared" si="5"/>
        <v>#N/A</v>
      </c>
      <c r="D336" t="e">
        <f>IF(INDEX(DATOS3!$1:$19397,A336,MATCH("PatientID",DATOS3!$1:$1,0))=0,"",INDEX(DATOS3!$1:$19397,A336,MATCH("PatientID",DATOS3!$1:$1,0)))</f>
        <v>#N/A</v>
      </c>
      <c r="F336" t="e">
        <f>IF(INDEX(DATOS3!$1:$19397,A336,MATCH("SeriesDate",DATOS3!$1:$1,0))=0,"",INDEX(DATOS3!$1:$19397,A336,MATCH("SeriesDate",DATOS3!$1:$1,0)))</f>
        <v>#N/A</v>
      </c>
      <c r="G336" t="e">
        <f>IF(INDEX(DATOS3!$1:$19397,A336,MATCH("SeriesTime",DATOS3!$1:$1,0))=0,"",INDEX(DATOS3!$1:$19397,A336,MATCH("SeriesTime",DATOS3!$1:$1,0)))</f>
        <v>#N/A</v>
      </c>
      <c r="H336" t="e">
        <f>IF(INDEX(DATOS3!$1:$19397,A336,MATCH("StudyDescription",DATOS3!$1:$1,0))=0,"",INDEX(DATOS3!$1:$19397,A336,MATCH("StudyDescription",DATOS3!$1:$1,0)))</f>
        <v>#N/A</v>
      </c>
      <c r="I336" t="e">
        <f>IF(INDEX(DATOS3!$1:$19397,A336,MATCH("Dose_Area_Product_Total",DATOS3!$1:$1,0))=0,0,INDEX(DATOS3!$1:$19397,A336,MATCH("Dose_Area_Product_Total",DATOS3!$1:$1,0)))</f>
        <v>#N/A</v>
      </c>
      <c r="J336" t="e">
        <f>IF(INDEX(DATOS3!$1:$19397,A336,MATCH("Dose_RP_Total",DATOS3!$1:$1,0))=0,0,INDEX(DATOS3!$1:$19397,A336,MATCH("Dose_RP_Total",DATOS3!$1:$1,0)))</f>
        <v>#N/A</v>
      </c>
      <c r="K336" t="e">
        <f>IF(INDEX(DATOS3!$1:$19397,A336,MATCH("Total_Fluoro_Time",DATOS3!$1:$1,0))=0,0,INDEX(DATOS3!$1:$19397,A336,MATCH("Total_Fluoro_Time",DATOS3!$1:$1,0)))</f>
        <v>#N/A</v>
      </c>
      <c r="L336" t="e">
        <f>IF(INDEX(DATOS3!$1:$19397,A336,MATCH("Total_Acquisition_Time",DATOS3!$1:$1,0))=0,0,INDEX(DATOS3!$1:$19397,A336,MATCH("Total_Acquisition_Time",DATOS3!$1:$1,0)))</f>
        <v>#N/A</v>
      </c>
    </row>
    <row r="337" spans="1:12" x14ac:dyDescent="0.25">
      <c r="A337">
        <v>337</v>
      </c>
      <c r="B337" t="e">
        <f t="shared" si="5"/>
        <v>#N/A</v>
      </c>
      <c r="D337" t="e">
        <f>IF(INDEX(DATOS3!$1:$19397,A337,MATCH("PatientID",DATOS3!$1:$1,0))=0,"",INDEX(DATOS3!$1:$19397,A337,MATCH("PatientID",DATOS3!$1:$1,0)))</f>
        <v>#N/A</v>
      </c>
      <c r="F337" t="e">
        <f>IF(INDEX(DATOS3!$1:$19397,A337,MATCH("SeriesDate",DATOS3!$1:$1,0))=0,"",INDEX(DATOS3!$1:$19397,A337,MATCH("SeriesDate",DATOS3!$1:$1,0)))</f>
        <v>#N/A</v>
      </c>
      <c r="G337" t="e">
        <f>IF(INDEX(DATOS3!$1:$19397,A337,MATCH("SeriesTime",DATOS3!$1:$1,0))=0,"",INDEX(DATOS3!$1:$19397,A337,MATCH("SeriesTime",DATOS3!$1:$1,0)))</f>
        <v>#N/A</v>
      </c>
      <c r="H337" t="e">
        <f>IF(INDEX(DATOS3!$1:$19397,A337,MATCH("StudyDescription",DATOS3!$1:$1,0))=0,"",INDEX(DATOS3!$1:$19397,A337,MATCH("StudyDescription",DATOS3!$1:$1,0)))</f>
        <v>#N/A</v>
      </c>
      <c r="I337" t="e">
        <f>IF(INDEX(DATOS3!$1:$19397,A337,MATCH("Dose_Area_Product_Total",DATOS3!$1:$1,0))=0,0,INDEX(DATOS3!$1:$19397,A337,MATCH("Dose_Area_Product_Total",DATOS3!$1:$1,0)))</f>
        <v>#N/A</v>
      </c>
      <c r="J337" t="e">
        <f>IF(INDEX(DATOS3!$1:$19397,A337,MATCH("Dose_RP_Total",DATOS3!$1:$1,0))=0,0,INDEX(DATOS3!$1:$19397,A337,MATCH("Dose_RP_Total",DATOS3!$1:$1,0)))</f>
        <v>#N/A</v>
      </c>
      <c r="K337" t="e">
        <f>IF(INDEX(DATOS3!$1:$19397,A337,MATCH("Total_Fluoro_Time",DATOS3!$1:$1,0))=0,0,INDEX(DATOS3!$1:$19397,A337,MATCH("Total_Fluoro_Time",DATOS3!$1:$1,0)))</f>
        <v>#N/A</v>
      </c>
      <c r="L337" t="e">
        <f>IF(INDEX(DATOS3!$1:$19397,A337,MATCH("Total_Acquisition_Time",DATOS3!$1:$1,0))=0,0,INDEX(DATOS3!$1:$19397,A337,MATCH("Total_Acquisition_Time",DATOS3!$1:$1,0)))</f>
        <v>#N/A</v>
      </c>
    </row>
    <row r="338" spans="1:12" x14ac:dyDescent="0.25">
      <c r="A338">
        <v>338</v>
      </c>
      <c r="B338" t="e">
        <f t="shared" si="5"/>
        <v>#N/A</v>
      </c>
      <c r="D338" t="e">
        <f>IF(INDEX(DATOS3!$1:$19397,A338,MATCH("PatientID",DATOS3!$1:$1,0))=0,"",INDEX(DATOS3!$1:$19397,A338,MATCH("PatientID",DATOS3!$1:$1,0)))</f>
        <v>#N/A</v>
      </c>
      <c r="F338" t="e">
        <f>IF(INDEX(DATOS3!$1:$19397,A338,MATCH("SeriesDate",DATOS3!$1:$1,0))=0,"",INDEX(DATOS3!$1:$19397,A338,MATCH("SeriesDate",DATOS3!$1:$1,0)))</f>
        <v>#N/A</v>
      </c>
      <c r="G338" t="e">
        <f>IF(INDEX(DATOS3!$1:$19397,A338,MATCH("SeriesTime",DATOS3!$1:$1,0))=0,"",INDEX(DATOS3!$1:$19397,A338,MATCH("SeriesTime",DATOS3!$1:$1,0)))</f>
        <v>#N/A</v>
      </c>
      <c r="H338" t="e">
        <f>IF(INDEX(DATOS3!$1:$19397,A338,MATCH("StudyDescription",DATOS3!$1:$1,0))=0,"",INDEX(DATOS3!$1:$19397,A338,MATCH("StudyDescription",DATOS3!$1:$1,0)))</f>
        <v>#N/A</v>
      </c>
      <c r="I338" t="e">
        <f>IF(INDEX(DATOS3!$1:$19397,A338,MATCH("Dose_Area_Product_Total",DATOS3!$1:$1,0))=0,0,INDEX(DATOS3!$1:$19397,A338,MATCH("Dose_Area_Product_Total",DATOS3!$1:$1,0)))</f>
        <v>#N/A</v>
      </c>
      <c r="J338" t="e">
        <f>IF(INDEX(DATOS3!$1:$19397,A338,MATCH("Dose_RP_Total",DATOS3!$1:$1,0))=0,0,INDEX(DATOS3!$1:$19397,A338,MATCH("Dose_RP_Total",DATOS3!$1:$1,0)))</f>
        <v>#N/A</v>
      </c>
      <c r="K338" t="e">
        <f>IF(INDEX(DATOS3!$1:$19397,A338,MATCH("Total_Fluoro_Time",DATOS3!$1:$1,0))=0,0,INDEX(DATOS3!$1:$19397,A338,MATCH("Total_Fluoro_Time",DATOS3!$1:$1,0)))</f>
        <v>#N/A</v>
      </c>
      <c r="L338" t="e">
        <f>IF(INDEX(DATOS3!$1:$19397,A338,MATCH("Total_Acquisition_Time",DATOS3!$1:$1,0))=0,0,INDEX(DATOS3!$1:$19397,A338,MATCH("Total_Acquisition_Time",DATOS3!$1:$1,0)))</f>
        <v>#N/A</v>
      </c>
    </row>
    <row r="339" spans="1:12" x14ac:dyDescent="0.25">
      <c r="A339">
        <v>339</v>
      </c>
      <c r="B339" t="e">
        <f t="shared" si="5"/>
        <v>#N/A</v>
      </c>
      <c r="D339" t="e">
        <f>IF(INDEX(DATOS3!$1:$19397,A339,MATCH("PatientID",DATOS3!$1:$1,0))=0,"",INDEX(DATOS3!$1:$19397,A339,MATCH("PatientID",DATOS3!$1:$1,0)))</f>
        <v>#N/A</v>
      </c>
      <c r="F339" t="e">
        <f>IF(INDEX(DATOS3!$1:$19397,A339,MATCH("SeriesDate",DATOS3!$1:$1,0))=0,"",INDEX(DATOS3!$1:$19397,A339,MATCH("SeriesDate",DATOS3!$1:$1,0)))</f>
        <v>#N/A</v>
      </c>
      <c r="G339" t="e">
        <f>IF(INDEX(DATOS3!$1:$19397,A339,MATCH("SeriesTime",DATOS3!$1:$1,0))=0,"",INDEX(DATOS3!$1:$19397,A339,MATCH("SeriesTime",DATOS3!$1:$1,0)))</f>
        <v>#N/A</v>
      </c>
      <c r="H339" t="e">
        <f>IF(INDEX(DATOS3!$1:$19397,A339,MATCH("StudyDescription",DATOS3!$1:$1,0))=0,"",INDEX(DATOS3!$1:$19397,A339,MATCH("StudyDescription",DATOS3!$1:$1,0)))</f>
        <v>#N/A</v>
      </c>
      <c r="I339" t="e">
        <f>IF(INDEX(DATOS3!$1:$19397,A339,MATCH("Dose_Area_Product_Total",DATOS3!$1:$1,0))=0,0,INDEX(DATOS3!$1:$19397,A339,MATCH("Dose_Area_Product_Total",DATOS3!$1:$1,0)))</f>
        <v>#N/A</v>
      </c>
      <c r="J339" t="e">
        <f>IF(INDEX(DATOS3!$1:$19397,A339,MATCH("Dose_RP_Total",DATOS3!$1:$1,0))=0,0,INDEX(DATOS3!$1:$19397,A339,MATCH("Dose_RP_Total",DATOS3!$1:$1,0)))</f>
        <v>#N/A</v>
      </c>
      <c r="K339" t="e">
        <f>IF(INDEX(DATOS3!$1:$19397,A339,MATCH("Total_Fluoro_Time",DATOS3!$1:$1,0))=0,0,INDEX(DATOS3!$1:$19397,A339,MATCH("Total_Fluoro_Time",DATOS3!$1:$1,0)))</f>
        <v>#N/A</v>
      </c>
      <c r="L339" t="e">
        <f>IF(INDEX(DATOS3!$1:$19397,A339,MATCH("Total_Acquisition_Time",DATOS3!$1:$1,0))=0,0,INDEX(DATOS3!$1:$19397,A339,MATCH("Total_Acquisition_Time",DATOS3!$1:$1,0)))</f>
        <v>#N/A</v>
      </c>
    </row>
    <row r="340" spans="1:12" x14ac:dyDescent="0.25">
      <c r="A340">
        <v>340</v>
      </c>
      <c r="B340" t="e">
        <f t="shared" si="5"/>
        <v>#N/A</v>
      </c>
      <c r="D340" t="e">
        <f>IF(INDEX(DATOS3!$1:$19397,A340,MATCH("PatientID",DATOS3!$1:$1,0))=0,"",INDEX(DATOS3!$1:$19397,A340,MATCH("PatientID",DATOS3!$1:$1,0)))</f>
        <v>#N/A</v>
      </c>
      <c r="F340" t="e">
        <f>IF(INDEX(DATOS3!$1:$19397,A340,MATCH("SeriesDate",DATOS3!$1:$1,0))=0,"",INDEX(DATOS3!$1:$19397,A340,MATCH("SeriesDate",DATOS3!$1:$1,0)))</f>
        <v>#N/A</v>
      </c>
      <c r="G340" t="e">
        <f>IF(INDEX(DATOS3!$1:$19397,A340,MATCH("SeriesTime",DATOS3!$1:$1,0))=0,"",INDEX(DATOS3!$1:$19397,A340,MATCH("SeriesTime",DATOS3!$1:$1,0)))</f>
        <v>#N/A</v>
      </c>
      <c r="H340" t="e">
        <f>IF(INDEX(DATOS3!$1:$19397,A340,MATCH("StudyDescription",DATOS3!$1:$1,0))=0,"",INDEX(DATOS3!$1:$19397,A340,MATCH("StudyDescription",DATOS3!$1:$1,0)))</f>
        <v>#N/A</v>
      </c>
      <c r="I340" t="e">
        <f>IF(INDEX(DATOS3!$1:$19397,A340,MATCH("Dose_Area_Product_Total",DATOS3!$1:$1,0))=0,0,INDEX(DATOS3!$1:$19397,A340,MATCH("Dose_Area_Product_Total",DATOS3!$1:$1,0)))</f>
        <v>#N/A</v>
      </c>
      <c r="J340" t="e">
        <f>IF(INDEX(DATOS3!$1:$19397,A340,MATCH("Dose_RP_Total",DATOS3!$1:$1,0))=0,0,INDEX(DATOS3!$1:$19397,A340,MATCH("Dose_RP_Total",DATOS3!$1:$1,0)))</f>
        <v>#N/A</v>
      </c>
      <c r="K340" t="e">
        <f>IF(INDEX(DATOS3!$1:$19397,A340,MATCH("Total_Fluoro_Time",DATOS3!$1:$1,0))=0,0,INDEX(DATOS3!$1:$19397,A340,MATCH("Total_Fluoro_Time",DATOS3!$1:$1,0)))</f>
        <v>#N/A</v>
      </c>
      <c r="L340" t="e">
        <f>IF(INDEX(DATOS3!$1:$19397,A340,MATCH("Total_Acquisition_Time",DATOS3!$1:$1,0))=0,0,INDEX(DATOS3!$1:$19397,A340,MATCH("Total_Acquisition_Time",DATOS3!$1:$1,0)))</f>
        <v>#N/A</v>
      </c>
    </row>
    <row r="341" spans="1:12" x14ac:dyDescent="0.25">
      <c r="A341">
        <v>341</v>
      </c>
      <c r="B341" t="e">
        <f t="shared" si="5"/>
        <v>#N/A</v>
      </c>
      <c r="D341" t="e">
        <f>IF(INDEX(DATOS3!$1:$19397,A341,MATCH("PatientID",DATOS3!$1:$1,0))=0,"",INDEX(DATOS3!$1:$19397,A341,MATCH("PatientID",DATOS3!$1:$1,0)))</f>
        <v>#N/A</v>
      </c>
      <c r="F341" t="e">
        <f>IF(INDEX(DATOS3!$1:$19397,A341,MATCH("SeriesDate",DATOS3!$1:$1,0))=0,"",INDEX(DATOS3!$1:$19397,A341,MATCH("SeriesDate",DATOS3!$1:$1,0)))</f>
        <v>#N/A</v>
      </c>
      <c r="G341" t="e">
        <f>IF(INDEX(DATOS3!$1:$19397,A341,MATCH("SeriesTime",DATOS3!$1:$1,0))=0,"",INDEX(DATOS3!$1:$19397,A341,MATCH("SeriesTime",DATOS3!$1:$1,0)))</f>
        <v>#N/A</v>
      </c>
      <c r="H341" t="e">
        <f>IF(INDEX(DATOS3!$1:$19397,A341,MATCH("StudyDescription",DATOS3!$1:$1,0))=0,"",INDEX(DATOS3!$1:$19397,A341,MATCH("StudyDescription",DATOS3!$1:$1,0)))</f>
        <v>#N/A</v>
      </c>
      <c r="I341" t="e">
        <f>IF(INDEX(DATOS3!$1:$19397,A341,MATCH("Dose_Area_Product_Total",DATOS3!$1:$1,0))=0,0,INDEX(DATOS3!$1:$19397,A341,MATCH("Dose_Area_Product_Total",DATOS3!$1:$1,0)))</f>
        <v>#N/A</v>
      </c>
      <c r="J341" t="e">
        <f>IF(INDEX(DATOS3!$1:$19397,A341,MATCH("Dose_RP_Total",DATOS3!$1:$1,0))=0,0,INDEX(DATOS3!$1:$19397,A341,MATCH("Dose_RP_Total",DATOS3!$1:$1,0)))</f>
        <v>#N/A</v>
      </c>
      <c r="K341" t="e">
        <f>IF(INDEX(DATOS3!$1:$19397,A341,MATCH("Total_Fluoro_Time",DATOS3!$1:$1,0))=0,0,INDEX(DATOS3!$1:$19397,A341,MATCH("Total_Fluoro_Time",DATOS3!$1:$1,0)))</f>
        <v>#N/A</v>
      </c>
      <c r="L341" t="e">
        <f>IF(INDEX(DATOS3!$1:$19397,A341,MATCH("Total_Acquisition_Time",DATOS3!$1:$1,0))=0,0,INDEX(DATOS3!$1:$19397,A341,MATCH("Total_Acquisition_Time",DATOS3!$1:$1,0)))</f>
        <v>#N/A</v>
      </c>
    </row>
    <row r="342" spans="1:12" x14ac:dyDescent="0.25">
      <c r="A342">
        <v>342</v>
      </c>
      <c r="B342" t="e">
        <f t="shared" si="5"/>
        <v>#N/A</v>
      </c>
      <c r="D342" t="e">
        <f>IF(INDEX(DATOS3!$1:$19397,A342,MATCH("PatientID",DATOS3!$1:$1,0))=0,"",INDEX(DATOS3!$1:$19397,A342,MATCH("PatientID",DATOS3!$1:$1,0)))</f>
        <v>#N/A</v>
      </c>
      <c r="F342" t="e">
        <f>IF(INDEX(DATOS3!$1:$19397,A342,MATCH("SeriesDate",DATOS3!$1:$1,0))=0,"",INDEX(DATOS3!$1:$19397,A342,MATCH("SeriesDate",DATOS3!$1:$1,0)))</f>
        <v>#N/A</v>
      </c>
      <c r="G342" t="e">
        <f>IF(INDEX(DATOS3!$1:$19397,A342,MATCH("SeriesTime",DATOS3!$1:$1,0))=0,"",INDEX(DATOS3!$1:$19397,A342,MATCH("SeriesTime",DATOS3!$1:$1,0)))</f>
        <v>#N/A</v>
      </c>
      <c r="H342" t="e">
        <f>IF(INDEX(DATOS3!$1:$19397,A342,MATCH("StudyDescription",DATOS3!$1:$1,0))=0,"",INDEX(DATOS3!$1:$19397,A342,MATCH("StudyDescription",DATOS3!$1:$1,0)))</f>
        <v>#N/A</v>
      </c>
      <c r="I342" t="e">
        <f>IF(INDEX(DATOS3!$1:$19397,A342,MATCH("Dose_Area_Product_Total",DATOS3!$1:$1,0))=0,0,INDEX(DATOS3!$1:$19397,A342,MATCH("Dose_Area_Product_Total",DATOS3!$1:$1,0)))</f>
        <v>#N/A</v>
      </c>
      <c r="J342" t="e">
        <f>IF(INDEX(DATOS3!$1:$19397,A342,MATCH("Dose_RP_Total",DATOS3!$1:$1,0))=0,0,INDEX(DATOS3!$1:$19397,A342,MATCH("Dose_RP_Total",DATOS3!$1:$1,0)))</f>
        <v>#N/A</v>
      </c>
      <c r="K342" t="e">
        <f>IF(INDEX(DATOS3!$1:$19397,A342,MATCH("Total_Fluoro_Time",DATOS3!$1:$1,0))=0,0,INDEX(DATOS3!$1:$19397,A342,MATCH("Total_Fluoro_Time",DATOS3!$1:$1,0)))</f>
        <v>#N/A</v>
      </c>
      <c r="L342" t="e">
        <f>IF(INDEX(DATOS3!$1:$19397,A342,MATCH("Total_Acquisition_Time",DATOS3!$1:$1,0))=0,0,INDEX(DATOS3!$1:$19397,A342,MATCH("Total_Acquisition_Time",DATOS3!$1:$1,0)))</f>
        <v>#N/A</v>
      </c>
    </row>
    <row r="343" spans="1:12" x14ac:dyDescent="0.25">
      <c r="A343">
        <v>343</v>
      </c>
      <c r="B343" t="e">
        <f t="shared" si="5"/>
        <v>#N/A</v>
      </c>
      <c r="D343" t="e">
        <f>IF(INDEX(DATOS3!$1:$19397,A343,MATCH("PatientID",DATOS3!$1:$1,0))=0,"",INDEX(DATOS3!$1:$19397,A343,MATCH("PatientID",DATOS3!$1:$1,0)))</f>
        <v>#N/A</v>
      </c>
      <c r="F343" t="e">
        <f>IF(INDEX(DATOS3!$1:$19397,A343,MATCH("SeriesDate",DATOS3!$1:$1,0))=0,"",INDEX(DATOS3!$1:$19397,A343,MATCH("SeriesDate",DATOS3!$1:$1,0)))</f>
        <v>#N/A</v>
      </c>
      <c r="G343" t="e">
        <f>IF(INDEX(DATOS3!$1:$19397,A343,MATCH("SeriesTime",DATOS3!$1:$1,0))=0,"",INDEX(DATOS3!$1:$19397,A343,MATCH("SeriesTime",DATOS3!$1:$1,0)))</f>
        <v>#N/A</v>
      </c>
      <c r="H343" t="e">
        <f>IF(INDEX(DATOS3!$1:$19397,A343,MATCH("StudyDescription",DATOS3!$1:$1,0))=0,"",INDEX(DATOS3!$1:$19397,A343,MATCH("StudyDescription",DATOS3!$1:$1,0)))</f>
        <v>#N/A</v>
      </c>
      <c r="I343" t="e">
        <f>IF(INDEX(DATOS3!$1:$19397,A343,MATCH("Dose_Area_Product_Total",DATOS3!$1:$1,0))=0,0,INDEX(DATOS3!$1:$19397,A343,MATCH("Dose_Area_Product_Total",DATOS3!$1:$1,0)))</f>
        <v>#N/A</v>
      </c>
      <c r="J343" t="e">
        <f>IF(INDEX(DATOS3!$1:$19397,A343,MATCH("Dose_RP_Total",DATOS3!$1:$1,0))=0,0,INDEX(DATOS3!$1:$19397,A343,MATCH("Dose_RP_Total",DATOS3!$1:$1,0)))</f>
        <v>#N/A</v>
      </c>
      <c r="K343" t="e">
        <f>IF(INDEX(DATOS3!$1:$19397,A343,MATCH("Total_Fluoro_Time",DATOS3!$1:$1,0))=0,0,INDEX(DATOS3!$1:$19397,A343,MATCH("Total_Fluoro_Time",DATOS3!$1:$1,0)))</f>
        <v>#N/A</v>
      </c>
      <c r="L343" t="e">
        <f>IF(INDEX(DATOS3!$1:$19397,A343,MATCH("Total_Acquisition_Time",DATOS3!$1:$1,0))=0,0,INDEX(DATOS3!$1:$19397,A343,MATCH("Total_Acquisition_Time",DATOS3!$1:$1,0)))</f>
        <v>#N/A</v>
      </c>
    </row>
    <row r="344" spans="1:12" x14ac:dyDescent="0.25">
      <c r="A344">
        <v>344</v>
      </c>
      <c r="B344" t="e">
        <f t="shared" si="5"/>
        <v>#N/A</v>
      </c>
      <c r="D344" t="e">
        <f>IF(INDEX(DATOS3!$1:$19397,A344,MATCH("PatientID",DATOS3!$1:$1,0))=0,"",INDEX(DATOS3!$1:$19397,A344,MATCH("PatientID",DATOS3!$1:$1,0)))</f>
        <v>#N/A</v>
      </c>
      <c r="F344" t="e">
        <f>IF(INDEX(DATOS3!$1:$19397,A344,MATCH("SeriesDate",DATOS3!$1:$1,0))=0,"",INDEX(DATOS3!$1:$19397,A344,MATCH("SeriesDate",DATOS3!$1:$1,0)))</f>
        <v>#N/A</v>
      </c>
      <c r="G344" t="e">
        <f>IF(INDEX(DATOS3!$1:$19397,A344,MATCH("SeriesTime",DATOS3!$1:$1,0))=0,"",INDEX(DATOS3!$1:$19397,A344,MATCH("SeriesTime",DATOS3!$1:$1,0)))</f>
        <v>#N/A</v>
      </c>
      <c r="H344" t="e">
        <f>IF(INDEX(DATOS3!$1:$19397,A344,MATCH("StudyDescription",DATOS3!$1:$1,0))=0,"",INDEX(DATOS3!$1:$19397,A344,MATCH("StudyDescription",DATOS3!$1:$1,0)))</f>
        <v>#N/A</v>
      </c>
      <c r="I344" t="e">
        <f>IF(INDEX(DATOS3!$1:$19397,A344,MATCH("Dose_Area_Product_Total",DATOS3!$1:$1,0))=0,0,INDEX(DATOS3!$1:$19397,A344,MATCH("Dose_Area_Product_Total",DATOS3!$1:$1,0)))</f>
        <v>#N/A</v>
      </c>
      <c r="J344" t="e">
        <f>IF(INDEX(DATOS3!$1:$19397,A344,MATCH("Dose_RP_Total",DATOS3!$1:$1,0))=0,0,INDEX(DATOS3!$1:$19397,A344,MATCH("Dose_RP_Total",DATOS3!$1:$1,0)))</f>
        <v>#N/A</v>
      </c>
      <c r="K344" t="e">
        <f>IF(INDEX(DATOS3!$1:$19397,A344,MATCH("Total_Fluoro_Time",DATOS3!$1:$1,0))=0,0,INDEX(DATOS3!$1:$19397,A344,MATCH("Total_Fluoro_Time",DATOS3!$1:$1,0)))</f>
        <v>#N/A</v>
      </c>
      <c r="L344" t="e">
        <f>IF(INDEX(DATOS3!$1:$19397,A344,MATCH("Total_Acquisition_Time",DATOS3!$1:$1,0))=0,0,INDEX(DATOS3!$1:$19397,A344,MATCH("Total_Acquisition_Time",DATOS3!$1:$1,0)))</f>
        <v>#N/A</v>
      </c>
    </row>
    <row r="345" spans="1:12" x14ac:dyDescent="0.25">
      <c r="A345">
        <v>345</v>
      </c>
      <c r="B345" t="e">
        <f t="shared" si="5"/>
        <v>#N/A</v>
      </c>
      <c r="D345" t="e">
        <f>IF(INDEX(DATOS3!$1:$19397,A345,MATCH("PatientID",DATOS3!$1:$1,0))=0,"",INDEX(DATOS3!$1:$19397,A345,MATCH("PatientID",DATOS3!$1:$1,0)))</f>
        <v>#N/A</v>
      </c>
      <c r="F345" t="e">
        <f>IF(INDEX(DATOS3!$1:$19397,A345,MATCH("SeriesDate",DATOS3!$1:$1,0))=0,"",INDEX(DATOS3!$1:$19397,A345,MATCH("SeriesDate",DATOS3!$1:$1,0)))</f>
        <v>#N/A</v>
      </c>
      <c r="G345" t="e">
        <f>IF(INDEX(DATOS3!$1:$19397,A345,MATCH("SeriesTime",DATOS3!$1:$1,0))=0,"",INDEX(DATOS3!$1:$19397,A345,MATCH("SeriesTime",DATOS3!$1:$1,0)))</f>
        <v>#N/A</v>
      </c>
      <c r="H345" t="e">
        <f>IF(INDEX(DATOS3!$1:$19397,A345,MATCH("StudyDescription",DATOS3!$1:$1,0))=0,"",INDEX(DATOS3!$1:$19397,A345,MATCH("StudyDescription",DATOS3!$1:$1,0)))</f>
        <v>#N/A</v>
      </c>
      <c r="I345" t="e">
        <f>IF(INDEX(DATOS3!$1:$19397,A345,MATCH("Dose_Area_Product_Total",DATOS3!$1:$1,0))=0,0,INDEX(DATOS3!$1:$19397,A345,MATCH("Dose_Area_Product_Total",DATOS3!$1:$1,0)))</f>
        <v>#N/A</v>
      </c>
      <c r="J345" t="e">
        <f>IF(INDEX(DATOS3!$1:$19397,A345,MATCH("Dose_RP_Total",DATOS3!$1:$1,0))=0,0,INDEX(DATOS3!$1:$19397,A345,MATCH("Dose_RP_Total",DATOS3!$1:$1,0)))</f>
        <v>#N/A</v>
      </c>
      <c r="K345" t="e">
        <f>IF(INDEX(DATOS3!$1:$19397,A345,MATCH("Total_Fluoro_Time",DATOS3!$1:$1,0))=0,0,INDEX(DATOS3!$1:$19397,A345,MATCH("Total_Fluoro_Time",DATOS3!$1:$1,0)))</f>
        <v>#N/A</v>
      </c>
      <c r="L345" t="e">
        <f>IF(INDEX(DATOS3!$1:$19397,A345,MATCH("Total_Acquisition_Time",DATOS3!$1:$1,0))=0,0,INDEX(DATOS3!$1:$19397,A345,MATCH("Total_Acquisition_Time",DATOS3!$1:$1,0)))</f>
        <v>#N/A</v>
      </c>
    </row>
    <row r="346" spans="1:12" x14ac:dyDescent="0.25">
      <c r="A346">
        <v>346</v>
      </c>
      <c r="B346" t="e">
        <f t="shared" si="5"/>
        <v>#N/A</v>
      </c>
      <c r="D346" t="e">
        <f>IF(INDEX(DATOS3!$1:$19397,A346,MATCH("PatientID",DATOS3!$1:$1,0))=0,"",INDEX(DATOS3!$1:$19397,A346,MATCH("PatientID",DATOS3!$1:$1,0)))</f>
        <v>#N/A</v>
      </c>
      <c r="F346" t="e">
        <f>IF(INDEX(DATOS3!$1:$19397,A346,MATCH("SeriesDate",DATOS3!$1:$1,0))=0,"",INDEX(DATOS3!$1:$19397,A346,MATCH("SeriesDate",DATOS3!$1:$1,0)))</f>
        <v>#N/A</v>
      </c>
      <c r="G346" t="e">
        <f>IF(INDEX(DATOS3!$1:$19397,A346,MATCH("SeriesTime",DATOS3!$1:$1,0))=0,"",INDEX(DATOS3!$1:$19397,A346,MATCH("SeriesTime",DATOS3!$1:$1,0)))</f>
        <v>#N/A</v>
      </c>
      <c r="H346" t="e">
        <f>IF(INDEX(DATOS3!$1:$19397,A346,MATCH("StudyDescription",DATOS3!$1:$1,0))=0,"",INDEX(DATOS3!$1:$19397,A346,MATCH("StudyDescription",DATOS3!$1:$1,0)))</f>
        <v>#N/A</v>
      </c>
      <c r="I346" t="e">
        <f>IF(INDEX(DATOS3!$1:$19397,A346,MATCH("Dose_Area_Product_Total",DATOS3!$1:$1,0))=0,0,INDEX(DATOS3!$1:$19397,A346,MATCH("Dose_Area_Product_Total",DATOS3!$1:$1,0)))</f>
        <v>#N/A</v>
      </c>
      <c r="J346" t="e">
        <f>IF(INDEX(DATOS3!$1:$19397,A346,MATCH("Dose_RP_Total",DATOS3!$1:$1,0))=0,0,INDEX(DATOS3!$1:$19397,A346,MATCH("Dose_RP_Total",DATOS3!$1:$1,0)))</f>
        <v>#N/A</v>
      </c>
      <c r="K346" t="e">
        <f>IF(INDEX(DATOS3!$1:$19397,A346,MATCH("Total_Fluoro_Time",DATOS3!$1:$1,0))=0,0,INDEX(DATOS3!$1:$19397,A346,MATCH("Total_Fluoro_Time",DATOS3!$1:$1,0)))</f>
        <v>#N/A</v>
      </c>
      <c r="L346" t="e">
        <f>IF(INDEX(DATOS3!$1:$19397,A346,MATCH("Total_Acquisition_Time",DATOS3!$1:$1,0))=0,0,INDEX(DATOS3!$1:$19397,A346,MATCH("Total_Acquisition_Time",DATOS3!$1:$1,0)))</f>
        <v>#N/A</v>
      </c>
    </row>
    <row r="347" spans="1:12" x14ac:dyDescent="0.25">
      <c r="A347">
        <v>347</v>
      </c>
      <c r="B347" t="e">
        <f t="shared" si="5"/>
        <v>#N/A</v>
      </c>
      <c r="D347" t="e">
        <f>IF(INDEX(DATOS3!$1:$19397,A347,MATCH("PatientID",DATOS3!$1:$1,0))=0,"",INDEX(DATOS3!$1:$19397,A347,MATCH("PatientID",DATOS3!$1:$1,0)))</f>
        <v>#N/A</v>
      </c>
      <c r="F347" t="e">
        <f>IF(INDEX(DATOS3!$1:$19397,A347,MATCH("SeriesDate",DATOS3!$1:$1,0))=0,"",INDEX(DATOS3!$1:$19397,A347,MATCH("SeriesDate",DATOS3!$1:$1,0)))</f>
        <v>#N/A</v>
      </c>
      <c r="G347" t="e">
        <f>IF(INDEX(DATOS3!$1:$19397,A347,MATCH("SeriesTime",DATOS3!$1:$1,0))=0,"",INDEX(DATOS3!$1:$19397,A347,MATCH("SeriesTime",DATOS3!$1:$1,0)))</f>
        <v>#N/A</v>
      </c>
      <c r="H347" t="e">
        <f>IF(INDEX(DATOS3!$1:$19397,A347,MATCH("StudyDescription",DATOS3!$1:$1,0))=0,"",INDEX(DATOS3!$1:$19397,A347,MATCH("StudyDescription",DATOS3!$1:$1,0)))</f>
        <v>#N/A</v>
      </c>
      <c r="I347" t="e">
        <f>IF(INDEX(DATOS3!$1:$19397,A347,MATCH("Dose_Area_Product_Total",DATOS3!$1:$1,0))=0,0,INDEX(DATOS3!$1:$19397,A347,MATCH("Dose_Area_Product_Total",DATOS3!$1:$1,0)))</f>
        <v>#N/A</v>
      </c>
      <c r="J347" t="e">
        <f>IF(INDEX(DATOS3!$1:$19397,A347,MATCH("Dose_RP_Total",DATOS3!$1:$1,0))=0,0,INDEX(DATOS3!$1:$19397,A347,MATCH("Dose_RP_Total",DATOS3!$1:$1,0)))</f>
        <v>#N/A</v>
      </c>
      <c r="K347" t="e">
        <f>IF(INDEX(DATOS3!$1:$19397,A347,MATCH("Total_Fluoro_Time",DATOS3!$1:$1,0))=0,0,INDEX(DATOS3!$1:$19397,A347,MATCH("Total_Fluoro_Time",DATOS3!$1:$1,0)))</f>
        <v>#N/A</v>
      </c>
      <c r="L347" t="e">
        <f>IF(INDEX(DATOS3!$1:$19397,A347,MATCH("Total_Acquisition_Time",DATOS3!$1:$1,0))=0,0,INDEX(DATOS3!$1:$19397,A347,MATCH("Total_Acquisition_Time",DATOS3!$1:$1,0)))</f>
        <v>#N/A</v>
      </c>
    </row>
    <row r="348" spans="1:12" x14ac:dyDescent="0.25">
      <c r="A348">
        <v>348</v>
      </c>
      <c r="B348" t="e">
        <f t="shared" si="5"/>
        <v>#N/A</v>
      </c>
      <c r="D348" t="e">
        <f>IF(INDEX(DATOS3!$1:$19397,A348,MATCH("PatientID",DATOS3!$1:$1,0))=0,"",INDEX(DATOS3!$1:$19397,A348,MATCH("PatientID",DATOS3!$1:$1,0)))</f>
        <v>#N/A</v>
      </c>
      <c r="F348" t="e">
        <f>IF(INDEX(DATOS3!$1:$19397,A348,MATCH("SeriesDate",DATOS3!$1:$1,0))=0,"",INDEX(DATOS3!$1:$19397,A348,MATCH("SeriesDate",DATOS3!$1:$1,0)))</f>
        <v>#N/A</v>
      </c>
      <c r="G348" t="e">
        <f>IF(INDEX(DATOS3!$1:$19397,A348,MATCH("SeriesTime",DATOS3!$1:$1,0))=0,"",INDEX(DATOS3!$1:$19397,A348,MATCH("SeriesTime",DATOS3!$1:$1,0)))</f>
        <v>#N/A</v>
      </c>
      <c r="H348" t="e">
        <f>IF(INDEX(DATOS3!$1:$19397,A348,MATCH("StudyDescription",DATOS3!$1:$1,0))=0,"",INDEX(DATOS3!$1:$19397,A348,MATCH("StudyDescription",DATOS3!$1:$1,0)))</f>
        <v>#N/A</v>
      </c>
      <c r="I348" t="e">
        <f>IF(INDEX(DATOS3!$1:$19397,A348,MATCH("Dose_Area_Product_Total",DATOS3!$1:$1,0))=0,0,INDEX(DATOS3!$1:$19397,A348,MATCH("Dose_Area_Product_Total",DATOS3!$1:$1,0)))</f>
        <v>#N/A</v>
      </c>
      <c r="J348" t="e">
        <f>IF(INDEX(DATOS3!$1:$19397,A348,MATCH("Dose_RP_Total",DATOS3!$1:$1,0))=0,0,INDEX(DATOS3!$1:$19397,A348,MATCH("Dose_RP_Total",DATOS3!$1:$1,0)))</f>
        <v>#N/A</v>
      </c>
      <c r="K348" t="e">
        <f>IF(INDEX(DATOS3!$1:$19397,A348,MATCH("Total_Fluoro_Time",DATOS3!$1:$1,0))=0,0,INDEX(DATOS3!$1:$19397,A348,MATCH("Total_Fluoro_Time",DATOS3!$1:$1,0)))</f>
        <v>#N/A</v>
      </c>
      <c r="L348" t="e">
        <f>IF(INDEX(DATOS3!$1:$19397,A348,MATCH("Total_Acquisition_Time",DATOS3!$1:$1,0))=0,0,INDEX(DATOS3!$1:$19397,A348,MATCH("Total_Acquisition_Time",DATOS3!$1:$1,0)))</f>
        <v>#N/A</v>
      </c>
    </row>
    <row r="349" spans="1:12" x14ac:dyDescent="0.25">
      <c r="A349">
        <v>349</v>
      </c>
      <c r="B349" t="e">
        <f t="shared" si="5"/>
        <v>#N/A</v>
      </c>
      <c r="D349" t="e">
        <f>IF(INDEX(DATOS3!$1:$19397,A349,MATCH("PatientID",DATOS3!$1:$1,0))=0,"",INDEX(DATOS3!$1:$19397,A349,MATCH("PatientID",DATOS3!$1:$1,0)))</f>
        <v>#N/A</v>
      </c>
      <c r="F349" t="e">
        <f>IF(INDEX(DATOS3!$1:$19397,A349,MATCH("SeriesDate",DATOS3!$1:$1,0))=0,"",INDEX(DATOS3!$1:$19397,A349,MATCH("SeriesDate",DATOS3!$1:$1,0)))</f>
        <v>#N/A</v>
      </c>
      <c r="G349" t="e">
        <f>IF(INDEX(DATOS3!$1:$19397,A349,MATCH("SeriesTime",DATOS3!$1:$1,0))=0,"",INDEX(DATOS3!$1:$19397,A349,MATCH("SeriesTime",DATOS3!$1:$1,0)))</f>
        <v>#N/A</v>
      </c>
      <c r="H349" t="e">
        <f>IF(INDEX(DATOS3!$1:$19397,A349,MATCH("StudyDescription",DATOS3!$1:$1,0))=0,"",INDEX(DATOS3!$1:$19397,A349,MATCH("StudyDescription",DATOS3!$1:$1,0)))</f>
        <v>#N/A</v>
      </c>
      <c r="I349" t="e">
        <f>IF(INDEX(DATOS3!$1:$19397,A349,MATCH("Dose_Area_Product_Total",DATOS3!$1:$1,0))=0,0,INDEX(DATOS3!$1:$19397,A349,MATCH("Dose_Area_Product_Total",DATOS3!$1:$1,0)))</f>
        <v>#N/A</v>
      </c>
      <c r="J349" t="e">
        <f>IF(INDEX(DATOS3!$1:$19397,A349,MATCH("Dose_RP_Total",DATOS3!$1:$1,0))=0,0,INDEX(DATOS3!$1:$19397,A349,MATCH("Dose_RP_Total",DATOS3!$1:$1,0)))</f>
        <v>#N/A</v>
      </c>
      <c r="K349" t="e">
        <f>IF(INDEX(DATOS3!$1:$19397,A349,MATCH("Total_Fluoro_Time",DATOS3!$1:$1,0))=0,0,INDEX(DATOS3!$1:$19397,A349,MATCH("Total_Fluoro_Time",DATOS3!$1:$1,0)))</f>
        <v>#N/A</v>
      </c>
      <c r="L349" t="e">
        <f>IF(INDEX(DATOS3!$1:$19397,A349,MATCH("Total_Acquisition_Time",DATOS3!$1:$1,0))=0,0,INDEX(DATOS3!$1:$19397,A349,MATCH("Total_Acquisition_Time",DATOS3!$1:$1,0)))</f>
        <v>#N/A</v>
      </c>
    </row>
    <row r="350" spans="1:12" x14ac:dyDescent="0.25">
      <c r="A350">
        <v>350</v>
      </c>
      <c r="B350" t="e">
        <f t="shared" si="5"/>
        <v>#N/A</v>
      </c>
      <c r="D350" t="e">
        <f>IF(INDEX(DATOS3!$1:$19397,A350,MATCH("PatientID",DATOS3!$1:$1,0))=0,"",INDEX(DATOS3!$1:$19397,A350,MATCH("PatientID",DATOS3!$1:$1,0)))</f>
        <v>#N/A</v>
      </c>
      <c r="F350" t="e">
        <f>IF(INDEX(DATOS3!$1:$19397,A350,MATCH("SeriesDate",DATOS3!$1:$1,0))=0,"",INDEX(DATOS3!$1:$19397,A350,MATCH("SeriesDate",DATOS3!$1:$1,0)))</f>
        <v>#N/A</v>
      </c>
      <c r="G350" t="e">
        <f>IF(INDEX(DATOS3!$1:$19397,A350,MATCH("SeriesTime",DATOS3!$1:$1,0))=0,"",INDEX(DATOS3!$1:$19397,A350,MATCH("SeriesTime",DATOS3!$1:$1,0)))</f>
        <v>#N/A</v>
      </c>
      <c r="H350" t="e">
        <f>IF(INDEX(DATOS3!$1:$19397,A350,MATCH("StudyDescription",DATOS3!$1:$1,0))=0,"",INDEX(DATOS3!$1:$19397,A350,MATCH("StudyDescription",DATOS3!$1:$1,0)))</f>
        <v>#N/A</v>
      </c>
      <c r="I350" t="e">
        <f>IF(INDEX(DATOS3!$1:$19397,A350,MATCH("Dose_Area_Product_Total",DATOS3!$1:$1,0))=0,0,INDEX(DATOS3!$1:$19397,A350,MATCH("Dose_Area_Product_Total",DATOS3!$1:$1,0)))</f>
        <v>#N/A</v>
      </c>
      <c r="J350" t="e">
        <f>IF(INDEX(DATOS3!$1:$19397,A350,MATCH("Dose_RP_Total",DATOS3!$1:$1,0))=0,0,INDEX(DATOS3!$1:$19397,A350,MATCH("Dose_RP_Total",DATOS3!$1:$1,0)))</f>
        <v>#N/A</v>
      </c>
      <c r="K350" t="e">
        <f>IF(INDEX(DATOS3!$1:$19397,A350,MATCH("Total_Fluoro_Time",DATOS3!$1:$1,0))=0,0,INDEX(DATOS3!$1:$19397,A350,MATCH("Total_Fluoro_Time",DATOS3!$1:$1,0)))</f>
        <v>#N/A</v>
      </c>
      <c r="L350" t="e">
        <f>IF(INDEX(DATOS3!$1:$19397,A350,MATCH("Total_Acquisition_Time",DATOS3!$1:$1,0))=0,0,INDEX(DATOS3!$1:$19397,A350,MATCH("Total_Acquisition_Time",DATOS3!$1:$1,0)))</f>
        <v>#N/A</v>
      </c>
    </row>
    <row r="351" spans="1:12" x14ac:dyDescent="0.25">
      <c r="A351">
        <v>351</v>
      </c>
      <c r="B351" t="e">
        <f t="shared" si="5"/>
        <v>#N/A</v>
      </c>
      <c r="D351" t="e">
        <f>IF(INDEX(DATOS3!$1:$19397,A351,MATCH("PatientID",DATOS3!$1:$1,0))=0,"",INDEX(DATOS3!$1:$19397,A351,MATCH("PatientID",DATOS3!$1:$1,0)))</f>
        <v>#N/A</v>
      </c>
      <c r="F351" t="e">
        <f>IF(INDEX(DATOS3!$1:$19397,A351,MATCH("SeriesDate",DATOS3!$1:$1,0))=0,"",INDEX(DATOS3!$1:$19397,A351,MATCH("SeriesDate",DATOS3!$1:$1,0)))</f>
        <v>#N/A</v>
      </c>
      <c r="G351" t="e">
        <f>IF(INDEX(DATOS3!$1:$19397,A351,MATCH("SeriesTime",DATOS3!$1:$1,0))=0,"",INDEX(DATOS3!$1:$19397,A351,MATCH("SeriesTime",DATOS3!$1:$1,0)))</f>
        <v>#N/A</v>
      </c>
      <c r="H351" t="e">
        <f>IF(INDEX(DATOS3!$1:$19397,A351,MATCH("StudyDescription",DATOS3!$1:$1,0))=0,"",INDEX(DATOS3!$1:$19397,A351,MATCH("StudyDescription",DATOS3!$1:$1,0)))</f>
        <v>#N/A</v>
      </c>
      <c r="I351" t="e">
        <f>IF(INDEX(DATOS3!$1:$19397,A351,MATCH("Dose_Area_Product_Total",DATOS3!$1:$1,0))=0,0,INDEX(DATOS3!$1:$19397,A351,MATCH("Dose_Area_Product_Total",DATOS3!$1:$1,0)))</f>
        <v>#N/A</v>
      </c>
      <c r="J351" t="e">
        <f>IF(INDEX(DATOS3!$1:$19397,A351,MATCH("Dose_RP_Total",DATOS3!$1:$1,0))=0,0,INDEX(DATOS3!$1:$19397,A351,MATCH("Dose_RP_Total",DATOS3!$1:$1,0)))</f>
        <v>#N/A</v>
      </c>
      <c r="K351" t="e">
        <f>IF(INDEX(DATOS3!$1:$19397,A351,MATCH("Total_Fluoro_Time",DATOS3!$1:$1,0))=0,0,INDEX(DATOS3!$1:$19397,A351,MATCH("Total_Fluoro_Time",DATOS3!$1:$1,0)))</f>
        <v>#N/A</v>
      </c>
      <c r="L351" t="e">
        <f>IF(INDEX(DATOS3!$1:$19397,A351,MATCH("Total_Acquisition_Time",DATOS3!$1:$1,0))=0,0,INDEX(DATOS3!$1:$19397,A351,MATCH("Total_Acquisition_Time",DATOS3!$1:$1,0)))</f>
        <v>#N/A</v>
      </c>
    </row>
    <row r="352" spans="1:12" x14ac:dyDescent="0.25">
      <c r="A352">
        <v>352</v>
      </c>
      <c r="B352" t="e">
        <f t="shared" si="5"/>
        <v>#N/A</v>
      </c>
      <c r="D352" t="e">
        <f>IF(INDEX(DATOS3!$1:$19397,A352,MATCH("PatientID",DATOS3!$1:$1,0))=0,"",INDEX(DATOS3!$1:$19397,A352,MATCH("PatientID",DATOS3!$1:$1,0)))</f>
        <v>#N/A</v>
      </c>
      <c r="F352" t="e">
        <f>IF(INDEX(DATOS3!$1:$19397,A352,MATCH("SeriesDate",DATOS3!$1:$1,0))=0,"",INDEX(DATOS3!$1:$19397,A352,MATCH("SeriesDate",DATOS3!$1:$1,0)))</f>
        <v>#N/A</v>
      </c>
      <c r="G352" t="e">
        <f>IF(INDEX(DATOS3!$1:$19397,A352,MATCH("SeriesTime",DATOS3!$1:$1,0))=0,"",INDEX(DATOS3!$1:$19397,A352,MATCH("SeriesTime",DATOS3!$1:$1,0)))</f>
        <v>#N/A</v>
      </c>
      <c r="H352" t="e">
        <f>IF(INDEX(DATOS3!$1:$19397,A352,MATCH("StudyDescription",DATOS3!$1:$1,0))=0,"",INDEX(DATOS3!$1:$19397,A352,MATCH("StudyDescription",DATOS3!$1:$1,0)))</f>
        <v>#N/A</v>
      </c>
      <c r="I352" t="e">
        <f>IF(INDEX(DATOS3!$1:$19397,A352,MATCH("Dose_Area_Product_Total",DATOS3!$1:$1,0))=0,0,INDEX(DATOS3!$1:$19397,A352,MATCH("Dose_Area_Product_Total",DATOS3!$1:$1,0)))</f>
        <v>#N/A</v>
      </c>
      <c r="J352" t="e">
        <f>IF(INDEX(DATOS3!$1:$19397,A352,MATCH("Dose_RP_Total",DATOS3!$1:$1,0))=0,0,INDEX(DATOS3!$1:$19397,A352,MATCH("Dose_RP_Total",DATOS3!$1:$1,0)))</f>
        <v>#N/A</v>
      </c>
      <c r="K352" t="e">
        <f>IF(INDEX(DATOS3!$1:$19397,A352,MATCH("Total_Fluoro_Time",DATOS3!$1:$1,0))=0,0,INDEX(DATOS3!$1:$19397,A352,MATCH("Total_Fluoro_Time",DATOS3!$1:$1,0)))</f>
        <v>#N/A</v>
      </c>
      <c r="L352" t="e">
        <f>IF(INDEX(DATOS3!$1:$19397,A352,MATCH("Total_Acquisition_Time",DATOS3!$1:$1,0))=0,0,INDEX(DATOS3!$1:$19397,A352,MATCH("Total_Acquisition_Time",DATOS3!$1:$1,0)))</f>
        <v>#N/A</v>
      </c>
    </row>
    <row r="353" spans="1:12" x14ac:dyDescent="0.25">
      <c r="A353">
        <v>353</v>
      </c>
      <c r="B353" t="e">
        <f t="shared" si="5"/>
        <v>#N/A</v>
      </c>
      <c r="D353" t="e">
        <f>IF(INDEX(DATOS3!$1:$19397,A353,MATCH("PatientID",DATOS3!$1:$1,0))=0,"",INDEX(DATOS3!$1:$19397,A353,MATCH("PatientID",DATOS3!$1:$1,0)))</f>
        <v>#N/A</v>
      </c>
      <c r="F353" t="e">
        <f>IF(INDEX(DATOS3!$1:$19397,A353,MATCH("SeriesDate",DATOS3!$1:$1,0))=0,"",INDEX(DATOS3!$1:$19397,A353,MATCH("SeriesDate",DATOS3!$1:$1,0)))</f>
        <v>#N/A</v>
      </c>
      <c r="G353" t="e">
        <f>IF(INDEX(DATOS3!$1:$19397,A353,MATCH("SeriesTime",DATOS3!$1:$1,0))=0,"",INDEX(DATOS3!$1:$19397,A353,MATCH("SeriesTime",DATOS3!$1:$1,0)))</f>
        <v>#N/A</v>
      </c>
      <c r="H353" t="e">
        <f>IF(INDEX(DATOS3!$1:$19397,A353,MATCH("StudyDescription",DATOS3!$1:$1,0))=0,"",INDEX(DATOS3!$1:$19397,A353,MATCH("StudyDescription",DATOS3!$1:$1,0)))</f>
        <v>#N/A</v>
      </c>
      <c r="I353" t="e">
        <f>IF(INDEX(DATOS3!$1:$19397,A353,MATCH("Dose_Area_Product_Total",DATOS3!$1:$1,0))=0,0,INDEX(DATOS3!$1:$19397,A353,MATCH("Dose_Area_Product_Total",DATOS3!$1:$1,0)))</f>
        <v>#N/A</v>
      </c>
      <c r="J353" t="e">
        <f>IF(INDEX(DATOS3!$1:$19397,A353,MATCH("Dose_RP_Total",DATOS3!$1:$1,0))=0,0,INDEX(DATOS3!$1:$19397,A353,MATCH("Dose_RP_Total",DATOS3!$1:$1,0)))</f>
        <v>#N/A</v>
      </c>
      <c r="K353" t="e">
        <f>IF(INDEX(DATOS3!$1:$19397,A353,MATCH("Total_Fluoro_Time",DATOS3!$1:$1,0))=0,0,INDEX(DATOS3!$1:$19397,A353,MATCH("Total_Fluoro_Time",DATOS3!$1:$1,0)))</f>
        <v>#N/A</v>
      </c>
      <c r="L353" t="e">
        <f>IF(INDEX(DATOS3!$1:$19397,A353,MATCH("Total_Acquisition_Time",DATOS3!$1:$1,0))=0,0,INDEX(DATOS3!$1:$19397,A353,MATCH("Total_Acquisition_Time",DATOS3!$1:$1,0)))</f>
        <v>#N/A</v>
      </c>
    </row>
    <row r="354" spans="1:12" x14ac:dyDescent="0.25">
      <c r="A354">
        <v>354</v>
      </c>
      <c r="B354" t="e">
        <f t="shared" si="5"/>
        <v>#N/A</v>
      </c>
      <c r="D354" t="e">
        <f>IF(INDEX(DATOS3!$1:$19397,A354,MATCH("PatientID",DATOS3!$1:$1,0))=0,"",INDEX(DATOS3!$1:$19397,A354,MATCH("PatientID",DATOS3!$1:$1,0)))</f>
        <v>#N/A</v>
      </c>
      <c r="F354" t="e">
        <f>IF(INDEX(DATOS3!$1:$19397,A354,MATCH("SeriesDate",DATOS3!$1:$1,0))=0,"",INDEX(DATOS3!$1:$19397,A354,MATCH("SeriesDate",DATOS3!$1:$1,0)))</f>
        <v>#N/A</v>
      </c>
      <c r="G354" t="e">
        <f>IF(INDEX(DATOS3!$1:$19397,A354,MATCH("SeriesTime",DATOS3!$1:$1,0))=0,"",INDEX(DATOS3!$1:$19397,A354,MATCH("SeriesTime",DATOS3!$1:$1,0)))</f>
        <v>#N/A</v>
      </c>
      <c r="H354" t="e">
        <f>IF(INDEX(DATOS3!$1:$19397,A354,MATCH("StudyDescription",DATOS3!$1:$1,0))=0,"",INDEX(DATOS3!$1:$19397,A354,MATCH("StudyDescription",DATOS3!$1:$1,0)))</f>
        <v>#N/A</v>
      </c>
      <c r="I354" t="e">
        <f>IF(INDEX(DATOS3!$1:$19397,A354,MATCH("Dose_Area_Product_Total",DATOS3!$1:$1,0))=0,0,INDEX(DATOS3!$1:$19397,A354,MATCH("Dose_Area_Product_Total",DATOS3!$1:$1,0)))</f>
        <v>#N/A</v>
      </c>
      <c r="J354" t="e">
        <f>IF(INDEX(DATOS3!$1:$19397,A354,MATCH("Dose_RP_Total",DATOS3!$1:$1,0))=0,0,INDEX(DATOS3!$1:$19397,A354,MATCH("Dose_RP_Total",DATOS3!$1:$1,0)))</f>
        <v>#N/A</v>
      </c>
      <c r="K354" t="e">
        <f>IF(INDEX(DATOS3!$1:$19397,A354,MATCH("Total_Fluoro_Time",DATOS3!$1:$1,0))=0,0,INDEX(DATOS3!$1:$19397,A354,MATCH("Total_Fluoro_Time",DATOS3!$1:$1,0)))</f>
        <v>#N/A</v>
      </c>
      <c r="L354" t="e">
        <f>IF(INDEX(DATOS3!$1:$19397,A354,MATCH("Total_Acquisition_Time",DATOS3!$1:$1,0))=0,0,INDEX(DATOS3!$1:$19397,A354,MATCH("Total_Acquisition_Time",DATOS3!$1:$1,0)))</f>
        <v>#N/A</v>
      </c>
    </row>
    <row r="355" spans="1:12" x14ac:dyDescent="0.25">
      <c r="A355">
        <v>355</v>
      </c>
      <c r="B355" t="e">
        <f t="shared" si="5"/>
        <v>#N/A</v>
      </c>
      <c r="D355" t="e">
        <f>IF(INDEX(DATOS3!$1:$19397,A355,MATCH("PatientID",DATOS3!$1:$1,0))=0,"",INDEX(DATOS3!$1:$19397,A355,MATCH("PatientID",DATOS3!$1:$1,0)))</f>
        <v>#N/A</v>
      </c>
      <c r="F355" t="e">
        <f>IF(INDEX(DATOS3!$1:$19397,A355,MATCH("SeriesDate",DATOS3!$1:$1,0))=0,"",INDEX(DATOS3!$1:$19397,A355,MATCH("SeriesDate",DATOS3!$1:$1,0)))</f>
        <v>#N/A</v>
      </c>
      <c r="G355" t="e">
        <f>IF(INDEX(DATOS3!$1:$19397,A355,MATCH("SeriesTime",DATOS3!$1:$1,0))=0,"",INDEX(DATOS3!$1:$19397,A355,MATCH("SeriesTime",DATOS3!$1:$1,0)))</f>
        <v>#N/A</v>
      </c>
      <c r="H355" t="e">
        <f>IF(INDEX(DATOS3!$1:$19397,A355,MATCH("StudyDescription",DATOS3!$1:$1,0))=0,"",INDEX(DATOS3!$1:$19397,A355,MATCH("StudyDescription",DATOS3!$1:$1,0)))</f>
        <v>#N/A</v>
      </c>
      <c r="I355" t="e">
        <f>IF(INDEX(DATOS3!$1:$19397,A355,MATCH("Dose_Area_Product_Total",DATOS3!$1:$1,0))=0,0,INDEX(DATOS3!$1:$19397,A355,MATCH("Dose_Area_Product_Total",DATOS3!$1:$1,0)))</f>
        <v>#N/A</v>
      </c>
      <c r="J355" t="e">
        <f>IF(INDEX(DATOS3!$1:$19397,A355,MATCH("Dose_RP_Total",DATOS3!$1:$1,0))=0,0,INDEX(DATOS3!$1:$19397,A355,MATCH("Dose_RP_Total",DATOS3!$1:$1,0)))</f>
        <v>#N/A</v>
      </c>
      <c r="K355" t="e">
        <f>IF(INDEX(DATOS3!$1:$19397,A355,MATCH("Total_Fluoro_Time",DATOS3!$1:$1,0))=0,0,INDEX(DATOS3!$1:$19397,A355,MATCH("Total_Fluoro_Time",DATOS3!$1:$1,0)))</f>
        <v>#N/A</v>
      </c>
      <c r="L355" t="e">
        <f>IF(INDEX(DATOS3!$1:$19397,A355,MATCH("Total_Acquisition_Time",DATOS3!$1:$1,0))=0,0,INDEX(DATOS3!$1:$19397,A355,MATCH("Total_Acquisition_Time",DATOS3!$1:$1,0)))</f>
        <v>#N/A</v>
      </c>
    </row>
    <row r="356" spans="1:12" x14ac:dyDescent="0.25">
      <c r="A356">
        <v>356</v>
      </c>
      <c r="B356" t="e">
        <f t="shared" si="5"/>
        <v>#N/A</v>
      </c>
      <c r="D356" t="e">
        <f>IF(INDEX(DATOS3!$1:$19397,A356,MATCH("PatientID",DATOS3!$1:$1,0))=0,"",INDEX(DATOS3!$1:$19397,A356,MATCH("PatientID",DATOS3!$1:$1,0)))</f>
        <v>#N/A</v>
      </c>
      <c r="F356" t="e">
        <f>IF(INDEX(DATOS3!$1:$19397,A356,MATCH("SeriesDate",DATOS3!$1:$1,0))=0,"",INDEX(DATOS3!$1:$19397,A356,MATCH("SeriesDate",DATOS3!$1:$1,0)))</f>
        <v>#N/A</v>
      </c>
      <c r="G356" t="e">
        <f>IF(INDEX(DATOS3!$1:$19397,A356,MATCH("SeriesTime",DATOS3!$1:$1,0))=0,"",INDEX(DATOS3!$1:$19397,A356,MATCH("SeriesTime",DATOS3!$1:$1,0)))</f>
        <v>#N/A</v>
      </c>
      <c r="H356" t="e">
        <f>IF(INDEX(DATOS3!$1:$19397,A356,MATCH("StudyDescription",DATOS3!$1:$1,0))=0,"",INDEX(DATOS3!$1:$19397,A356,MATCH("StudyDescription",DATOS3!$1:$1,0)))</f>
        <v>#N/A</v>
      </c>
      <c r="I356" t="e">
        <f>IF(INDEX(DATOS3!$1:$19397,A356,MATCH("Dose_Area_Product_Total",DATOS3!$1:$1,0))=0,0,INDEX(DATOS3!$1:$19397,A356,MATCH("Dose_Area_Product_Total",DATOS3!$1:$1,0)))</f>
        <v>#N/A</v>
      </c>
      <c r="J356" t="e">
        <f>IF(INDEX(DATOS3!$1:$19397,A356,MATCH("Dose_RP_Total",DATOS3!$1:$1,0))=0,0,INDEX(DATOS3!$1:$19397,A356,MATCH("Dose_RP_Total",DATOS3!$1:$1,0)))</f>
        <v>#N/A</v>
      </c>
      <c r="K356" t="e">
        <f>IF(INDEX(DATOS3!$1:$19397,A356,MATCH("Total_Fluoro_Time",DATOS3!$1:$1,0))=0,0,INDEX(DATOS3!$1:$19397,A356,MATCH("Total_Fluoro_Time",DATOS3!$1:$1,0)))</f>
        <v>#N/A</v>
      </c>
      <c r="L356" t="e">
        <f>IF(INDEX(DATOS3!$1:$19397,A356,MATCH("Total_Acquisition_Time",DATOS3!$1:$1,0))=0,0,INDEX(DATOS3!$1:$19397,A356,MATCH("Total_Acquisition_Time",DATOS3!$1:$1,0)))</f>
        <v>#N/A</v>
      </c>
    </row>
    <row r="357" spans="1:12" x14ac:dyDescent="0.25">
      <c r="A357">
        <v>357</v>
      </c>
      <c r="B357" t="e">
        <f t="shared" si="5"/>
        <v>#N/A</v>
      </c>
      <c r="D357" t="e">
        <f>IF(INDEX(DATOS3!$1:$19397,A357,MATCH("PatientID",DATOS3!$1:$1,0))=0,"",INDEX(DATOS3!$1:$19397,A357,MATCH("PatientID",DATOS3!$1:$1,0)))</f>
        <v>#N/A</v>
      </c>
      <c r="F357" t="e">
        <f>IF(INDEX(DATOS3!$1:$19397,A357,MATCH("SeriesDate",DATOS3!$1:$1,0))=0,"",INDEX(DATOS3!$1:$19397,A357,MATCH("SeriesDate",DATOS3!$1:$1,0)))</f>
        <v>#N/A</v>
      </c>
      <c r="G357" t="e">
        <f>IF(INDEX(DATOS3!$1:$19397,A357,MATCH("SeriesTime",DATOS3!$1:$1,0))=0,"",INDEX(DATOS3!$1:$19397,A357,MATCH("SeriesTime",DATOS3!$1:$1,0)))</f>
        <v>#N/A</v>
      </c>
      <c r="H357" t="e">
        <f>IF(INDEX(DATOS3!$1:$19397,A357,MATCH("StudyDescription",DATOS3!$1:$1,0))=0,"",INDEX(DATOS3!$1:$19397,A357,MATCH("StudyDescription",DATOS3!$1:$1,0)))</f>
        <v>#N/A</v>
      </c>
      <c r="I357" t="e">
        <f>IF(INDEX(DATOS3!$1:$19397,A357,MATCH("Dose_Area_Product_Total",DATOS3!$1:$1,0))=0,0,INDEX(DATOS3!$1:$19397,A357,MATCH("Dose_Area_Product_Total",DATOS3!$1:$1,0)))</f>
        <v>#N/A</v>
      </c>
      <c r="J357" t="e">
        <f>IF(INDEX(DATOS3!$1:$19397,A357,MATCH("Dose_RP_Total",DATOS3!$1:$1,0))=0,0,INDEX(DATOS3!$1:$19397,A357,MATCH("Dose_RP_Total",DATOS3!$1:$1,0)))</f>
        <v>#N/A</v>
      </c>
      <c r="K357" t="e">
        <f>IF(INDEX(DATOS3!$1:$19397,A357,MATCH("Total_Fluoro_Time",DATOS3!$1:$1,0))=0,0,INDEX(DATOS3!$1:$19397,A357,MATCH("Total_Fluoro_Time",DATOS3!$1:$1,0)))</f>
        <v>#N/A</v>
      </c>
      <c r="L357" t="e">
        <f>IF(INDEX(DATOS3!$1:$19397,A357,MATCH("Total_Acquisition_Time",DATOS3!$1:$1,0))=0,0,INDEX(DATOS3!$1:$19397,A357,MATCH("Total_Acquisition_Time",DATOS3!$1:$1,0)))</f>
        <v>#N/A</v>
      </c>
    </row>
    <row r="358" spans="1:12" x14ac:dyDescent="0.25">
      <c r="A358">
        <v>358</v>
      </c>
      <c r="B358" t="e">
        <f t="shared" si="5"/>
        <v>#N/A</v>
      </c>
      <c r="D358" t="e">
        <f>IF(INDEX(DATOS3!$1:$19397,A358,MATCH("PatientID",DATOS3!$1:$1,0))=0,"",INDEX(DATOS3!$1:$19397,A358,MATCH("PatientID",DATOS3!$1:$1,0)))</f>
        <v>#N/A</v>
      </c>
      <c r="F358" t="e">
        <f>IF(INDEX(DATOS3!$1:$19397,A358,MATCH("SeriesDate",DATOS3!$1:$1,0))=0,"",INDEX(DATOS3!$1:$19397,A358,MATCH("SeriesDate",DATOS3!$1:$1,0)))</f>
        <v>#N/A</v>
      </c>
      <c r="G358" t="e">
        <f>IF(INDEX(DATOS3!$1:$19397,A358,MATCH("SeriesTime",DATOS3!$1:$1,0))=0,"",INDEX(DATOS3!$1:$19397,A358,MATCH("SeriesTime",DATOS3!$1:$1,0)))</f>
        <v>#N/A</v>
      </c>
      <c r="H358" t="e">
        <f>IF(INDEX(DATOS3!$1:$19397,A358,MATCH("StudyDescription",DATOS3!$1:$1,0))=0,"",INDEX(DATOS3!$1:$19397,A358,MATCH("StudyDescription",DATOS3!$1:$1,0)))</f>
        <v>#N/A</v>
      </c>
      <c r="I358" t="e">
        <f>IF(INDEX(DATOS3!$1:$19397,A358,MATCH("Dose_Area_Product_Total",DATOS3!$1:$1,0))=0,0,INDEX(DATOS3!$1:$19397,A358,MATCH("Dose_Area_Product_Total",DATOS3!$1:$1,0)))</f>
        <v>#N/A</v>
      </c>
      <c r="J358" t="e">
        <f>IF(INDEX(DATOS3!$1:$19397,A358,MATCH("Dose_RP_Total",DATOS3!$1:$1,0))=0,0,INDEX(DATOS3!$1:$19397,A358,MATCH("Dose_RP_Total",DATOS3!$1:$1,0)))</f>
        <v>#N/A</v>
      </c>
      <c r="K358" t="e">
        <f>IF(INDEX(DATOS3!$1:$19397,A358,MATCH("Total_Fluoro_Time",DATOS3!$1:$1,0))=0,0,INDEX(DATOS3!$1:$19397,A358,MATCH("Total_Fluoro_Time",DATOS3!$1:$1,0)))</f>
        <v>#N/A</v>
      </c>
      <c r="L358" t="e">
        <f>IF(INDEX(DATOS3!$1:$19397,A358,MATCH("Total_Acquisition_Time",DATOS3!$1:$1,0))=0,0,INDEX(DATOS3!$1:$19397,A358,MATCH("Total_Acquisition_Time",DATOS3!$1:$1,0)))</f>
        <v>#N/A</v>
      </c>
    </row>
    <row r="359" spans="1:12" x14ac:dyDescent="0.25">
      <c r="A359">
        <v>359</v>
      </c>
      <c r="B359" t="e">
        <f t="shared" si="5"/>
        <v>#N/A</v>
      </c>
      <c r="D359" t="e">
        <f>IF(INDEX(DATOS3!$1:$19397,A359,MATCH("PatientID",DATOS3!$1:$1,0))=0,"",INDEX(DATOS3!$1:$19397,A359,MATCH("PatientID",DATOS3!$1:$1,0)))</f>
        <v>#N/A</v>
      </c>
      <c r="F359" t="e">
        <f>IF(INDEX(DATOS3!$1:$19397,A359,MATCH("SeriesDate",DATOS3!$1:$1,0))=0,"",INDEX(DATOS3!$1:$19397,A359,MATCH("SeriesDate",DATOS3!$1:$1,0)))</f>
        <v>#N/A</v>
      </c>
      <c r="G359" t="e">
        <f>IF(INDEX(DATOS3!$1:$19397,A359,MATCH("SeriesTime",DATOS3!$1:$1,0))=0,"",INDEX(DATOS3!$1:$19397,A359,MATCH("SeriesTime",DATOS3!$1:$1,0)))</f>
        <v>#N/A</v>
      </c>
      <c r="H359" t="e">
        <f>IF(INDEX(DATOS3!$1:$19397,A359,MATCH("StudyDescription",DATOS3!$1:$1,0))=0,"",INDEX(DATOS3!$1:$19397,A359,MATCH("StudyDescription",DATOS3!$1:$1,0)))</f>
        <v>#N/A</v>
      </c>
      <c r="I359" t="e">
        <f>IF(INDEX(DATOS3!$1:$19397,A359,MATCH("Dose_Area_Product_Total",DATOS3!$1:$1,0))=0,0,INDEX(DATOS3!$1:$19397,A359,MATCH("Dose_Area_Product_Total",DATOS3!$1:$1,0)))</f>
        <v>#N/A</v>
      </c>
      <c r="J359" t="e">
        <f>IF(INDEX(DATOS3!$1:$19397,A359,MATCH("Dose_RP_Total",DATOS3!$1:$1,0))=0,0,INDEX(DATOS3!$1:$19397,A359,MATCH("Dose_RP_Total",DATOS3!$1:$1,0)))</f>
        <v>#N/A</v>
      </c>
      <c r="K359" t="e">
        <f>IF(INDEX(DATOS3!$1:$19397,A359,MATCH("Total_Fluoro_Time",DATOS3!$1:$1,0))=0,0,INDEX(DATOS3!$1:$19397,A359,MATCH("Total_Fluoro_Time",DATOS3!$1:$1,0)))</f>
        <v>#N/A</v>
      </c>
      <c r="L359" t="e">
        <f>IF(INDEX(DATOS3!$1:$19397,A359,MATCH("Total_Acquisition_Time",DATOS3!$1:$1,0))=0,0,INDEX(DATOS3!$1:$19397,A359,MATCH("Total_Acquisition_Time",DATOS3!$1:$1,0)))</f>
        <v>#N/A</v>
      </c>
    </row>
    <row r="360" spans="1:12" x14ac:dyDescent="0.25">
      <c r="A360">
        <v>360</v>
      </c>
      <c r="B360" t="e">
        <f t="shared" si="5"/>
        <v>#N/A</v>
      </c>
      <c r="D360" t="e">
        <f>IF(INDEX(DATOS3!$1:$19397,A360,MATCH("PatientID",DATOS3!$1:$1,0))=0,"",INDEX(DATOS3!$1:$19397,A360,MATCH("PatientID",DATOS3!$1:$1,0)))</f>
        <v>#N/A</v>
      </c>
      <c r="F360" t="e">
        <f>IF(INDEX(DATOS3!$1:$19397,A360,MATCH("SeriesDate",DATOS3!$1:$1,0))=0,"",INDEX(DATOS3!$1:$19397,A360,MATCH("SeriesDate",DATOS3!$1:$1,0)))</f>
        <v>#N/A</v>
      </c>
      <c r="G360" t="e">
        <f>IF(INDEX(DATOS3!$1:$19397,A360,MATCH("SeriesTime",DATOS3!$1:$1,0))=0,"",INDEX(DATOS3!$1:$19397,A360,MATCH("SeriesTime",DATOS3!$1:$1,0)))</f>
        <v>#N/A</v>
      </c>
      <c r="H360" t="e">
        <f>IF(INDEX(DATOS3!$1:$19397,A360,MATCH("StudyDescription",DATOS3!$1:$1,0))=0,"",INDEX(DATOS3!$1:$19397,A360,MATCH("StudyDescription",DATOS3!$1:$1,0)))</f>
        <v>#N/A</v>
      </c>
      <c r="I360" t="e">
        <f>IF(INDEX(DATOS3!$1:$19397,A360,MATCH("Dose_Area_Product_Total",DATOS3!$1:$1,0))=0,0,INDEX(DATOS3!$1:$19397,A360,MATCH("Dose_Area_Product_Total",DATOS3!$1:$1,0)))</f>
        <v>#N/A</v>
      </c>
      <c r="J360" t="e">
        <f>IF(INDEX(DATOS3!$1:$19397,A360,MATCH("Dose_RP_Total",DATOS3!$1:$1,0))=0,0,INDEX(DATOS3!$1:$19397,A360,MATCH("Dose_RP_Total",DATOS3!$1:$1,0)))</f>
        <v>#N/A</v>
      </c>
      <c r="K360" t="e">
        <f>IF(INDEX(DATOS3!$1:$19397,A360,MATCH("Total_Fluoro_Time",DATOS3!$1:$1,0))=0,0,INDEX(DATOS3!$1:$19397,A360,MATCH("Total_Fluoro_Time",DATOS3!$1:$1,0)))</f>
        <v>#N/A</v>
      </c>
      <c r="L360" t="e">
        <f>IF(INDEX(DATOS3!$1:$19397,A360,MATCH("Total_Acquisition_Time",DATOS3!$1:$1,0))=0,0,INDEX(DATOS3!$1:$19397,A360,MATCH("Total_Acquisition_Time",DATOS3!$1:$1,0)))</f>
        <v>#N/A</v>
      </c>
    </row>
    <row r="361" spans="1:12" x14ac:dyDescent="0.25">
      <c r="A361">
        <v>361</v>
      </c>
      <c r="B361" t="e">
        <f t="shared" si="5"/>
        <v>#N/A</v>
      </c>
      <c r="D361" t="e">
        <f>IF(INDEX(DATOS3!$1:$19397,A361,MATCH("PatientID",DATOS3!$1:$1,0))=0,"",INDEX(DATOS3!$1:$19397,A361,MATCH("PatientID",DATOS3!$1:$1,0)))</f>
        <v>#N/A</v>
      </c>
      <c r="F361" t="e">
        <f>IF(INDEX(DATOS3!$1:$19397,A361,MATCH("SeriesDate",DATOS3!$1:$1,0))=0,"",INDEX(DATOS3!$1:$19397,A361,MATCH("SeriesDate",DATOS3!$1:$1,0)))</f>
        <v>#N/A</v>
      </c>
      <c r="G361" t="e">
        <f>IF(INDEX(DATOS3!$1:$19397,A361,MATCH("SeriesTime",DATOS3!$1:$1,0))=0,"",INDEX(DATOS3!$1:$19397,A361,MATCH("SeriesTime",DATOS3!$1:$1,0)))</f>
        <v>#N/A</v>
      </c>
      <c r="H361" t="e">
        <f>IF(INDEX(DATOS3!$1:$19397,A361,MATCH("StudyDescription",DATOS3!$1:$1,0))=0,"",INDEX(DATOS3!$1:$19397,A361,MATCH("StudyDescription",DATOS3!$1:$1,0)))</f>
        <v>#N/A</v>
      </c>
      <c r="I361" t="e">
        <f>IF(INDEX(DATOS3!$1:$19397,A361,MATCH("Dose_Area_Product_Total",DATOS3!$1:$1,0))=0,0,INDEX(DATOS3!$1:$19397,A361,MATCH("Dose_Area_Product_Total",DATOS3!$1:$1,0)))</f>
        <v>#N/A</v>
      </c>
      <c r="J361" t="e">
        <f>IF(INDEX(DATOS3!$1:$19397,A361,MATCH("Dose_RP_Total",DATOS3!$1:$1,0))=0,0,INDEX(DATOS3!$1:$19397,A361,MATCH("Dose_RP_Total",DATOS3!$1:$1,0)))</f>
        <v>#N/A</v>
      </c>
      <c r="K361" t="e">
        <f>IF(INDEX(DATOS3!$1:$19397,A361,MATCH("Total_Fluoro_Time",DATOS3!$1:$1,0))=0,0,INDEX(DATOS3!$1:$19397,A361,MATCH("Total_Fluoro_Time",DATOS3!$1:$1,0)))</f>
        <v>#N/A</v>
      </c>
      <c r="L361" t="e">
        <f>IF(INDEX(DATOS3!$1:$19397,A361,MATCH("Total_Acquisition_Time",DATOS3!$1:$1,0))=0,0,INDEX(DATOS3!$1:$19397,A361,MATCH("Total_Acquisition_Time",DATOS3!$1:$1,0)))</f>
        <v>#N/A</v>
      </c>
    </row>
    <row r="362" spans="1:12" x14ac:dyDescent="0.25">
      <c r="A362">
        <v>362</v>
      </c>
      <c r="B362" t="e">
        <f t="shared" si="5"/>
        <v>#N/A</v>
      </c>
      <c r="D362" t="e">
        <f>IF(INDEX(DATOS3!$1:$19397,A362,MATCH("PatientID",DATOS3!$1:$1,0))=0,"",INDEX(DATOS3!$1:$19397,A362,MATCH("PatientID",DATOS3!$1:$1,0)))</f>
        <v>#N/A</v>
      </c>
      <c r="F362" t="e">
        <f>IF(INDEX(DATOS3!$1:$19397,A362,MATCH("SeriesDate",DATOS3!$1:$1,0))=0,"",INDEX(DATOS3!$1:$19397,A362,MATCH("SeriesDate",DATOS3!$1:$1,0)))</f>
        <v>#N/A</v>
      </c>
      <c r="G362" t="e">
        <f>IF(INDEX(DATOS3!$1:$19397,A362,MATCH("SeriesTime",DATOS3!$1:$1,0))=0,"",INDEX(DATOS3!$1:$19397,A362,MATCH("SeriesTime",DATOS3!$1:$1,0)))</f>
        <v>#N/A</v>
      </c>
      <c r="H362" t="e">
        <f>IF(INDEX(DATOS3!$1:$19397,A362,MATCH("StudyDescription",DATOS3!$1:$1,0))=0,"",INDEX(DATOS3!$1:$19397,A362,MATCH("StudyDescription",DATOS3!$1:$1,0)))</f>
        <v>#N/A</v>
      </c>
      <c r="I362" t="e">
        <f>IF(INDEX(DATOS3!$1:$19397,A362,MATCH("Dose_Area_Product_Total",DATOS3!$1:$1,0))=0,0,INDEX(DATOS3!$1:$19397,A362,MATCH("Dose_Area_Product_Total",DATOS3!$1:$1,0)))</f>
        <v>#N/A</v>
      </c>
      <c r="J362" t="e">
        <f>IF(INDEX(DATOS3!$1:$19397,A362,MATCH("Dose_RP_Total",DATOS3!$1:$1,0))=0,0,INDEX(DATOS3!$1:$19397,A362,MATCH("Dose_RP_Total",DATOS3!$1:$1,0)))</f>
        <v>#N/A</v>
      </c>
      <c r="K362" t="e">
        <f>IF(INDEX(DATOS3!$1:$19397,A362,MATCH("Total_Fluoro_Time",DATOS3!$1:$1,0))=0,0,INDEX(DATOS3!$1:$19397,A362,MATCH("Total_Fluoro_Time",DATOS3!$1:$1,0)))</f>
        <v>#N/A</v>
      </c>
      <c r="L362" t="e">
        <f>IF(INDEX(DATOS3!$1:$19397,A362,MATCH("Total_Acquisition_Time",DATOS3!$1:$1,0))=0,0,INDEX(DATOS3!$1:$19397,A362,MATCH("Total_Acquisition_Time",DATOS3!$1:$1,0)))</f>
        <v>#N/A</v>
      </c>
    </row>
    <row r="363" spans="1:12" x14ac:dyDescent="0.25">
      <c r="A363">
        <v>363</v>
      </c>
      <c r="B363" t="e">
        <f t="shared" si="5"/>
        <v>#N/A</v>
      </c>
      <c r="D363" t="e">
        <f>IF(INDEX(DATOS3!$1:$19397,A363,MATCH("PatientID",DATOS3!$1:$1,0))=0,"",INDEX(DATOS3!$1:$19397,A363,MATCH("PatientID",DATOS3!$1:$1,0)))</f>
        <v>#N/A</v>
      </c>
      <c r="F363" t="e">
        <f>IF(INDEX(DATOS3!$1:$19397,A363,MATCH("SeriesDate",DATOS3!$1:$1,0))=0,"",INDEX(DATOS3!$1:$19397,A363,MATCH("SeriesDate",DATOS3!$1:$1,0)))</f>
        <v>#N/A</v>
      </c>
      <c r="G363" t="e">
        <f>IF(INDEX(DATOS3!$1:$19397,A363,MATCH("SeriesTime",DATOS3!$1:$1,0))=0,"",INDEX(DATOS3!$1:$19397,A363,MATCH("SeriesTime",DATOS3!$1:$1,0)))</f>
        <v>#N/A</v>
      </c>
      <c r="H363" t="e">
        <f>IF(INDEX(DATOS3!$1:$19397,A363,MATCH("StudyDescription",DATOS3!$1:$1,0))=0,"",INDEX(DATOS3!$1:$19397,A363,MATCH("StudyDescription",DATOS3!$1:$1,0)))</f>
        <v>#N/A</v>
      </c>
      <c r="I363" t="e">
        <f>IF(INDEX(DATOS3!$1:$19397,A363,MATCH("Dose_Area_Product_Total",DATOS3!$1:$1,0))=0,0,INDEX(DATOS3!$1:$19397,A363,MATCH("Dose_Area_Product_Total",DATOS3!$1:$1,0)))</f>
        <v>#N/A</v>
      </c>
      <c r="J363" t="e">
        <f>IF(INDEX(DATOS3!$1:$19397,A363,MATCH("Dose_RP_Total",DATOS3!$1:$1,0))=0,0,INDEX(DATOS3!$1:$19397,A363,MATCH("Dose_RP_Total",DATOS3!$1:$1,0)))</f>
        <v>#N/A</v>
      </c>
      <c r="K363" t="e">
        <f>IF(INDEX(DATOS3!$1:$19397,A363,MATCH("Total_Fluoro_Time",DATOS3!$1:$1,0))=0,0,INDEX(DATOS3!$1:$19397,A363,MATCH("Total_Fluoro_Time",DATOS3!$1:$1,0)))</f>
        <v>#N/A</v>
      </c>
      <c r="L363" t="e">
        <f>IF(INDEX(DATOS3!$1:$19397,A363,MATCH("Total_Acquisition_Time",DATOS3!$1:$1,0))=0,0,INDEX(DATOS3!$1:$19397,A363,MATCH("Total_Acquisition_Time",DATOS3!$1:$1,0)))</f>
        <v>#N/A</v>
      </c>
    </row>
    <row r="364" spans="1:12" x14ac:dyDescent="0.25">
      <c r="A364">
        <v>364</v>
      </c>
      <c r="B364" t="e">
        <f t="shared" si="5"/>
        <v>#N/A</v>
      </c>
      <c r="D364" t="e">
        <f>IF(INDEX(DATOS3!$1:$19397,A364,MATCH("PatientID",DATOS3!$1:$1,0))=0,"",INDEX(DATOS3!$1:$19397,A364,MATCH("PatientID",DATOS3!$1:$1,0)))</f>
        <v>#N/A</v>
      </c>
      <c r="F364" t="e">
        <f>IF(INDEX(DATOS3!$1:$19397,A364,MATCH("SeriesDate",DATOS3!$1:$1,0))=0,"",INDEX(DATOS3!$1:$19397,A364,MATCH("SeriesDate",DATOS3!$1:$1,0)))</f>
        <v>#N/A</v>
      </c>
      <c r="G364" t="e">
        <f>IF(INDEX(DATOS3!$1:$19397,A364,MATCH("SeriesTime",DATOS3!$1:$1,0))=0,"",INDEX(DATOS3!$1:$19397,A364,MATCH("SeriesTime",DATOS3!$1:$1,0)))</f>
        <v>#N/A</v>
      </c>
      <c r="H364" t="e">
        <f>IF(INDEX(DATOS3!$1:$19397,A364,MATCH("StudyDescription",DATOS3!$1:$1,0))=0,"",INDEX(DATOS3!$1:$19397,A364,MATCH("StudyDescription",DATOS3!$1:$1,0)))</f>
        <v>#N/A</v>
      </c>
      <c r="I364" t="e">
        <f>IF(INDEX(DATOS3!$1:$19397,A364,MATCH("Dose_Area_Product_Total",DATOS3!$1:$1,0))=0,0,INDEX(DATOS3!$1:$19397,A364,MATCH("Dose_Area_Product_Total",DATOS3!$1:$1,0)))</f>
        <v>#N/A</v>
      </c>
      <c r="J364" t="e">
        <f>IF(INDEX(DATOS3!$1:$19397,A364,MATCH("Dose_RP_Total",DATOS3!$1:$1,0))=0,0,INDEX(DATOS3!$1:$19397,A364,MATCH("Dose_RP_Total",DATOS3!$1:$1,0)))</f>
        <v>#N/A</v>
      </c>
      <c r="K364" t="e">
        <f>IF(INDEX(DATOS3!$1:$19397,A364,MATCH("Total_Fluoro_Time",DATOS3!$1:$1,0))=0,0,INDEX(DATOS3!$1:$19397,A364,MATCH("Total_Fluoro_Time",DATOS3!$1:$1,0)))</f>
        <v>#N/A</v>
      </c>
      <c r="L364" t="e">
        <f>IF(INDEX(DATOS3!$1:$19397,A364,MATCH("Total_Acquisition_Time",DATOS3!$1:$1,0))=0,0,INDEX(DATOS3!$1:$19397,A364,MATCH("Total_Acquisition_Time",DATOS3!$1:$1,0)))</f>
        <v>#N/A</v>
      </c>
    </row>
    <row r="365" spans="1:12" x14ac:dyDescent="0.25">
      <c r="A365">
        <v>365</v>
      </c>
      <c r="B365" t="e">
        <f t="shared" si="5"/>
        <v>#N/A</v>
      </c>
      <c r="D365" t="e">
        <f>IF(INDEX(DATOS3!$1:$19397,A365,MATCH("PatientID",DATOS3!$1:$1,0))=0,"",INDEX(DATOS3!$1:$19397,A365,MATCH("PatientID",DATOS3!$1:$1,0)))</f>
        <v>#N/A</v>
      </c>
      <c r="F365" t="e">
        <f>IF(INDEX(DATOS3!$1:$19397,A365,MATCH("SeriesDate",DATOS3!$1:$1,0))=0,"",INDEX(DATOS3!$1:$19397,A365,MATCH("SeriesDate",DATOS3!$1:$1,0)))</f>
        <v>#N/A</v>
      </c>
      <c r="G365" t="e">
        <f>IF(INDEX(DATOS3!$1:$19397,A365,MATCH("SeriesTime",DATOS3!$1:$1,0))=0,"",INDEX(DATOS3!$1:$19397,A365,MATCH("SeriesTime",DATOS3!$1:$1,0)))</f>
        <v>#N/A</v>
      </c>
      <c r="H365" t="e">
        <f>IF(INDEX(DATOS3!$1:$19397,A365,MATCH("StudyDescription",DATOS3!$1:$1,0))=0,"",INDEX(DATOS3!$1:$19397,A365,MATCH("StudyDescription",DATOS3!$1:$1,0)))</f>
        <v>#N/A</v>
      </c>
      <c r="I365" t="e">
        <f>IF(INDEX(DATOS3!$1:$19397,A365,MATCH("Dose_Area_Product_Total",DATOS3!$1:$1,0))=0,0,INDEX(DATOS3!$1:$19397,A365,MATCH("Dose_Area_Product_Total",DATOS3!$1:$1,0)))</f>
        <v>#N/A</v>
      </c>
      <c r="J365" t="e">
        <f>IF(INDEX(DATOS3!$1:$19397,A365,MATCH("Dose_RP_Total",DATOS3!$1:$1,0))=0,0,INDEX(DATOS3!$1:$19397,A365,MATCH("Dose_RP_Total",DATOS3!$1:$1,0)))</f>
        <v>#N/A</v>
      </c>
      <c r="K365" t="e">
        <f>IF(INDEX(DATOS3!$1:$19397,A365,MATCH("Total_Fluoro_Time",DATOS3!$1:$1,0))=0,0,INDEX(DATOS3!$1:$19397,A365,MATCH("Total_Fluoro_Time",DATOS3!$1:$1,0)))</f>
        <v>#N/A</v>
      </c>
      <c r="L365" t="e">
        <f>IF(INDEX(DATOS3!$1:$19397,A365,MATCH("Total_Acquisition_Time",DATOS3!$1:$1,0))=0,0,INDEX(DATOS3!$1:$19397,A365,MATCH("Total_Acquisition_Time",DATOS3!$1:$1,0)))</f>
        <v>#N/A</v>
      </c>
    </row>
    <row r="366" spans="1:12" x14ac:dyDescent="0.25">
      <c r="A366">
        <v>366</v>
      </c>
      <c r="B366" t="e">
        <f t="shared" si="5"/>
        <v>#N/A</v>
      </c>
      <c r="D366" t="e">
        <f>IF(INDEX(DATOS3!$1:$19397,A366,MATCH("PatientID",DATOS3!$1:$1,0))=0,"",INDEX(DATOS3!$1:$19397,A366,MATCH("PatientID",DATOS3!$1:$1,0)))</f>
        <v>#N/A</v>
      </c>
      <c r="F366" t="e">
        <f>IF(INDEX(DATOS3!$1:$19397,A366,MATCH("SeriesDate",DATOS3!$1:$1,0))=0,"",INDEX(DATOS3!$1:$19397,A366,MATCH("SeriesDate",DATOS3!$1:$1,0)))</f>
        <v>#N/A</v>
      </c>
      <c r="G366" t="e">
        <f>IF(INDEX(DATOS3!$1:$19397,A366,MATCH("SeriesTime",DATOS3!$1:$1,0))=0,"",INDEX(DATOS3!$1:$19397,A366,MATCH("SeriesTime",DATOS3!$1:$1,0)))</f>
        <v>#N/A</v>
      </c>
      <c r="H366" t="e">
        <f>IF(INDEX(DATOS3!$1:$19397,A366,MATCH("StudyDescription",DATOS3!$1:$1,0))=0,"",INDEX(DATOS3!$1:$19397,A366,MATCH("StudyDescription",DATOS3!$1:$1,0)))</f>
        <v>#N/A</v>
      </c>
      <c r="I366" t="e">
        <f>IF(INDEX(DATOS3!$1:$19397,A366,MATCH("Dose_Area_Product_Total",DATOS3!$1:$1,0))=0,0,INDEX(DATOS3!$1:$19397,A366,MATCH("Dose_Area_Product_Total",DATOS3!$1:$1,0)))</f>
        <v>#N/A</v>
      </c>
      <c r="J366" t="e">
        <f>IF(INDEX(DATOS3!$1:$19397,A366,MATCH("Dose_RP_Total",DATOS3!$1:$1,0))=0,0,INDEX(DATOS3!$1:$19397,A366,MATCH("Dose_RP_Total",DATOS3!$1:$1,0)))</f>
        <v>#N/A</v>
      </c>
      <c r="K366" t="e">
        <f>IF(INDEX(DATOS3!$1:$19397,A366,MATCH("Total_Fluoro_Time",DATOS3!$1:$1,0))=0,0,INDEX(DATOS3!$1:$19397,A366,MATCH("Total_Fluoro_Time",DATOS3!$1:$1,0)))</f>
        <v>#N/A</v>
      </c>
      <c r="L366" t="e">
        <f>IF(INDEX(DATOS3!$1:$19397,A366,MATCH("Total_Acquisition_Time",DATOS3!$1:$1,0))=0,0,INDEX(DATOS3!$1:$19397,A366,MATCH("Total_Acquisition_Time",DATOS3!$1:$1,0)))</f>
        <v>#N/A</v>
      </c>
    </row>
    <row r="367" spans="1:12" x14ac:dyDescent="0.25">
      <c r="A367">
        <v>367</v>
      </c>
      <c r="B367" t="e">
        <f t="shared" si="5"/>
        <v>#N/A</v>
      </c>
      <c r="D367" t="e">
        <f>IF(INDEX(DATOS3!$1:$19397,A367,MATCH("PatientID",DATOS3!$1:$1,0))=0,"",INDEX(DATOS3!$1:$19397,A367,MATCH("PatientID",DATOS3!$1:$1,0)))</f>
        <v>#N/A</v>
      </c>
      <c r="F367" t="e">
        <f>IF(INDEX(DATOS3!$1:$19397,A367,MATCH("SeriesDate",DATOS3!$1:$1,0))=0,"",INDEX(DATOS3!$1:$19397,A367,MATCH("SeriesDate",DATOS3!$1:$1,0)))</f>
        <v>#N/A</v>
      </c>
      <c r="G367" t="e">
        <f>IF(INDEX(DATOS3!$1:$19397,A367,MATCH("SeriesTime",DATOS3!$1:$1,0))=0,"",INDEX(DATOS3!$1:$19397,A367,MATCH("SeriesTime",DATOS3!$1:$1,0)))</f>
        <v>#N/A</v>
      </c>
      <c r="H367" t="e">
        <f>IF(INDEX(DATOS3!$1:$19397,A367,MATCH("StudyDescription",DATOS3!$1:$1,0))=0,"",INDEX(DATOS3!$1:$19397,A367,MATCH("StudyDescription",DATOS3!$1:$1,0)))</f>
        <v>#N/A</v>
      </c>
      <c r="I367" t="e">
        <f>IF(INDEX(DATOS3!$1:$19397,A367,MATCH("Dose_Area_Product_Total",DATOS3!$1:$1,0))=0,0,INDEX(DATOS3!$1:$19397,A367,MATCH("Dose_Area_Product_Total",DATOS3!$1:$1,0)))</f>
        <v>#N/A</v>
      </c>
      <c r="J367" t="e">
        <f>IF(INDEX(DATOS3!$1:$19397,A367,MATCH("Dose_RP_Total",DATOS3!$1:$1,0))=0,0,INDEX(DATOS3!$1:$19397,A367,MATCH("Dose_RP_Total",DATOS3!$1:$1,0)))</f>
        <v>#N/A</v>
      </c>
      <c r="K367" t="e">
        <f>IF(INDEX(DATOS3!$1:$19397,A367,MATCH("Total_Fluoro_Time",DATOS3!$1:$1,0))=0,0,INDEX(DATOS3!$1:$19397,A367,MATCH("Total_Fluoro_Time",DATOS3!$1:$1,0)))</f>
        <v>#N/A</v>
      </c>
      <c r="L367" t="e">
        <f>IF(INDEX(DATOS3!$1:$19397,A367,MATCH("Total_Acquisition_Time",DATOS3!$1:$1,0))=0,0,INDEX(DATOS3!$1:$19397,A367,MATCH("Total_Acquisition_Time",DATOS3!$1:$1,0)))</f>
        <v>#N/A</v>
      </c>
    </row>
    <row r="368" spans="1:12" x14ac:dyDescent="0.25">
      <c r="A368">
        <v>368</v>
      </c>
      <c r="B368" t="e">
        <f t="shared" si="5"/>
        <v>#N/A</v>
      </c>
      <c r="D368" t="e">
        <f>IF(INDEX(DATOS3!$1:$19397,A368,MATCH("PatientID",DATOS3!$1:$1,0))=0,"",INDEX(DATOS3!$1:$19397,A368,MATCH("PatientID",DATOS3!$1:$1,0)))</f>
        <v>#N/A</v>
      </c>
      <c r="F368" t="e">
        <f>IF(INDEX(DATOS3!$1:$19397,A368,MATCH("SeriesDate",DATOS3!$1:$1,0))=0,"",INDEX(DATOS3!$1:$19397,A368,MATCH("SeriesDate",DATOS3!$1:$1,0)))</f>
        <v>#N/A</v>
      </c>
      <c r="G368" t="e">
        <f>IF(INDEX(DATOS3!$1:$19397,A368,MATCH("SeriesTime",DATOS3!$1:$1,0))=0,"",INDEX(DATOS3!$1:$19397,A368,MATCH("SeriesTime",DATOS3!$1:$1,0)))</f>
        <v>#N/A</v>
      </c>
      <c r="H368" t="e">
        <f>IF(INDEX(DATOS3!$1:$19397,A368,MATCH("StudyDescription",DATOS3!$1:$1,0))=0,"",INDEX(DATOS3!$1:$19397,A368,MATCH("StudyDescription",DATOS3!$1:$1,0)))</f>
        <v>#N/A</v>
      </c>
      <c r="I368" t="e">
        <f>IF(INDEX(DATOS3!$1:$19397,A368,MATCH("Dose_Area_Product_Total",DATOS3!$1:$1,0))=0,0,INDEX(DATOS3!$1:$19397,A368,MATCH("Dose_Area_Product_Total",DATOS3!$1:$1,0)))</f>
        <v>#N/A</v>
      </c>
      <c r="J368" t="e">
        <f>IF(INDEX(DATOS3!$1:$19397,A368,MATCH("Dose_RP_Total",DATOS3!$1:$1,0))=0,0,INDEX(DATOS3!$1:$19397,A368,MATCH("Dose_RP_Total",DATOS3!$1:$1,0)))</f>
        <v>#N/A</v>
      </c>
      <c r="K368" t="e">
        <f>IF(INDEX(DATOS3!$1:$19397,A368,MATCH("Total_Fluoro_Time",DATOS3!$1:$1,0))=0,0,INDEX(DATOS3!$1:$19397,A368,MATCH("Total_Fluoro_Time",DATOS3!$1:$1,0)))</f>
        <v>#N/A</v>
      </c>
      <c r="L368" t="e">
        <f>IF(INDEX(DATOS3!$1:$19397,A368,MATCH("Total_Acquisition_Time",DATOS3!$1:$1,0))=0,0,INDEX(DATOS3!$1:$19397,A368,MATCH("Total_Acquisition_Time",DATOS3!$1:$1,0)))</f>
        <v>#N/A</v>
      </c>
    </row>
    <row r="369" spans="1:12" x14ac:dyDescent="0.25">
      <c r="A369">
        <v>369</v>
      </c>
      <c r="B369" t="e">
        <f t="shared" si="5"/>
        <v>#N/A</v>
      </c>
      <c r="D369" t="e">
        <f>IF(INDEX(DATOS3!$1:$19397,A369,MATCH("PatientID",DATOS3!$1:$1,0))=0,"",INDEX(DATOS3!$1:$19397,A369,MATCH("PatientID",DATOS3!$1:$1,0)))</f>
        <v>#N/A</v>
      </c>
      <c r="F369" t="e">
        <f>IF(INDEX(DATOS3!$1:$19397,A369,MATCH("SeriesDate",DATOS3!$1:$1,0))=0,"",INDEX(DATOS3!$1:$19397,A369,MATCH("SeriesDate",DATOS3!$1:$1,0)))</f>
        <v>#N/A</v>
      </c>
      <c r="G369" t="e">
        <f>IF(INDEX(DATOS3!$1:$19397,A369,MATCH("SeriesTime",DATOS3!$1:$1,0))=0,"",INDEX(DATOS3!$1:$19397,A369,MATCH("SeriesTime",DATOS3!$1:$1,0)))</f>
        <v>#N/A</v>
      </c>
      <c r="H369" t="e">
        <f>IF(INDEX(DATOS3!$1:$19397,A369,MATCH("StudyDescription",DATOS3!$1:$1,0))=0,"",INDEX(DATOS3!$1:$19397,A369,MATCH("StudyDescription",DATOS3!$1:$1,0)))</f>
        <v>#N/A</v>
      </c>
      <c r="I369" t="e">
        <f>IF(INDEX(DATOS3!$1:$19397,A369,MATCH("Dose_Area_Product_Total",DATOS3!$1:$1,0))=0,0,INDEX(DATOS3!$1:$19397,A369,MATCH("Dose_Area_Product_Total",DATOS3!$1:$1,0)))</f>
        <v>#N/A</v>
      </c>
      <c r="J369" t="e">
        <f>IF(INDEX(DATOS3!$1:$19397,A369,MATCH("Dose_RP_Total",DATOS3!$1:$1,0))=0,0,INDEX(DATOS3!$1:$19397,A369,MATCH("Dose_RP_Total",DATOS3!$1:$1,0)))</f>
        <v>#N/A</v>
      </c>
      <c r="K369" t="e">
        <f>IF(INDEX(DATOS3!$1:$19397,A369,MATCH("Total_Fluoro_Time",DATOS3!$1:$1,0))=0,0,INDEX(DATOS3!$1:$19397,A369,MATCH("Total_Fluoro_Time",DATOS3!$1:$1,0)))</f>
        <v>#N/A</v>
      </c>
      <c r="L369" t="e">
        <f>IF(INDEX(DATOS3!$1:$19397,A369,MATCH("Total_Acquisition_Time",DATOS3!$1:$1,0))=0,0,INDEX(DATOS3!$1:$19397,A369,MATCH("Total_Acquisition_Time",DATOS3!$1:$1,0)))</f>
        <v>#N/A</v>
      </c>
    </row>
    <row r="370" spans="1:12" x14ac:dyDescent="0.25">
      <c r="A370">
        <v>370</v>
      </c>
      <c r="B370" t="e">
        <f t="shared" si="5"/>
        <v>#N/A</v>
      </c>
      <c r="D370" t="e">
        <f>IF(INDEX(DATOS3!$1:$19397,A370,MATCH("PatientID",DATOS3!$1:$1,0))=0,"",INDEX(DATOS3!$1:$19397,A370,MATCH("PatientID",DATOS3!$1:$1,0)))</f>
        <v>#N/A</v>
      </c>
      <c r="F370" t="e">
        <f>IF(INDEX(DATOS3!$1:$19397,A370,MATCH("SeriesDate",DATOS3!$1:$1,0))=0,"",INDEX(DATOS3!$1:$19397,A370,MATCH("SeriesDate",DATOS3!$1:$1,0)))</f>
        <v>#N/A</v>
      </c>
      <c r="G370" t="e">
        <f>IF(INDEX(DATOS3!$1:$19397,A370,MATCH("SeriesTime",DATOS3!$1:$1,0))=0,"",INDEX(DATOS3!$1:$19397,A370,MATCH("SeriesTime",DATOS3!$1:$1,0)))</f>
        <v>#N/A</v>
      </c>
      <c r="H370" t="e">
        <f>IF(INDEX(DATOS3!$1:$19397,A370,MATCH("StudyDescription",DATOS3!$1:$1,0))=0,"",INDEX(DATOS3!$1:$19397,A370,MATCH("StudyDescription",DATOS3!$1:$1,0)))</f>
        <v>#N/A</v>
      </c>
      <c r="I370" t="e">
        <f>IF(INDEX(DATOS3!$1:$19397,A370,MATCH("Dose_Area_Product_Total",DATOS3!$1:$1,0))=0,0,INDEX(DATOS3!$1:$19397,A370,MATCH("Dose_Area_Product_Total",DATOS3!$1:$1,0)))</f>
        <v>#N/A</v>
      </c>
      <c r="J370" t="e">
        <f>IF(INDEX(DATOS3!$1:$19397,A370,MATCH("Dose_RP_Total",DATOS3!$1:$1,0))=0,0,INDEX(DATOS3!$1:$19397,A370,MATCH("Dose_RP_Total",DATOS3!$1:$1,0)))</f>
        <v>#N/A</v>
      </c>
      <c r="K370" t="e">
        <f>IF(INDEX(DATOS3!$1:$19397,A370,MATCH("Total_Fluoro_Time",DATOS3!$1:$1,0))=0,0,INDEX(DATOS3!$1:$19397,A370,MATCH("Total_Fluoro_Time",DATOS3!$1:$1,0)))</f>
        <v>#N/A</v>
      </c>
      <c r="L370" t="e">
        <f>IF(INDEX(DATOS3!$1:$19397,A370,MATCH("Total_Acquisition_Time",DATOS3!$1:$1,0))=0,0,INDEX(DATOS3!$1:$19397,A370,MATCH("Total_Acquisition_Time",DATOS3!$1:$1,0)))</f>
        <v>#N/A</v>
      </c>
    </row>
    <row r="371" spans="1:12" x14ac:dyDescent="0.25">
      <c r="A371">
        <v>371</v>
      </c>
      <c r="B371" t="e">
        <f t="shared" si="5"/>
        <v>#N/A</v>
      </c>
      <c r="D371" t="e">
        <f>IF(INDEX(DATOS3!$1:$19397,A371,MATCH("PatientID",DATOS3!$1:$1,0))=0,"",INDEX(DATOS3!$1:$19397,A371,MATCH("PatientID",DATOS3!$1:$1,0)))</f>
        <v>#N/A</v>
      </c>
      <c r="F371" t="e">
        <f>IF(INDEX(DATOS3!$1:$19397,A371,MATCH("SeriesDate",DATOS3!$1:$1,0))=0,"",INDEX(DATOS3!$1:$19397,A371,MATCH("SeriesDate",DATOS3!$1:$1,0)))</f>
        <v>#N/A</v>
      </c>
      <c r="G371" t="e">
        <f>IF(INDEX(DATOS3!$1:$19397,A371,MATCH("SeriesTime",DATOS3!$1:$1,0))=0,"",INDEX(DATOS3!$1:$19397,A371,MATCH("SeriesTime",DATOS3!$1:$1,0)))</f>
        <v>#N/A</v>
      </c>
      <c r="H371" t="e">
        <f>IF(INDEX(DATOS3!$1:$19397,A371,MATCH("StudyDescription",DATOS3!$1:$1,0))=0,"",INDEX(DATOS3!$1:$19397,A371,MATCH("StudyDescription",DATOS3!$1:$1,0)))</f>
        <v>#N/A</v>
      </c>
      <c r="I371" t="e">
        <f>IF(INDEX(DATOS3!$1:$19397,A371,MATCH("Dose_Area_Product_Total",DATOS3!$1:$1,0))=0,0,INDEX(DATOS3!$1:$19397,A371,MATCH("Dose_Area_Product_Total",DATOS3!$1:$1,0)))</f>
        <v>#N/A</v>
      </c>
      <c r="J371" t="e">
        <f>IF(INDEX(DATOS3!$1:$19397,A371,MATCH("Dose_RP_Total",DATOS3!$1:$1,0))=0,0,INDEX(DATOS3!$1:$19397,A371,MATCH("Dose_RP_Total",DATOS3!$1:$1,0)))</f>
        <v>#N/A</v>
      </c>
      <c r="K371" t="e">
        <f>IF(INDEX(DATOS3!$1:$19397,A371,MATCH("Total_Fluoro_Time",DATOS3!$1:$1,0))=0,0,INDEX(DATOS3!$1:$19397,A371,MATCH("Total_Fluoro_Time",DATOS3!$1:$1,0)))</f>
        <v>#N/A</v>
      </c>
      <c r="L371" t="e">
        <f>IF(INDEX(DATOS3!$1:$19397,A371,MATCH("Total_Acquisition_Time",DATOS3!$1:$1,0))=0,0,INDEX(DATOS3!$1:$19397,A371,MATCH("Total_Acquisition_Time",DATOS3!$1:$1,0)))</f>
        <v>#N/A</v>
      </c>
    </row>
    <row r="372" spans="1:12" x14ac:dyDescent="0.25">
      <c r="A372">
        <v>372</v>
      </c>
      <c r="B372" t="e">
        <f t="shared" si="5"/>
        <v>#N/A</v>
      </c>
      <c r="D372" t="e">
        <f>IF(INDEX(DATOS3!$1:$19397,A372,MATCH("PatientID",DATOS3!$1:$1,0))=0,"",INDEX(DATOS3!$1:$19397,A372,MATCH("PatientID",DATOS3!$1:$1,0)))</f>
        <v>#N/A</v>
      </c>
      <c r="F372" t="e">
        <f>IF(INDEX(DATOS3!$1:$19397,A372,MATCH("SeriesDate",DATOS3!$1:$1,0))=0,"",INDEX(DATOS3!$1:$19397,A372,MATCH("SeriesDate",DATOS3!$1:$1,0)))</f>
        <v>#N/A</v>
      </c>
      <c r="G372" t="e">
        <f>IF(INDEX(DATOS3!$1:$19397,A372,MATCH("SeriesTime",DATOS3!$1:$1,0))=0,"",INDEX(DATOS3!$1:$19397,A372,MATCH("SeriesTime",DATOS3!$1:$1,0)))</f>
        <v>#N/A</v>
      </c>
      <c r="H372" t="e">
        <f>IF(INDEX(DATOS3!$1:$19397,A372,MATCH("StudyDescription",DATOS3!$1:$1,0))=0,"",INDEX(DATOS3!$1:$19397,A372,MATCH("StudyDescription",DATOS3!$1:$1,0)))</f>
        <v>#N/A</v>
      </c>
      <c r="I372" t="e">
        <f>IF(INDEX(DATOS3!$1:$19397,A372,MATCH("Dose_Area_Product_Total",DATOS3!$1:$1,0))=0,0,INDEX(DATOS3!$1:$19397,A372,MATCH("Dose_Area_Product_Total",DATOS3!$1:$1,0)))</f>
        <v>#N/A</v>
      </c>
      <c r="J372" t="e">
        <f>IF(INDEX(DATOS3!$1:$19397,A372,MATCH("Dose_RP_Total",DATOS3!$1:$1,0))=0,0,INDEX(DATOS3!$1:$19397,A372,MATCH("Dose_RP_Total",DATOS3!$1:$1,0)))</f>
        <v>#N/A</v>
      </c>
      <c r="K372" t="e">
        <f>IF(INDEX(DATOS3!$1:$19397,A372,MATCH("Total_Fluoro_Time",DATOS3!$1:$1,0))=0,0,INDEX(DATOS3!$1:$19397,A372,MATCH("Total_Fluoro_Time",DATOS3!$1:$1,0)))</f>
        <v>#N/A</v>
      </c>
      <c r="L372" t="e">
        <f>IF(INDEX(DATOS3!$1:$19397,A372,MATCH("Total_Acquisition_Time",DATOS3!$1:$1,0))=0,0,INDEX(DATOS3!$1:$19397,A372,MATCH("Total_Acquisition_Time",DATOS3!$1:$1,0)))</f>
        <v>#N/A</v>
      </c>
    </row>
    <row r="373" spans="1:12" x14ac:dyDescent="0.25">
      <c r="A373">
        <v>373</v>
      </c>
      <c r="B373" t="e">
        <f t="shared" si="5"/>
        <v>#N/A</v>
      </c>
      <c r="D373" t="e">
        <f>IF(INDEX(DATOS3!$1:$19397,A373,MATCH("PatientID",DATOS3!$1:$1,0))=0,"",INDEX(DATOS3!$1:$19397,A373,MATCH("PatientID",DATOS3!$1:$1,0)))</f>
        <v>#N/A</v>
      </c>
      <c r="F373" t="e">
        <f>IF(INDEX(DATOS3!$1:$19397,A373,MATCH("SeriesDate",DATOS3!$1:$1,0))=0,"",INDEX(DATOS3!$1:$19397,A373,MATCH("SeriesDate",DATOS3!$1:$1,0)))</f>
        <v>#N/A</v>
      </c>
      <c r="G373" t="e">
        <f>IF(INDEX(DATOS3!$1:$19397,A373,MATCH("SeriesTime",DATOS3!$1:$1,0))=0,"",INDEX(DATOS3!$1:$19397,A373,MATCH("SeriesTime",DATOS3!$1:$1,0)))</f>
        <v>#N/A</v>
      </c>
      <c r="H373" t="e">
        <f>IF(INDEX(DATOS3!$1:$19397,A373,MATCH("StudyDescription",DATOS3!$1:$1,0))=0,"",INDEX(DATOS3!$1:$19397,A373,MATCH("StudyDescription",DATOS3!$1:$1,0)))</f>
        <v>#N/A</v>
      </c>
      <c r="I373" t="e">
        <f>IF(INDEX(DATOS3!$1:$19397,A373,MATCH("Dose_Area_Product_Total",DATOS3!$1:$1,0))=0,0,INDEX(DATOS3!$1:$19397,A373,MATCH("Dose_Area_Product_Total",DATOS3!$1:$1,0)))</f>
        <v>#N/A</v>
      </c>
      <c r="J373" t="e">
        <f>IF(INDEX(DATOS3!$1:$19397,A373,MATCH("Dose_RP_Total",DATOS3!$1:$1,0))=0,0,INDEX(DATOS3!$1:$19397,A373,MATCH("Dose_RP_Total",DATOS3!$1:$1,0)))</f>
        <v>#N/A</v>
      </c>
      <c r="K373" t="e">
        <f>IF(INDEX(DATOS3!$1:$19397,A373,MATCH("Total_Fluoro_Time",DATOS3!$1:$1,0))=0,0,INDEX(DATOS3!$1:$19397,A373,MATCH("Total_Fluoro_Time",DATOS3!$1:$1,0)))</f>
        <v>#N/A</v>
      </c>
      <c r="L373" t="e">
        <f>IF(INDEX(DATOS3!$1:$19397,A373,MATCH("Total_Acquisition_Time",DATOS3!$1:$1,0))=0,0,INDEX(DATOS3!$1:$19397,A373,MATCH("Total_Acquisition_Time",DATOS3!$1:$1,0)))</f>
        <v>#N/A</v>
      </c>
    </row>
    <row r="374" spans="1:12" x14ac:dyDescent="0.25">
      <c r="A374">
        <v>374</v>
      </c>
      <c r="B374" t="e">
        <f t="shared" si="5"/>
        <v>#N/A</v>
      </c>
      <c r="D374" t="e">
        <f>IF(INDEX(DATOS3!$1:$19397,A374,MATCH("PatientID",DATOS3!$1:$1,0))=0,"",INDEX(DATOS3!$1:$19397,A374,MATCH("PatientID",DATOS3!$1:$1,0)))</f>
        <v>#N/A</v>
      </c>
      <c r="F374" t="e">
        <f>IF(INDEX(DATOS3!$1:$19397,A374,MATCH("SeriesDate",DATOS3!$1:$1,0))=0,"",INDEX(DATOS3!$1:$19397,A374,MATCH("SeriesDate",DATOS3!$1:$1,0)))</f>
        <v>#N/A</v>
      </c>
      <c r="G374" t="e">
        <f>IF(INDEX(DATOS3!$1:$19397,A374,MATCH("SeriesTime",DATOS3!$1:$1,0))=0,"",INDEX(DATOS3!$1:$19397,A374,MATCH("SeriesTime",DATOS3!$1:$1,0)))</f>
        <v>#N/A</v>
      </c>
      <c r="H374" t="e">
        <f>IF(INDEX(DATOS3!$1:$19397,A374,MATCH("StudyDescription",DATOS3!$1:$1,0))=0,"",INDEX(DATOS3!$1:$19397,A374,MATCH("StudyDescription",DATOS3!$1:$1,0)))</f>
        <v>#N/A</v>
      </c>
      <c r="I374" t="e">
        <f>IF(INDEX(DATOS3!$1:$19397,A374,MATCH("Dose_Area_Product_Total",DATOS3!$1:$1,0))=0,0,INDEX(DATOS3!$1:$19397,A374,MATCH("Dose_Area_Product_Total",DATOS3!$1:$1,0)))</f>
        <v>#N/A</v>
      </c>
      <c r="J374" t="e">
        <f>IF(INDEX(DATOS3!$1:$19397,A374,MATCH("Dose_RP_Total",DATOS3!$1:$1,0))=0,0,INDEX(DATOS3!$1:$19397,A374,MATCH("Dose_RP_Total",DATOS3!$1:$1,0)))</f>
        <v>#N/A</v>
      </c>
      <c r="K374" t="e">
        <f>IF(INDEX(DATOS3!$1:$19397,A374,MATCH("Total_Fluoro_Time",DATOS3!$1:$1,0))=0,0,INDEX(DATOS3!$1:$19397,A374,MATCH("Total_Fluoro_Time",DATOS3!$1:$1,0)))</f>
        <v>#N/A</v>
      </c>
      <c r="L374" t="e">
        <f>IF(INDEX(DATOS3!$1:$19397,A374,MATCH("Total_Acquisition_Time",DATOS3!$1:$1,0))=0,0,INDEX(DATOS3!$1:$19397,A374,MATCH("Total_Acquisition_Time",DATOS3!$1:$1,0)))</f>
        <v>#N/A</v>
      </c>
    </row>
    <row r="375" spans="1:12" x14ac:dyDescent="0.25">
      <c r="A375">
        <v>375</v>
      </c>
      <c r="B375" t="e">
        <f t="shared" si="5"/>
        <v>#N/A</v>
      </c>
      <c r="D375" t="e">
        <f>IF(INDEX(DATOS3!$1:$19397,A375,MATCH("PatientID",DATOS3!$1:$1,0))=0,"",INDEX(DATOS3!$1:$19397,A375,MATCH("PatientID",DATOS3!$1:$1,0)))</f>
        <v>#N/A</v>
      </c>
      <c r="F375" t="e">
        <f>IF(INDEX(DATOS3!$1:$19397,A375,MATCH("SeriesDate",DATOS3!$1:$1,0))=0,"",INDEX(DATOS3!$1:$19397,A375,MATCH("SeriesDate",DATOS3!$1:$1,0)))</f>
        <v>#N/A</v>
      </c>
      <c r="G375" t="e">
        <f>IF(INDEX(DATOS3!$1:$19397,A375,MATCH("SeriesTime",DATOS3!$1:$1,0))=0,"",INDEX(DATOS3!$1:$19397,A375,MATCH("SeriesTime",DATOS3!$1:$1,0)))</f>
        <v>#N/A</v>
      </c>
      <c r="H375" t="e">
        <f>IF(INDEX(DATOS3!$1:$19397,A375,MATCH("StudyDescription",DATOS3!$1:$1,0))=0,"",INDEX(DATOS3!$1:$19397,A375,MATCH("StudyDescription",DATOS3!$1:$1,0)))</f>
        <v>#N/A</v>
      </c>
      <c r="I375" t="e">
        <f>IF(INDEX(DATOS3!$1:$19397,A375,MATCH("Dose_Area_Product_Total",DATOS3!$1:$1,0))=0,0,INDEX(DATOS3!$1:$19397,A375,MATCH("Dose_Area_Product_Total",DATOS3!$1:$1,0)))</f>
        <v>#N/A</v>
      </c>
      <c r="J375" t="e">
        <f>IF(INDEX(DATOS3!$1:$19397,A375,MATCH("Dose_RP_Total",DATOS3!$1:$1,0))=0,0,INDEX(DATOS3!$1:$19397,A375,MATCH("Dose_RP_Total",DATOS3!$1:$1,0)))</f>
        <v>#N/A</v>
      </c>
      <c r="K375" t="e">
        <f>IF(INDEX(DATOS3!$1:$19397,A375,MATCH("Total_Fluoro_Time",DATOS3!$1:$1,0))=0,0,INDEX(DATOS3!$1:$19397,A375,MATCH("Total_Fluoro_Time",DATOS3!$1:$1,0)))</f>
        <v>#N/A</v>
      </c>
      <c r="L375" t="e">
        <f>IF(INDEX(DATOS3!$1:$19397,A375,MATCH("Total_Acquisition_Time",DATOS3!$1:$1,0))=0,0,INDEX(DATOS3!$1:$19397,A375,MATCH("Total_Acquisition_Time",DATOS3!$1:$1,0)))</f>
        <v>#N/A</v>
      </c>
    </row>
    <row r="376" spans="1:12" x14ac:dyDescent="0.25">
      <c r="A376">
        <v>376</v>
      </c>
      <c r="B376" t="e">
        <f t="shared" si="5"/>
        <v>#N/A</v>
      </c>
      <c r="D376" t="e">
        <f>IF(INDEX(DATOS3!$1:$19397,A376,MATCH("PatientID",DATOS3!$1:$1,0))=0,"",INDEX(DATOS3!$1:$19397,A376,MATCH("PatientID",DATOS3!$1:$1,0)))</f>
        <v>#N/A</v>
      </c>
      <c r="F376" t="e">
        <f>IF(INDEX(DATOS3!$1:$19397,A376,MATCH("SeriesDate",DATOS3!$1:$1,0))=0,"",INDEX(DATOS3!$1:$19397,A376,MATCH("SeriesDate",DATOS3!$1:$1,0)))</f>
        <v>#N/A</v>
      </c>
      <c r="G376" t="e">
        <f>IF(INDEX(DATOS3!$1:$19397,A376,MATCH("SeriesTime",DATOS3!$1:$1,0))=0,"",INDEX(DATOS3!$1:$19397,A376,MATCH("SeriesTime",DATOS3!$1:$1,0)))</f>
        <v>#N/A</v>
      </c>
      <c r="H376" t="e">
        <f>IF(INDEX(DATOS3!$1:$19397,A376,MATCH("StudyDescription",DATOS3!$1:$1,0))=0,"",INDEX(DATOS3!$1:$19397,A376,MATCH("StudyDescription",DATOS3!$1:$1,0)))</f>
        <v>#N/A</v>
      </c>
      <c r="I376" t="e">
        <f>IF(INDEX(DATOS3!$1:$19397,A376,MATCH("Dose_Area_Product_Total",DATOS3!$1:$1,0))=0,0,INDEX(DATOS3!$1:$19397,A376,MATCH("Dose_Area_Product_Total",DATOS3!$1:$1,0)))</f>
        <v>#N/A</v>
      </c>
      <c r="J376" t="e">
        <f>IF(INDEX(DATOS3!$1:$19397,A376,MATCH("Dose_RP_Total",DATOS3!$1:$1,0))=0,0,INDEX(DATOS3!$1:$19397,A376,MATCH("Dose_RP_Total",DATOS3!$1:$1,0)))</f>
        <v>#N/A</v>
      </c>
      <c r="K376" t="e">
        <f>IF(INDEX(DATOS3!$1:$19397,A376,MATCH("Total_Fluoro_Time",DATOS3!$1:$1,0))=0,0,INDEX(DATOS3!$1:$19397,A376,MATCH("Total_Fluoro_Time",DATOS3!$1:$1,0)))</f>
        <v>#N/A</v>
      </c>
      <c r="L376" t="e">
        <f>IF(INDEX(DATOS3!$1:$19397,A376,MATCH("Total_Acquisition_Time",DATOS3!$1:$1,0))=0,0,INDEX(DATOS3!$1:$19397,A376,MATCH("Total_Acquisition_Time",DATOS3!$1:$1,0)))</f>
        <v>#N/A</v>
      </c>
    </row>
    <row r="377" spans="1:12" x14ac:dyDescent="0.25">
      <c r="A377">
        <v>377</v>
      </c>
      <c r="B377" t="e">
        <f t="shared" si="5"/>
        <v>#N/A</v>
      </c>
      <c r="D377" t="e">
        <f>IF(INDEX(DATOS3!$1:$19397,A377,MATCH("PatientID",DATOS3!$1:$1,0))=0,"",INDEX(DATOS3!$1:$19397,A377,MATCH("PatientID",DATOS3!$1:$1,0)))</f>
        <v>#N/A</v>
      </c>
      <c r="F377" t="e">
        <f>IF(INDEX(DATOS3!$1:$19397,A377,MATCH("SeriesDate",DATOS3!$1:$1,0))=0,"",INDEX(DATOS3!$1:$19397,A377,MATCH("SeriesDate",DATOS3!$1:$1,0)))</f>
        <v>#N/A</v>
      </c>
      <c r="G377" t="e">
        <f>IF(INDEX(DATOS3!$1:$19397,A377,MATCH("SeriesTime",DATOS3!$1:$1,0))=0,"",INDEX(DATOS3!$1:$19397,A377,MATCH("SeriesTime",DATOS3!$1:$1,0)))</f>
        <v>#N/A</v>
      </c>
      <c r="H377" t="e">
        <f>IF(INDEX(DATOS3!$1:$19397,A377,MATCH("StudyDescription",DATOS3!$1:$1,0))=0,"",INDEX(DATOS3!$1:$19397,A377,MATCH("StudyDescription",DATOS3!$1:$1,0)))</f>
        <v>#N/A</v>
      </c>
      <c r="I377" t="e">
        <f>IF(INDEX(DATOS3!$1:$19397,A377,MATCH("Dose_Area_Product_Total",DATOS3!$1:$1,0))=0,0,INDEX(DATOS3!$1:$19397,A377,MATCH("Dose_Area_Product_Total",DATOS3!$1:$1,0)))</f>
        <v>#N/A</v>
      </c>
      <c r="J377" t="e">
        <f>IF(INDEX(DATOS3!$1:$19397,A377,MATCH("Dose_RP_Total",DATOS3!$1:$1,0))=0,0,INDEX(DATOS3!$1:$19397,A377,MATCH("Dose_RP_Total",DATOS3!$1:$1,0)))</f>
        <v>#N/A</v>
      </c>
      <c r="K377" t="e">
        <f>IF(INDEX(DATOS3!$1:$19397,A377,MATCH("Total_Fluoro_Time",DATOS3!$1:$1,0))=0,0,INDEX(DATOS3!$1:$19397,A377,MATCH("Total_Fluoro_Time",DATOS3!$1:$1,0)))</f>
        <v>#N/A</v>
      </c>
      <c r="L377" t="e">
        <f>IF(INDEX(DATOS3!$1:$19397,A377,MATCH("Total_Acquisition_Time",DATOS3!$1:$1,0))=0,0,INDEX(DATOS3!$1:$19397,A377,MATCH("Total_Acquisition_Time",DATOS3!$1:$1,0)))</f>
        <v>#N/A</v>
      </c>
    </row>
    <row r="378" spans="1:12" x14ac:dyDescent="0.25">
      <c r="A378">
        <v>378</v>
      </c>
      <c r="B378" t="e">
        <f t="shared" si="5"/>
        <v>#N/A</v>
      </c>
      <c r="D378" t="e">
        <f>IF(INDEX(DATOS3!$1:$19397,A378,MATCH("PatientID",DATOS3!$1:$1,0))=0,"",INDEX(DATOS3!$1:$19397,A378,MATCH("PatientID",DATOS3!$1:$1,0)))</f>
        <v>#N/A</v>
      </c>
      <c r="F378" t="e">
        <f>IF(INDEX(DATOS3!$1:$19397,A378,MATCH("SeriesDate",DATOS3!$1:$1,0))=0,"",INDEX(DATOS3!$1:$19397,A378,MATCH("SeriesDate",DATOS3!$1:$1,0)))</f>
        <v>#N/A</v>
      </c>
      <c r="G378" t="e">
        <f>IF(INDEX(DATOS3!$1:$19397,A378,MATCH("SeriesTime",DATOS3!$1:$1,0))=0,"",INDEX(DATOS3!$1:$19397,A378,MATCH("SeriesTime",DATOS3!$1:$1,0)))</f>
        <v>#N/A</v>
      </c>
      <c r="H378" t="e">
        <f>IF(INDEX(DATOS3!$1:$19397,A378,MATCH("StudyDescription",DATOS3!$1:$1,0))=0,"",INDEX(DATOS3!$1:$19397,A378,MATCH("StudyDescription",DATOS3!$1:$1,0)))</f>
        <v>#N/A</v>
      </c>
      <c r="I378" t="e">
        <f>IF(INDEX(DATOS3!$1:$19397,A378,MATCH("Dose_Area_Product_Total",DATOS3!$1:$1,0))=0,0,INDEX(DATOS3!$1:$19397,A378,MATCH("Dose_Area_Product_Total",DATOS3!$1:$1,0)))</f>
        <v>#N/A</v>
      </c>
      <c r="J378" t="e">
        <f>IF(INDEX(DATOS3!$1:$19397,A378,MATCH("Dose_RP_Total",DATOS3!$1:$1,0))=0,0,INDEX(DATOS3!$1:$19397,A378,MATCH("Dose_RP_Total",DATOS3!$1:$1,0)))</f>
        <v>#N/A</v>
      </c>
      <c r="K378" t="e">
        <f>IF(INDEX(DATOS3!$1:$19397,A378,MATCH("Total_Fluoro_Time",DATOS3!$1:$1,0))=0,0,INDEX(DATOS3!$1:$19397,A378,MATCH("Total_Fluoro_Time",DATOS3!$1:$1,0)))</f>
        <v>#N/A</v>
      </c>
      <c r="L378" t="e">
        <f>IF(INDEX(DATOS3!$1:$19397,A378,MATCH("Total_Acquisition_Time",DATOS3!$1:$1,0))=0,0,INDEX(DATOS3!$1:$19397,A378,MATCH("Total_Acquisition_Time",DATOS3!$1:$1,0)))</f>
        <v>#N/A</v>
      </c>
    </row>
    <row r="379" spans="1:12" x14ac:dyDescent="0.25">
      <c r="A379">
        <v>379</v>
      </c>
      <c r="B379" t="e">
        <f t="shared" si="5"/>
        <v>#N/A</v>
      </c>
      <c r="D379" t="e">
        <f>IF(INDEX(DATOS3!$1:$19397,A379,MATCH("PatientID",DATOS3!$1:$1,0))=0,"",INDEX(DATOS3!$1:$19397,A379,MATCH("PatientID",DATOS3!$1:$1,0)))</f>
        <v>#N/A</v>
      </c>
      <c r="F379" t="e">
        <f>IF(INDEX(DATOS3!$1:$19397,A379,MATCH("SeriesDate",DATOS3!$1:$1,0))=0,"",INDEX(DATOS3!$1:$19397,A379,MATCH("SeriesDate",DATOS3!$1:$1,0)))</f>
        <v>#N/A</v>
      </c>
      <c r="G379" t="e">
        <f>IF(INDEX(DATOS3!$1:$19397,A379,MATCH("SeriesTime",DATOS3!$1:$1,0))=0,"",INDEX(DATOS3!$1:$19397,A379,MATCH("SeriesTime",DATOS3!$1:$1,0)))</f>
        <v>#N/A</v>
      </c>
      <c r="H379" t="e">
        <f>IF(INDEX(DATOS3!$1:$19397,A379,MATCH("StudyDescription",DATOS3!$1:$1,0))=0,"",INDEX(DATOS3!$1:$19397,A379,MATCH("StudyDescription",DATOS3!$1:$1,0)))</f>
        <v>#N/A</v>
      </c>
      <c r="I379" t="e">
        <f>IF(INDEX(DATOS3!$1:$19397,A379,MATCH("Dose_Area_Product_Total",DATOS3!$1:$1,0))=0,0,INDEX(DATOS3!$1:$19397,A379,MATCH("Dose_Area_Product_Total",DATOS3!$1:$1,0)))</f>
        <v>#N/A</v>
      </c>
      <c r="J379" t="e">
        <f>IF(INDEX(DATOS3!$1:$19397,A379,MATCH("Dose_RP_Total",DATOS3!$1:$1,0))=0,0,INDEX(DATOS3!$1:$19397,A379,MATCH("Dose_RP_Total",DATOS3!$1:$1,0)))</f>
        <v>#N/A</v>
      </c>
      <c r="K379" t="e">
        <f>IF(INDEX(DATOS3!$1:$19397,A379,MATCH("Total_Fluoro_Time",DATOS3!$1:$1,0))=0,0,INDEX(DATOS3!$1:$19397,A379,MATCH("Total_Fluoro_Time",DATOS3!$1:$1,0)))</f>
        <v>#N/A</v>
      </c>
      <c r="L379" t="e">
        <f>IF(INDEX(DATOS3!$1:$19397,A379,MATCH("Total_Acquisition_Time",DATOS3!$1:$1,0))=0,0,INDEX(DATOS3!$1:$19397,A379,MATCH("Total_Acquisition_Time",DATOS3!$1:$1,0)))</f>
        <v>#N/A</v>
      </c>
    </row>
    <row r="380" spans="1:12" x14ac:dyDescent="0.25">
      <c r="A380">
        <v>380</v>
      </c>
      <c r="B380" t="e">
        <f t="shared" si="5"/>
        <v>#N/A</v>
      </c>
      <c r="D380" t="e">
        <f>IF(INDEX(DATOS3!$1:$19397,A380,MATCH("PatientID",DATOS3!$1:$1,0))=0,"",INDEX(DATOS3!$1:$19397,A380,MATCH("PatientID",DATOS3!$1:$1,0)))</f>
        <v>#N/A</v>
      </c>
      <c r="F380" t="e">
        <f>IF(INDEX(DATOS3!$1:$19397,A380,MATCH("SeriesDate",DATOS3!$1:$1,0))=0,"",INDEX(DATOS3!$1:$19397,A380,MATCH("SeriesDate",DATOS3!$1:$1,0)))</f>
        <v>#N/A</v>
      </c>
      <c r="G380" t="e">
        <f>IF(INDEX(DATOS3!$1:$19397,A380,MATCH("SeriesTime",DATOS3!$1:$1,0))=0,"",INDEX(DATOS3!$1:$19397,A380,MATCH("SeriesTime",DATOS3!$1:$1,0)))</f>
        <v>#N/A</v>
      </c>
      <c r="H380" t="e">
        <f>IF(INDEX(DATOS3!$1:$19397,A380,MATCH("StudyDescription",DATOS3!$1:$1,0))=0,"",INDEX(DATOS3!$1:$19397,A380,MATCH("StudyDescription",DATOS3!$1:$1,0)))</f>
        <v>#N/A</v>
      </c>
      <c r="I380" t="e">
        <f>IF(INDEX(DATOS3!$1:$19397,A380,MATCH("Dose_Area_Product_Total",DATOS3!$1:$1,0))=0,0,INDEX(DATOS3!$1:$19397,A380,MATCH("Dose_Area_Product_Total",DATOS3!$1:$1,0)))</f>
        <v>#N/A</v>
      </c>
      <c r="J380" t="e">
        <f>IF(INDEX(DATOS3!$1:$19397,A380,MATCH("Dose_RP_Total",DATOS3!$1:$1,0))=0,0,INDEX(DATOS3!$1:$19397,A380,MATCH("Dose_RP_Total",DATOS3!$1:$1,0)))</f>
        <v>#N/A</v>
      </c>
      <c r="K380" t="e">
        <f>IF(INDEX(DATOS3!$1:$19397,A380,MATCH("Total_Fluoro_Time",DATOS3!$1:$1,0))=0,0,INDEX(DATOS3!$1:$19397,A380,MATCH("Total_Fluoro_Time",DATOS3!$1:$1,0)))</f>
        <v>#N/A</v>
      </c>
      <c r="L380" t="e">
        <f>IF(INDEX(DATOS3!$1:$19397,A380,MATCH("Total_Acquisition_Time",DATOS3!$1:$1,0))=0,0,INDEX(DATOS3!$1:$19397,A380,MATCH("Total_Acquisition_Time",DATOS3!$1:$1,0)))</f>
        <v>#N/A</v>
      </c>
    </row>
    <row r="381" spans="1:12" x14ac:dyDescent="0.25">
      <c r="A381">
        <v>381</v>
      </c>
      <c r="B381" t="e">
        <f t="shared" si="5"/>
        <v>#N/A</v>
      </c>
      <c r="D381" t="e">
        <f>IF(INDEX(DATOS3!$1:$19397,A381,MATCH("PatientID",DATOS3!$1:$1,0))=0,"",INDEX(DATOS3!$1:$19397,A381,MATCH("PatientID",DATOS3!$1:$1,0)))</f>
        <v>#N/A</v>
      </c>
      <c r="F381" t="e">
        <f>IF(INDEX(DATOS3!$1:$19397,A381,MATCH("SeriesDate",DATOS3!$1:$1,0))=0,"",INDEX(DATOS3!$1:$19397,A381,MATCH("SeriesDate",DATOS3!$1:$1,0)))</f>
        <v>#N/A</v>
      </c>
      <c r="G381" t="e">
        <f>IF(INDEX(DATOS3!$1:$19397,A381,MATCH("SeriesTime",DATOS3!$1:$1,0))=0,"",INDEX(DATOS3!$1:$19397,A381,MATCH("SeriesTime",DATOS3!$1:$1,0)))</f>
        <v>#N/A</v>
      </c>
      <c r="H381" t="e">
        <f>IF(INDEX(DATOS3!$1:$19397,A381,MATCH("StudyDescription",DATOS3!$1:$1,0))=0,"",INDEX(DATOS3!$1:$19397,A381,MATCH("StudyDescription",DATOS3!$1:$1,0)))</f>
        <v>#N/A</v>
      </c>
      <c r="I381" t="e">
        <f>IF(INDEX(DATOS3!$1:$19397,A381,MATCH("Dose_Area_Product_Total",DATOS3!$1:$1,0))=0,0,INDEX(DATOS3!$1:$19397,A381,MATCH("Dose_Area_Product_Total",DATOS3!$1:$1,0)))</f>
        <v>#N/A</v>
      </c>
      <c r="J381" t="e">
        <f>IF(INDEX(DATOS3!$1:$19397,A381,MATCH("Dose_RP_Total",DATOS3!$1:$1,0))=0,0,INDEX(DATOS3!$1:$19397,A381,MATCH("Dose_RP_Total",DATOS3!$1:$1,0)))</f>
        <v>#N/A</v>
      </c>
      <c r="K381" t="e">
        <f>IF(INDEX(DATOS3!$1:$19397,A381,MATCH("Total_Fluoro_Time",DATOS3!$1:$1,0))=0,0,INDEX(DATOS3!$1:$19397,A381,MATCH("Total_Fluoro_Time",DATOS3!$1:$1,0)))</f>
        <v>#N/A</v>
      </c>
      <c r="L381" t="e">
        <f>IF(INDEX(DATOS3!$1:$19397,A381,MATCH("Total_Acquisition_Time",DATOS3!$1:$1,0))=0,0,INDEX(DATOS3!$1:$19397,A381,MATCH("Total_Acquisition_Time",DATOS3!$1:$1,0)))</f>
        <v>#N/A</v>
      </c>
    </row>
    <row r="382" spans="1:12" x14ac:dyDescent="0.25">
      <c r="A382">
        <v>382</v>
      </c>
      <c r="B382" t="e">
        <f t="shared" si="5"/>
        <v>#N/A</v>
      </c>
      <c r="D382" t="e">
        <f>IF(INDEX(DATOS3!$1:$19397,A382,MATCH("PatientID",DATOS3!$1:$1,0))=0,"",INDEX(DATOS3!$1:$19397,A382,MATCH("PatientID",DATOS3!$1:$1,0)))</f>
        <v>#N/A</v>
      </c>
      <c r="F382" t="e">
        <f>IF(INDEX(DATOS3!$1:$19397,A382,MATCH("SeriesDate",DATOS3!$1:$1,0))=0,"",INDEX(DATOS3!$1:$19397,A382,MATCH("SeriesDate",DATOS3!$1:$1,0)))</f>
        <v>#N/A</v>
      </c>
      <c r="G382" t="e">
        <f>IF(INDEX(DATOS3!$1:$19397,A382,MATCH("SeriesTime",DATOS3!$1:$1,0))=0,"",INDEX(DATOS3!$1:$19397,A382,MATCH("SeriesTime",DATOS3!$1:$1,0)))</f>
        <v>#N/A</v>
      </c>
      <c r="H382" t="e">
        <f>IF(INDEX(DATOS3!$1:$19397,A382,MATCH("StudyDescription",DATOS3!$1:$1,0))=0,"",INDEX(DATOS3!$1:$19397,A382,MATCH("StudyDescription",DATOS3!$1:$1,0)))</f>
        <v>#N/A</v>
      </c>
      <c r="I382" t="e">
        <f>IF(INDEX(DATOS3!$1:$19397,A382,MATCH("Dose_Area_Product_Total",DATOS3!$1:$1,0))=0,0,INDEX(DATOS3!$1:$19397,A382,MATCH("Dose_Area_Product_Total",DATOS3!$1:$1,0)))</f>
        <v>#N/A</v>
      </c>
      <c r="J382" t="e">
        <f>IF(INDEX(DATOS3!$1:$19397,A382,MATCH("Dose_RP_Total",DATOS3!$1:$1,0))=0,0,INDEX(DATOS3!$1:$19397,A382,MATCH("Dose_RP_Total",DATOS3!$1:$1,0)))</f>
        <v>#N/A</v>
      </c>
      <c r="K382" t="e">
        <f>IF(INDEX(DATOS3!$1:$19397,A382,MATCH("Total_Fluoro_Time",DATOS3!$1:$1,0))=0,0,INDEX(DATOS3!$1:$19397,A382,MATCH("Total_Fluoro_Time",DATOS3!$1:$1,0)))</f>
        <v>#N/A</v>
      </c>
      <c r="L382" t="e">
        <f>IF(INDEX(DATOS3!$1:$19397,A382,MATCH("Total_Acquisition_Time",DATOS3!$1:$1,0))=0,0,INDEX(DATOS3!$1:$19397,A382,MATCH("Total_Acquisition_Time",DATOS3!$1:$1,0)))</f>
        <v>#N/A</v>
      </c>
    </row>
    <row r="383" spans="1:12" x14ac:dyDescent="0.25">
      <c r="A383">
        <v>383</v>
      </c>
      <c r="B383" t="e">
        <f t="shared" si="5"/>
        <v>#N/A</v>
      </c>
      <c r="D383" t="e">
        <f>IF(INDEX(DATOS3!$1:$19397,A383,MATCH("PatientID",DATOS3!$1:$1,0))=0,"",INDEX(DATOS3!$1:$19397,A383,MATCH("PatientID",DATOS3!$1:$1,0)))</f>
        <v>#N/A</v>
      </c>
      <c r="F383" t="e">
        <f>IF(INDEX(DATOS3!$1:$19397,A383,MATCH("SeriesDate",DATOS3!$1:$1,0))=0,"",INDEX(DATOS3!$1:$19397,A383,MATCH("SeriesDate",DATOS3!$1:$1,0)))</f>
        <v>#N/A</v>
      </c>
      <c r="G383" t="e">
        <f>IF(INDEX(DATOS3!$1:$19397,A383,MATCH("SeriesTime",DATOS3!$1:$1,0))=0,"",INDEX(DATOS3!$1:$19397,A383,MATCH("SeriesTime",DATOS3!$1:$1,0)))</f>
        <v>#N/A</v>
      </c>
      <c r="H383" t="e">
        <f>IF(INDEX(DATOS3!$1:$19397,A383,MATCH("StudyDescription",DATOS3!$1:$1,0))=0,"",INDEX(DATOS3!$1:$19397,A383,MATCH("StudyDescription",DATOS3!$1:$1,0)))</f>
        <v>#N/A</v>
      </c>
      <c r="I383" t="e">
        <f>IF(INDEX(DATOS3!$1:$19397,A383,MATCH("Dose_Area_Product_Total",DATOS3!$1:$1,0))=0,0,INDEX(DATOS3!$1:$19397,A383,MATCH("Dose_Area_Product_Total",DATOS3!$1:$1,0)))</f>
        <v>#N/A</v>
      </c>
      <c r="J383" t="e">
        <f>IF(INDEX(DATOS3!$1:$19397,A383,MATCH("Dose_RP_Total",DATOS3!$1:$1,0))=0,0,INDEX(DATOS3!$1:$19397,A383,MATCH("Dose_RP_Total",DATOS3!$1:$1,0)))</f>
        <v>#N/A</v>
      </c>
      <c r="K383" t="e">
        <f>IF(INDEX(DATOS3!$1:$19397,A383,MATCH("Total_Fluoro_Time",DATOS3!$1:$1,0))=0,0,INDEX(DATOS3!$1:$19397,A383,MATCH("Total_Fluoro_Time",DATOS3!$1:$1,0)))</f>
        <v>#N/A</v>
      </c>
      <c r="L383" t="e">
        <f>IF(INDEX(DATOS3!$1:$19397,A383,MATCH("Total_Acquisition_Time",DATOS3!$1:$1,0))=0,0,INDEX(DATOS3!$1:$19397,A383,MATCH("Total_Acquisition_Time",DATOS3!$1:$1,0)))</f>
        <v>#N/A</v>
      </c>
    </row>
    <row r="384" spans="1:12" x14ac:dyDescent="0.25">
      <c r="A384">
        <v>384</v>
      </c>
      <c r="B384" t="e">
        <f t="shared" si="5"/>
        <v>#N/A</v>
      </c>
      <c r="D384" t="e">
        <f>IF(INDEX(DATOS3!$1:$19397,A384,MATCH("PatientID",DATOS3!$1:$1,0))=0,"",INDEX(DATOS3!$1:$19397,A384,MATCH("PatientID",DATOS3!$1:$1,0)))</f>
        <v>#N/A</v>
      </c>
      <c r="F384" t="e">
        <f>IF(INDEX(DATOS3!$1:$19397,A384,MATCH("SeriesDate",DATOS3!$1:$1,0))=0,"",INDEX(DATOS3!$1:$19397,A384,MATCH("SeriesDate",DATOS3!$1:$1,0)))</f>
        <v>#N/A</v>
      </c>
      <c r="G384" t="e">
        <f>IF(INDEX(DATOS3!$1:$19397,A384,MATCH("SeriesTime",DATOS3!$1:$1,0))=0,"",INDEX(DATOS3!$1:$19397,A384,MATCH("SeriesTime",DATOS3!$1:$1,0)))</f>
        <v>#N/A</v>
      </c>
      <c r="H384" t="e">
        <f>IF(INDEX(DATOS3!$1:$19397,A384,MATCH("StudyDescription",DATOS3!$1:$1,0))=0,"",INDEX(DATOS3!$1:$19397,A384,MATCH("StudyDescription",DATOS3!$1:$1,0)))</f>
        <v>#N/A</v>
      </c>
      <c r="I384" t="e">
        <f>IF(INDEX(DATOS3!$1:$19397,A384,MATCH("Dose_Area_Product_Total",DATOS3!$1:$1,0))=0,0,INDEX(DATOS3!$1:$19397,A384,MATCH("Dose_Area_Product_Total",DATOS3!$1:$1,0)))</f>
        <v>#N/A</v>
      </c>
      <c r="J384" t="e">
        <f>IF(INDEX(DATOS3!$1:$19397,A384,MATCH("Dose_RP_Total",DATOS3!$1:$1,0))=0,0,INDEX(DATOS3!$1:$19397,A384,MATCH("Dose_RP_Total",DATOS3!$1:$1,0)))</f>
        <v>#N/A</v>
      </c>
      <c r="K384" t="e">
        <f>IF(INDEX(DATOS3!$1:$19397,A384,MATCH("Total_Fluoro_Time",DATOS3!$1:$1,0))=0,0,INDEX(DATOS3!$1:$19397,A384,MATCH("Total_Fluoro_Time",DATOS3!$1:$1,0)))</f>
        <v>#N/A</v>
      </c>
      <c r="L384" t="e">
        <f>IF(INDEX(DATOS3!$1:$19397,A384,MATCH("Total_Acquisition_Time",DATOS3!$1:$1,0))=0,0,INDEX(DATOS3!$1:$19397,A384,MATCH("Total_Acquisition_Time",DATOS3!$1:$1,0)))</f>
        <v>#N/A</v>
      </c>
    </row>
    <row r="385" spans="1:12" x14ac:dyDescent="0.25">
      <c r="A385">
        <v>385</v>
      </c>
      <c r="B385" t="e">
        <f t="shared" si="5"/>
        <v>#N/A</v>
      </c>
      <c r="D385" t="e">
        <f>IF(INDEX(DATOS3!$1:$19397,A385,MATCH("PatientID",DATOS3!$1:$1,0))=0,"",INDEX(DATOS3!$1:$19397,A385,MATCH("PatientID",DATOS3!$1:$1,0)))</f>
        <v>#N/A</v>
      </c>
      <c r="F385" t="e">
        <f>IF(INDEX(DATOS3!$1:$19397,A385,MATCH("SeriesDate",DATOS3!$1:$1,0))=0,"",INDEX(DATOS3!$1:$19397,A385,MATCH("SeriesDate",DATOS3!$1:$1,0)))</f>
        <v>#N/A</v>
      </c>
      <c r="G385" t="e">
        <f>IF(INDEX(DATOS3!$1:$19397,A385,MATCH("SeriesTime",DATOS3!$1:$1,0))=0,"",INDEX(DATOS3!$1:$19397,A385,MATCH("SeriesTime",DATOS3!$1:$1,0)))</f>
        <v>#N/A</v>
      </c>
      <c r="H385" t="e">
        <f>IF(INDEX(DATOS3!$1:$19397,A385,MATCH("StudyDescription",DATOS3!$1:$1,0))=0,"",INDEX(DATOS3!$1:$19397,A385,MATCH("StudyDescription",DATOS3!$1:$1,0)))</f>
        <v>#N/A</v>
      </c>
      <c r="I385" t="e">
        <f>IF(INDEX(DATOS3!$1:$19397,A385,MATCH("Dose_Area_Product_Total",DATOS3!$1:$1,0))=0,0,INDEX(DATOS3!$1:$19397,A385,MATCH("Dose_Area_Product_Total",DATOS3!$1:$1,0)))</f>
        <v>#N/A</v>
      </c>
      <c r="J385" t="e">
        <f>IF(INDEX(DATOS3!$1:$19397,A385,MATCH("Dose_RP_Total",DATOS3!$1:$1,0))=0,0,INDEX(DATOS3!$1:$19397,A385,MATCH("Dose_RP_Total",DATOS3!$1:$1,0)))</f>
        <v>#N/A</v>
      </c>
      <c r="K385" t="e">
        <f>IF(INDEX(DATOS3!$1:$19397,A385,MATCH("Total_Fluoro_Time",DATOS3!$1:$1,0))=0,0,INDEX(DATOS3!$1:$19397,A385,MATCH("Total_Fluoro_Time",DATOS3!$1:$1,0)))</f>
        <v>#N/A</v>
      </c>
      <c r="L385" t="e">
        <f>IF(INDEX(DATOS3!$1:$19397,A385,MATCH("Total_Acquisition_Time",DATOS3!$1:$1,0))=0,0,INDEX(DATOS3!$1:$19397,A385,MATCH("Total_Acquisition_Time",DATOS3!$1:$1,0)))</f>
        <v>#N/A</v>
      </c>
    </row>
    <row r="386" spans="1:12" x14ac:dyDescent="0.25">
      <c r="A386">
        <v>386</v>
      </c>
      <c r="B386" t="e">
        <f t="shared" si="5"/>
        <v>#N/A</v>
      </c>
      <c r="D386" t="e">
        <f>IF(INDEX(DATOS3!$1:$19397,A386,MATCH("PatientID",DATOS3!$1:$1,0))=0,"",INDEX(DATOS3!$1:$19397,A386,MATCH("PatientID",DATOS3!$1:$1,0)))</f>
        <v>#N/A</v>
      </c>
      <c r="F386" t="e">
        <f>IF(INDEX(DATOS3!$1:$19397,A386,MATCH("SeriesDate",DATOS3!$1:$1,0))=0,"",INDEX(DATOS3!$1:$19397,A386,MATCH("SeriesDate",DATOS3!$1:$1,0)))</f>
        <v>#N/A</v>
      </c>
      <c r="G386" t="e">
        <f>IF(INDEX(DATOS3!$1:$19397,A386,MATCH("SeriesTime",DATOS3!$1:$1,0))=0,"",INDEX(DATOS3!$1:$19397,A386,MATCH("SeriesTime",DATOS3!$1:$1,0)))</f>
        <v>#N/A</v>
      </c>
      <c r="H386" t="e">
        <f>IF(INDEX(DATOS3!$1:$19397,A386,MATCH("StudyDescription",DATOS3!$1:$1,0))=0,"",INDEX(DATOS3!$1:$19397,A386,MATCH("StudyDescription",DATOS3!$1:$1,0)))</f>
        <v>#N/A</v>
      </c>
      <c r="I386" t="e">
        <f>IF(INDEX(DATOS3!$1:$19397,A386,MATCH("Dose_Area_Product_Total",DATOS3!$1:$1,0))=0,0,INDEX(DATOS3!$1:$19397,A386,MATCH("Dose_Area_Product_Total",DATOS3!$1:$1,0)))</f>
        <v>#N/A</v>
      </c>
      <c r="J386" t="e">
        <f>IF(INDEX(DATOS3!$1:$19397,A386,MATCH("Dose_RP_Total",DATOS3!$1:$1,0))=0,0,INDEX(DATOS3!$1:$19397,A386,MATCH("Dose_RP_Total",DATOS3!$1:$1,0)))</f>
        <v>#N/A</v>
      </c>
      <c r="K386" t="e">
        <f>IF(INDEX(DATOS3!$1:$19397,A386,MATCH("Total_Fluoro_Time",DATOS3!$1:$1,0))=0,0,INDEX(DATOS3!$1:$19397,A386,MATCH("Total_Fluoro_Time",DATOS3!$1:$1,0)))</f>
        <v>#N/A</v>
      </c>
      <c r="L386" t="e">
        <f>IF(INDEX(DATOS3!$1:$19397,A386,MATCH("Total_Acquisition_Time",DATOS3!$1:$1,0))=0,0,INDEX(DATOS3!$1:$19397,A386,MATCH("Total_Acquisition_Time",DATOS3!$1:$1,0)))</f>
        <v>#N/A</v>
      </c>
    </row>
    <row r="387" spans="1:12" x14ac:dyDescent="0.25">
      <c r="A387">
        <v>387</v>
      </c>
      <c r="B387" t="e">
        <f t="shared" ref="B387:B450" si="6">IF(D387="","","HIBRIDO")</f>
        <v>#N/A</v>
      </c>
      <c r="D387" t="e">
        <f>IF(INDEX(DATOS3!$1:$19397,A387,MATCH("PatientID",DATOS3!$1:$1,0))=0,"",INDEX(DATOS3!$1:$19397,A387,MATCH("PatientID",DATOS3!$1:$1,0)))</f>
        <v>#N/A</v>
      </c>
      <c r="F387" t="e">
        <f>IF(INDEX(DATOS3!$1:$19397,A387,MATCH("SeriesDate",DATOS3!$1:$1,0))=0,"",INDEX(DATOS3!$1:$19397,A387,MATCH("SeriesDate",DATOS3!$1:$1,0)))</f>
        <v>#N/A</v>
      </c>
      <c r="G387" t="e">
        <f>IF(INDEX(DATOS3!$1:$19397,A387,MATCH("SeriesTime",DATOS3!$1:$1,0))=0,"",INDEX(DATOS3!$1:$19397,A387,MATCH("SeriesTime",DATOS3!$1:$1,0)))</f>
        <v>#N/A</v>
      </c>
      <c r="H387" t="e">
        <f>IF(INDEX(DATOS3!$1:$19397,A387,MATCH("StudyDescription",DATOS3!$1:$1,0))=0,"",INDEX(DATOS3!$1:$19397,A387,MATCH("StudyDescription",DATOS3!$1:$1,0)))</f>
        <v>#N/A</v>
      </c>
      <c r="I387" t="e">
        <f>IF(INDEX(DATOS3!$1:$19397,A387,MATCH("Dose_Area_Product_Total",DATOS3!$1:$1,0))=0,0,INDEX(DATOS3!$1:$19397,A387,MATCH("Dose_Area_Product_Total",DATOS3!$1:$1,0)))</f>
        <v>#N/A</v>
      </c>
      <c r="J387" t="e">
        <f>IF(INDEX(DATOS3!$1:$19397,A387,MATCH("Dose_RP_Total",DATOS3!$1:$1,0))=0,0,INDEX(DATOS3!$1:$19397,A387,MATCH("Dose_RP_Total",DATOS3!$1:$1,0)))</f>
        <v>#N/A</v>
      </c>
      <c r="K387" t="e">
        <f>IF(INDEX(DATOS3!$1:$19397,A387,MATCH("Total_Fluoro_Time",DATOS3!$1:$1,0))=0,0,INDEX(DATOS3!$1:$19397,A387,MATCH("Total_Fluoro_Time",DATOS3!$1:$1,0)))</f>
        <v>#N/A</v>
      </c>
      <c r="L387" t="e">
        <f>IF(INDEX(DATOS3!$1:$19397,A387,MATCH("Total_Acquisition_Time",DATOS3!$1:$1,0))=0,0,INDEX(DATOS3!$1:$19397,A387,MATCH("Total_Acquisition_Time",DATOS3!$1:$1,0)))</f>
        <v>#N/A</v>
      </c>
    </row>
    <row r="388" spans="1:12" x14ac:dyDescent="0.25">
      <c r="A388">
        <v>388</v>
      </c>
      <c r="B388" t="e">
        <f t="shared" si="6"/>
        <v>#N/A</v>
      </c>
      <c r="D388" t="e">
        <f>IF(INDEX(DATOS3!$1:$19397,A388,MATCH("PatientID",DATOS3!$1:$1,0))=0,"",INDEX(DATOS3!$1:$19397,A388,MATCH("PatientID",DATOS3!$1:$1,0)))</f>
        <v>#N/A</v>
      </c>
      <c r="F388" t="e">
        <f>IF(INDEX(DATOS3!$1:$19397,A388,MATCH("SeriesDate",DATOS3!$1:$1,0))=0,"",INDEX(DATOS3!$1:$19397,A388,MATCH("SeriesDate",DATOS3!$1:$1,0)))</f>
        <v>#N/A</v>
      </c>
      <c r="G388" t="e">
        <f>IF(INDEX(DATOS3!$1:$19397,A388,MATCH("SeriesTime",DATOS3!$1:$1,0))=0,"",INDEX(DATOS3!$1:$19397,A388,MATCH("SeriesTime",DATOS3!$1:$1,0)))</f>
        <v>#N/A</v>
      </c>
      <c r="H388" t="e">
        <f>IF(INDEX(DATOS3!$1:$19397,A388,MATCH("StudyDescription",DATOS3!$1:$1,0))=0,"",INDEX(DATOS3!$1:$19397,A388,MATCH("StudyDescription",DATOS3!$1:$1,0)))</f>
        <v>#N/A</v>
      </c>
      <c r="I388" t="e">
        <f>IF(INDEX(DATOS3!$1:$19397,A388,MATCH("Dose_Area_Product_Total",DATOS3!$1:$1,0))=0,0,INDEX(DATOS3!$1:$19397,A388,MATCH("Dose_Area_Product_Total",DATOS3!$1:$1,0)))</f>
        <v>#N/A</v>
      </c>
      <c r="J388" t="e">
        <f>IF(INDEX(DATOS3!$1:$19397,A388,MATCH("Dose_RP_Total",DATOS3!$1:$1,0))=0,0,INDEX(DATOS3!$1:$19397,A388,MATCH("Dose_RP_Total",DATOS3!$1:$1,0)))</f>
        <v>#N/A</v>
      </c>
      <c r="K388" t="e">
        <f>IF(INDEX(DATOS3!$1:$19397,A388,MATCH("Total_Fluoro_Time",DATOS3!$1:$1,0))=0,0,INDEX(DATOS3!$1:$19397,A388,MATCH("Total_Fluoro_Time",DATOS3!$1:$1,0)))</f>
        <v>#N/A</v>
      </c>
      <c r="L388" t="e">
        <f>IF(INDEX(DATOS3!$1:$19397,A388,MATCH("Total_Acquisition_Time",DATOS3!$1:$1,0))=0,0,INDEX(DATOS3!$1:$19397,A388,MATCH("Total_Acquisition_Time",DATOS3!$1:$1,0)))</f>
        <v>#N/A</v>
      </c>
    </row>
    <row r="389" spans="1:12" x14ac:dyDescent="0.25">
      <c r="A389">
        <v>389</v>
      </c>
      <c r="B389" t="e">
        <f t="shared" si="6"/>
        <v>#N/A</v>
      </c>
      <c r="D389" t="e">
        <f>IF(INDEX(DATOS3!$1:$19397,A389,MATCH("PatientID",DATOS3!$1:$1,0))=0,"",INDEX(DATOS3!$1:$19397,A389,MATCH("PatientID",DATOS3!$1:$1,0)))</f>
        <v>#N/A</v>
      </c>
      <c r="F389" t="e">
        <f>IF(INDEX(DATOS3!$1:$19397,A389,MATCH("SeriesDate",DATOS3!$1:$1,0))=0,"",INDEX(DATOS3!$1:$19397,A389,MATCH("SeriesDate",DATOS3!$1:$1,0)))</f>
        <v>#N/A</v>
      </c>
      <c r="G389" t="e">
        <f>IF(INDEX(DATOS3!$1:$19397,A389,MATCH("SeriesTime",DATOS3!$1:$1,0))=0,"",INDEX(DATOS3!$1:$19397,A389,MATCH("SeriesTime",DATOS3!$1:$1,0)))</f>
        <v>#N/A</v>
      </c>
      <c r="H389" t="e">
        <f>IF(INDEX(DATOS3!$1:$19397,A389,MATCH("StudyDescription",DATOS3!$1:$1,0))=0,"",INDEX(DATOS3!$1:$19397,A389,MATCH("StudyDescription",DATOS3!$1:$1,0)))</f>
        <v>#N/A</v>
      </c>
      <c r="I389" t="e">
        <f>IF(INDEX(DATOS3!$1:$19397,A389,MATCH("Dose_Area_Product_Total",DATOS3!$1:$1,0))=0,0,INDEX(DATOS3!$1:$19397,A389,MATCH("Dose_Area_Product_Total",DATOS3!$1:$1,0)))</f>
        <v>#N/A</v>
      </c>
      <c r="J389" t="e">
        <f>IF(INDEX(DATOS3!$1:$19397,A389,MATCH("Dose_RP_Total",DATOS3!$1:$1,0))=0,0,INDEX(DATOS3!$1:$19397,A389,MATCH("Dose_RP_Total",DATOS3!$1:$1,0)))</f>
        <v>#N/A</v>
      </c>
      <c r="K389" t="e">
        <f>IF(INDEX(DATOS3!$1:$19397,A389,MATCH("Total_Fluoro_Time",DATOS3!$1:$1,0))=0,0,INDEX(DATOS3!$1:$19397,A389,MATCH("Total_Fluoro_Time",DATOS3!$1:$1,0)))</f>
        <v>#N/A</v>
      </c>
      <c r="L389" t="e">
        <f>IF(INDEX(DATOS3!$1:$19397,A389,MATCH("Total_Acquisition_Time",DATOS3!$1:$1,0))=0,0,INDEX(DATOS3!$1:$19397,A389,MATCH("Total_Acquisition_Time",DATOS3!$1:$1,0)))</f>
        <v>#N/A</v>
      </c>
    </row>
    <row r="390" spans="1:12" x14ac:dyDescent="0.25">
      <c r="A390">
        <v>390</v>
      </c>
      <c r="B390" t="e">
        <f t="shared" si="6"/>
        <v>#N/A</v>
      </c>
      <c r="D390" t="e">
        <f>IF(INDEX(DATOS3!$1:$19397,A390,MATCH("PatientID",DATOS3!$1:$1,0))=0,"",INDEX(DATOS3!$1:$19397,A390,MATCH("PatientID",DATOS3!$1:$1,0)))</f>
        <v>#N/A</v>
      </c>
      <c r="F390" t="e">
        <f>IF(INDEX(DATOS3!$1:$19397,A390,MATCH("SeriesDate",DATOS3!$1:$1,0))=0,"",INDEX(DATOS3!$1:$19397,A390,MATCH("SeriesDate",DATOS3!$1:$1,0)))</f>
        <v>#N/A</v>
      </c>
      <c r="G390" t="e">
        <f>IF(INDEX(DATOS3!$1:$19397,A390,MATCH("SeriesTime",DATOS3!$1:$1,0))=0,"",INDEX(DATOS3!$1:$19397,A390,MATCH("SeriesTime",DATOS3!$1:$1,0)))</f>
        <v>#N/A</v>
      </c>
      <c r="H390" t="e">
        <f>IF(INDEX(DATOS3!$1:$19397,A390,MATCH("StudyDescription",DATOS3!$1:$1,0))=0,"",INDEX(DATOS3!$1:$19397,A390,MATCH("StudyDescription",DATOS3!$1:$1,0)))</f>
        <v>#N/A</v>
      </c>
      <c r="I390" t="e">
        <f>IF(INDEX(DATOS3!$1:$19397,A390,MATCH("Dose_Area_Product_Total",DATOS3!$1:$1,0))=0,0,INDEX(DATOS3!$1:$19397,A390,MATCH("Dose_Area_Product_Total",DATOS3!$1:$1,0)))</f>
        <v>#N/A</v>
      </c>
      <c r="J390" t="e">
        <f>IF(INDEX(DATOS3!$1:$19397,A390,MATCH("Dose_RP_Total",DATOS3!$1:$1,0))=0,0,INDEX(DATOS3!$1:$19397,A390,MATCH("Dose_RP_Total",DATOS3!$1:$1,0)))</f>
        <v>#N/A</v>
      </c>
      <c r="K390" t="e">
        <f>IF(INDEX(DATOS3!$1:$19397,A390,MATCH("Total_Fluoro_Time",DATOS3!$1:$1,0))=0,0,INDEX(DATOS3!$1:$19397,A390,MATCH("Total_Fluoro_Time",DATOS3!$1:$1,0)))</f>
        <v>#N/A</v>
      </c>
      <c r="L390" t="e">
        <f>IF(INDEX(DATOS3!$1:$19397,A390,MATCH("Total_Acquisition_Time",DATOS3!$1:$1,0))=0,0,INDEX(DATOS3!$1:$19397,A390,MATCH("Total_Acquisition_Time",DATOS3!$1:$1,0)))</f>
        <v>#N/A</v>
      </c>
    </row>
    <row r="391" spans="1:12" x14ac:dyDescent="0.25">
      <c r="A391">
        <v>391</v>
      </c>
      <c r="B391" t="e">
        <f t="shared" si="6"/>
        <v>#N/A</v>
      </c>
      <c r="D391" t="e">
        <f>IF(INDEX(DATOS3!$1:$19397,A391,MATCH("PatientID",DATOS3!$1:$1,0))=0,"",INDEX(DATOS3!$1:$19397,A391,MATCH("PatientID",DATOS3!$1:$1,0)))</f>
        <v>#N/A</v>
      </c>
      <c r="F391" t="e">
        <f>IF(INDEX(DATOS3!$1:$19397,A391,MATCH("SeriesDate",DATOS3!$1:$1,0))=0,"",INDEX(DATOS3!$1:$19397,A391,MATCH("SeriesDate",DATOS3!$1:$1,0)))</f>
        <v>#N/A</v>
      </c>
      <c r="G391" t="e">
        <f>IF(INDEX(DATOS3!$1:$19397,A391,MATCH("SeriesTime",DATOS3!$1:$1,0))=0,"",INDEX(DATOS3!$1:$19397,A391,MATCH("SeriesTime",DATOS3!$1:$1,0)))</f>
        <v>#N/A</v>
      </c>
      <c r="H391" t="e">
        <f>IF(INDEX(DATOS3!$1:$19397,A391,MATCH("StudyDescription",DATOS3!$1:$1,0))=0,"",INDEX(DATOS3!$1:$19397,A391,MATCH("StudyDescription",DATOS3!$1:$1,0)))</f>
        <v>#N/A</v>
      </c>
      <c r="I391" t="e">
        <f>IF(INDEX(DATOS3!$1:$19397,A391,MATCH("Dose_Area_Product_Total",DATOS3!$1:$1,0))=0,0,INDEX(DATOS3!$1:$19397,A391,MATCH("Dose_Area_Product_Total",DATOS3!$1:$1,0)))</f>
        <v>#N/A</v>
      </c>
      <c r="J391" t="e">
        <f>IF(INDEX(DATOS3!$1:$19397,A391,MATCH("Dose_RP_Total",DATOS3!$1:$1,0))=0,0,INDEX(DATOS3!$1:$19397,A391,MATCH("Dose_RP_Total",DATOS3!$1:$1,0)))</f>
        <v>#N/A</v>
      </c>
      <c r="K391" t="e">
        <f>IF(INDEX(DATOS3!$1:$19397,A391,MATCH("Total_Fluoro_Time",DATOS3!$1:$1,0))=0,0,INDEX(DATOS3!$1:$19397,A391,MATCH("Total_Fluoro_Time",DATOS3!$1:$1,0)))</f>
        <v>#N/A</v>
      </c>
      <c r="L391" t="e">
        <f>IF(INDEX(DATOS3!$1:$19397,A391,MATCH("Total_Acquisition_Time",DATOS3!$1:$1,0))=0,0,INDEX(DATOS3!$1:$19397,A391,MATCH("Total_Acquisition_Time",DATOS3!$1:$1,0)))</f>
        <v>#N/A</v>
      </c>
    </row>
    <row r="392" spans="1:12" x14ac:dyDescent="0.25">
      <c r="A392">
        <v>392</v>
      </c>
      <c r="B392" t="e">
        <f t="shared" si="6"/>
        <v>#N/A</v>
      </c>
      <c r="D392" t="e">
        <f>IF(INDEX(DATOS3!$1:$19397,A392,MATCH("PatientID",DATOS3!$1:$1,0))=0,"",INDEX(DATOS3!$1:$19397,A392,MATCH("PatientID",DATOS3!$1:$1,0)))</f>
        <v>#N/A</v>
      </c>
      <c r="F392" t="e">
        <f>IF(INDEX(DATOS3!$1:$19397,A392,MATCH("SeriesDate",DATOS3!$1:$1,0))=0,"",INDEX(DATOS3!$1:$19397,A392,MATCH("SeriesDate",DATOS3!$1:$1,0)))</f>
        <v>#N/A</v>
      </c>
      <c r="G392" t="e">
        <f>IF(INDEX(DATOS3!$1:$19397,A392,MATCH("SeriesTime",DATOS3!$1:$1,0))=0,"",INDEX(DATOS3!$1:$19397,A392,MATCH("SeriesTime",DATOS3!$1:$1,0)))</f>
        <v>#N/A</v>
      </c>
      <c r="H392" t="e">
        <f>IF(INDEX(DATOS3!$1:$19397,A392,MATCH("StudyDescription",DATOS3!$1:$1,0))=0,"",INDEX(DATOS3!$1:$19397,A392,MATCH("StudyDescription",DATOS3!$1:$1,0)))</f>
        <v>#N/A</v>
      </c>
      <c r="I392" t="e">
        <f>IF(INDEX(DATOS3!$1:$19397,A392,MATCH("Dose_Area_Product_Total",DATOS3!$1:$1,0))=0,0,INDEX(DATOS3!$1:$19397,A392,MATCH("Dose_Area_Product_Total",DATOS3!$1:$1,0)))</f>
        <v>#N/A</v>
      </c>
      <c r="J392" t="e">
        <f>IF(INDEX(DATOS3!$1:$19397,A392,MATCH("Dose_RP_Total",DATOS3!$1:$1,0))=0,0,INDEX(DATOS3!$1:$19397,A392,MATCH("Dose_RP_Total",DATOS3!$1:$1,0)))</f>
        <v>#N/A</v>
      </c>
      <c r="K392" t="e">
        <f>IF(INDEX(DATOS3!$1:$19397,A392,MATCH("Total_Fluoro_Time",DATOS3!$1:$1,0))=0,0,INDEX(DATOS3!$1:$19397,A392,MATCH("Total_Fluoro_Time",DATOS3!$1:$1,0)))</f>
        <v>#N/A</v>
      </c>
      <c r="L392" t="e">
        <f>IF(INDEX(DATOS3!$1:$19397,A392,MATCH("Total_Acquisition_Time",DATOS3!$1:$1,0))=0,0,INDEX(DATOS3!$1:$19397,A392,MATCH("Total_Acquisition_Time",DATOS3!$1:$1,0)))</f>
        <v>#N/A</v>
      </c>
    </row>
    <row r="393" spans="1:12" x14ac:dyDescent="0.25">
      <c r="A393">
        <v>393</v>
      </c>
      <c r="B393" t="e">
        <f t="shared" si="6"/>
        <v>#N/A</v>
      </c>
      <c r="D393" t="e">
        <f>IF(INDEX(DATOS3!$1:$19397,A393,MATCH("PatientID",DATOS3!$1:$1,0))=0,"",INDEX(DATOS3!$1:$19397,A393,MATCH("PatientID",DATOS3!$1:$1,0)))</f>
        <v>#N/A</v>
      </c>
      <c r="F393" t="e">
        <f>IF(INDEX(DATOS3!$1:$19397,A393,MATCH("SeriesDate",DATOS3!$1:$1,0))=0,"",INDEX(DATOS3!$1:$19397,A393,MATCH("SeriesDate",DATOS3!$1:$1,0)))</f>
        <v>#N/A</v>
      </c>
      <c r="G393" t="e">
        <f>IF(INDEX(DATOS3!$1:$19397,A393,MATCH("SeriesTime",DATOS3!$1:$1,0))=0,"",INDEX(DATOS3!$1:$19397,A393,MATCH("SeriesTime",DATOS3!$1:$1,0)))</f>
        <v>#N/A</v>
      </c>
      <c r="H393" t="e">
        <f>IF(INDEX(DATOS3!$1:$19397,A393,MATCH("StudyDescription",DATOS3!$1:$1,0))=0,"",INDEX(DATOS3!$1:$19397,A393,MATCH("StudyDescription",DATOS3!$1:$1,0)))</f>
        <v>#N/A</v>
      </c>
      <c r="I393" t="e">
        <f>IF(INDEX(DATOS3!$1:$19397,A393,MATCH("Dose_Area_Product_Total",DATOS3!$1:$1,0))=0,0,INDEX(DATOS3!$1:$19397,A393,MATCH("Dose_Area_Product_Total",DATOS3!$1:$1,0)))</f>
        <v>#N/A</v>
      </c>
      <c r="J393" t="e">
        <f>IF(INDEX(DATOS3!$1:$19397,A393,MATCH("Dose_RP_Total",DATOS3!$1:$1,0))=0,0,INDEX(DATOS3!$1:$19397,A393,MATCH("Dose_RP_Total",DATOS3!$1:$1,0)))</f>
        <v>#N/A</v>
      </c>
      <c r="K393" t="e">
        <f>IF(INDEX(DATOS3!$1:$19397,A393,MATCH("Total_Fluoro_Time",DATOS3!$1:$1,0))=0,0,INDEX(DATOS3!$1:$19397,A393,MATCH("Total_Fluoro_Time",DATOS3!$1:$1,0)))</f>
        <v>#N/A</v>
      </c>
      <c r="L393" t="e">
        <f>IF(INDEX(DATOS3!$1:$19397,A393,MATCH("Total_Acquisition_Time",DATOS3!$1:$1,0))=0,0,INDEX(DATOS3!$1:$19397,A393,MATCH("Total_Acquisition_Time",DATOS3!$1:$1,0)))</f>
        <v>#N/A</v>
      </c>
    </row>
    <row r="394" spans="1:12" x14ac:dyDescent="0.25">
      <c r="A394">
        <v>394</v>
      </c>
      <c r="B394" t="e">
        <f t="shared" si="6"/>
        <v>#N/A</v>
      </c>
      <c r="D394" t="e">
        <f>IF(INDEX(DATOS3!$1:$19397,A394,MATCH("PatientID",DATOS3!$1:$1,0))=0,"",INDEX(DATOS3!$1:$19397,A394,MATCH("PatientID",DATOS3!$1:$1,0)))</f>
        <v>#N/A</v>
      </c>
      <c r="F394" t="e">
        <f>IF(INDEX(DATOS3!$1:$19397,A394,MATCH("SeriesDate",DATOS3!$1:$1,0))=0,"",INDEX(DATOS3!$1:$19397,A394,MATCH("SeriesDate",DATOS3!$1:$1,0)))</f>
        <v>#N/A</v>
      </c>
      <c r="G394" t="e">
        <f>IF(INDEX(DATOS3!$1:$19397,A394,MATCH("SeriesTime",DATOS3!$1:$1,0))=0,"",INDEX(DATOS3!$1:$19397,A394,MATCH("SeriesTime",DATOS3!$1:$1,0)))</f>
        <v>#N/A</v>
      </c>
      <c r="H394" t="e">
        <f>IF(INDEX(DATOS3!$1:$19397,A394,MATCH("StudyDescription",DATOS3!$1:$1,0))=0,"",INDEX(DATOS3!$1:$19397,A394,MATCH("StudyDescription",DATOS3!$1:$1,0)))</f>
        <v>#N/A</v>
      </c>
      <c r="I394" t="e">
        <f>IF(INDEX(DATOS3!$1:$19397,A394,MATCH("Dose_Area_Product_Total",DATOS3!$1:$1,0))=0,0,INDEX(DATOS3!$1:$19397,A394,MATCH("Dose_Area_Product_Total",DATOS3!$1:$1,0)))</f>
        <v>#N/A</v>
      </c>
      <c r="J394" t="e">
        <f>IF(INDEX(DATOS3!$1:$19397,A394,MATCH("Dose_RP_Total",DATOS3!$1:$1,0))=0,0,INDEX(DATOS3!$1:$19397,A394,MATCH("Dose_RP_Total",DATOS3!$1:$1,0)))</f>
        <v>#N/A</v>
      </c>
      <c r="K394" t="e">
        <f>IF(INDEX(DATOS3!$1:$19397,A394,MATCH("Total_Fluoro_Time",DATOS3!$1:$1,0))=0,0,INDEX(DATOS3!$1:$19397,A394,MATCH("Total_Fluoro_Time",DATOS3!$1:$1,0)))</f>
        <v>#N/A</v>
      </c>
      <c r="L394" t="e">
        <f>IF(INDEX(DATOS3!$1:$19397,A394,MATCH("Total_Acquisition_Time",DATOS3!$1:$1,0))=0,0,INDEX(DATOS3!$1:$19397,A394,MATCH("Total_Acquisition_Time",DATOS3!$1:$1,0)))</f>
        <v>#N/A</v>
      </c>
    </row>
    <row r="395" spans="1:12" x14ac:dyDescent="0.25">
      <c r="A395">
        <v>395</v>
      </c>
      <c r="B395" t="e">
        <f t="shared" si="6"/>
        <v>#N/A</v>
      </c>
      <c r="D395" t="e">
        <f>IF(INDEX(DATOS3!$1:$19397,A395,MATCH("PatientID",DATOS3!$1:$1,0))=0,"",INDEX(DATOS3!$1:$19397,A395,MATCH("PatientID",DATOS3!$1:$1,0)))</f>
        <v>#N/A</v>
      </c>
      <c r="F395" t="e">
        <f>IF(INDEX(DATOS3!$1:$19397,A395,MATCH("SeriesDate",DATOS3!$1:$1,0))=0,"",INDEX(DATOS3!$1:$19397,A395,MATCH("SeriesDate",DATOS3!$1:$1,0)))</f>
        <v>#N/A</v>
      </c>
      <c r="G395" t="e">
        <f>IF(INDEX(DATOS3!$1:$19397,A395,MATCH("SeriesTime",DATOS3!$1:$1,0))=0,"",INDEX(DATOS3!$1:$19397,A395,MATCH("SeriesTime",DATOS3!$1:$1,0)))</f>
        <v>#N/A</v>
      </c>
      <c r="H395" t="e">
        <f>IF(INDEX(DATOS3!$1:$19397,A395,MATCH("StudyDescription",DATOS3!$1:$1,0))=0,"",INDEX(DATOS3!$1:$19397,A395,MATCH("StudyDescription",DATOS3!$1:$1,0)))</f>
        <v>#N/A</v>
      </c>
      <c r="I395" t="e">
        <f>IF(INDEX(DATOS3!$1:$19397,A395,MATCH("Dose_Area_Product_Total",DATOS3!$1:$1,0))=0,0,INDEX(DATOS3!$1:$19397,A395,MATCH("Dose_Area_Product_Total",DATOS3!$1:$1,0)))</f>
        <v>#N/A</v>
      </c>
      <c r="J395" t="e">
        <f>IF(INDEX(DATOS3!$1:$19397,A395,MATCH("Dose_RP_Total",DATOS3!$1:$1,0))=0,0,INDEX(DATOS3!$1:$19397,A395,MATCH("Dose_RP_Total",DATOS3!$1:$1,0)))</f>
        <v>#N/A</v>
      </c>
      <c r="K395" t="e">
        <f>IF(INDEX(DATOS3!$1:$19397,A395,MATCH("Total_Fluoro_Time",DATOS3!$1:$1,0))=0,0,INDEX(DATOS3!$1:$19397,A395,MATCH("Total_Fluoro_Time",DATOS3!$1:$1,0)))</f>
        <v>#N/A</v>
      </c>
      <c r="L395" t="e">
        <f>IF(INDEX(DATOS3!$1:$19397,A395,MATCH("Total_Acquisition_Time",DATOS3!$1:$1,0))=0,0,INDEX(DATOS3!$1:$19397,A395,MATCH("Total_Acquisition_Time",DATOS3!$1:$1,0)))</f>
        <v>#N/A</v>
      </c>
    </row>
    <row r="396" spans="1:12" x14ac:dyDescent="0.25">
      <c r="A396">
        <v>396</v>
      </c>
      <c r="B396" t="e">
        <f t="shared" si="6"/>
        <v>#N/A</v>
      </c>
      <c r="D396" t="e">
        <f>IF(INDEX(DATOS3!$1:$19397,A396,MATCH("PatientID",DATOS3!$1:$1,0))=0,"",INDEX(DATOS3!$1:$19397,A396,MATCH("PatientID",DATOS3!$1:$1,0)))</f>
        <v>#N/A</v>
      </c>
      <c r="F396" t="e">
        <f>IF(INDEX(DATOS3!$1:$19397,A396,MATCH("SeriesDate",DATOS3!$1:$1,0))=0,"",INDEX(DATOS3!$1:$19397,A396,MATCH("SeriesDate",DATOS3!$1:$1,0)))</f>
        <v>#N/A</v>
      </c>
      <c r="G396" t="e">
        <f>IF(INDEX(DATOS3!$1:$19397,A396,MATCH("SeriesTime",DATOS3!$1:$1,0))=0,"",INDEX(DATOS3!$1:$19397,A396,MATCH("SeriesTime",DATOS3!$1:$1,0)))</f>
        <v>#N/A</v>
      </c>
      <c r="H396" t="e">
        <f>IF(INDEX(DATOS3!$1:$19397,A396,MATCH("StudyDescription",DATOS3!$1:$1,0))=0,"",INDEX(DATOS3!$1:$19397,A396,MATCH("StudyDescription",DATOS3!$1:$1,0)))</f>
        <v>#N/A</v>
      </c>
      <c r="I396" t="e">
        <f>IF(INDEX(DATOS3!$1:$19397,A396,MATCH("Dose_Area_Product_Total",DATOS3!$1:$1,0))=0,0,INDEX(DATOS3!$1:$19397,A396,MATCH("Dose_Area_Product_Total",DATOS3!$1:$1,0)))</f>
        <v>#N/A</v>
      </c>
      <c r="J396" t="e">
        <f>IF(INDEX(DATOS3!$1:$19397,A396,MATCH("Dose_RP_Total",DATOS3!$1:$1,0))=0,0,INDEX(DATOS3!$1:$19397,A396,MATCH("Dose_RP_Total",DATOS3!$1:$1,0)))</f>
        <v>#N/A</v>
      </c>
      <c r="K396" t="e">
        <f>IF(INDEX(DATOS3!$1:$19397,A396,MATCH("Total_Fluoro_Time",DATOS3!$1:$1,0))=0,0,INDEX(DATOS3!$1:$19397,A396,MATCH("Total_Fluoro_Time",DATOS3!$1:$1,0)))</f>
        <v>#N/A</v>
      </c>
      <c r="L396" t="e">
        <f>IF(INDEX(DATOS3!$1:$19397,A396,MATCH("Total_Acquisition_Time",DATOS3!$1:$1,0))=0,0,INDEX(DATOS3!$1:$19397,A396,MATCH("Total_Acquisition_Time",DATOS3!$1:$1,0)))</f>
        <v>#N/A</v>
      </c>
    </row>
    <row r="397" spans="1:12" x14ac:dyDescent="0.25">
      <c r="A397">
        <v>397</v>
      </c>
      <c r="B397" t="e">
        <f t="shared" si="6"/>
        <v>#N/A</v>
      </c>
      <c r="D397" t="e">
        <f>IF(INDEX(DATOS3!$1:$19397,A397,MATCH("PatientID",DATOS3!$1:$1,0))=0,"",INDEX(DATOS3!$1:$19397,A397,MATCH("PatientID",DATOS3!$1:$1,0)))</f>
        <v>#N/A</v>
      </c>
      <c r="F397" t="e">
        <f>IF(INDEX(DATOS3!$1:$19397,A397,MATCH("SeriesDate",DATOS3!$1:$1,0))=0,"",INDEX(DATOS3!$1:$19397,A397,MATCH("SeriesDate",DATOS3!$1:$1,0)))</f>
        <v>#N/A</v>
      </c>
      <c r="G397" t="e">
        <f>IF(INDEX(DATOS3!$1:$19397,A397,MATCH("SeriesTime",DATOS3!$1:$1,0))=0,"",INDEX(DATOS3!$1:$19397,A397,MATCH("SeriesTime",DATOS3!$1:$1,0)))</f>
        <v>#N/A</v>
      </c>
      <c r="H397" t="e">
        <f>IF(INDEX(DATOS3!$1:$19397,A397,MATCH("StudyDescription",DATOS3!$1:$1,0))=0,"",INDEX(DATOS3!$1:$19397,A397,MATCH("StudyDescription",DATOS3!$1:$1,0)))</f>
        <v>#N/A</v>
      </c>
      <c r="I397" t="e">
        <f>IF(INDEX(DATOS3!$1:$19397,A397,MATCH("Dose_Area_Product_Total",DATOS3!$1:$1,0))=0,0,INDEX(DATOS3!$1:$19397,A397,MATCH("Dose_Area_Product_Total",DATOS3!$1:$1,0)))</f>
        <v>#N/A</v>
      </c>
      <c r="J397" t="e">
        <f>IF(INDEX(DATOS3!$1:$19397,A397,MATCH("Dose_RP_Total",DATOS3!$1:$1,0))=0,0,INDEX(DATOS3!$1:$19397,A397,MATCH("Dose_RP_Total",DATOS3!$1:$1,0)))</f>
        <v>#N/A</v>
      </c>
      <c r="K397" t="e">
        <f>IF(INDEX(DATOS3!$1:$19397,A397,MATCH("Total_Fluoro_Time",DATOS3!$1:$1,0))=0,0,INDEX(DATOS3!$1:$19397,A397,MATCH("Total_Fluoro_Time",DATOS3!$1:$1,0)))</f>
        <v>#N/A</v>
      </c>
      <c r="L397" t="e">
        <f>IF(INDEX(DATOS3!$1:$19397,A397,MATCH("Total_Acquisition_Time",DATOS3!$1:$1,0))=0,0,INDEX(DATOS3!$1:$19397,A397,MATCH("Total_Acquisition_Time",DATOS3!$1:$1,0)))</f>
        <v>#N/A</v>
      </c>
    </row>
    <row r="398" spans="1:12" x14ac:dyDescent="0.25">
      <c r="A398">
        <v>398</v>
      </c>
      <c r="B398" t="e">
        <f t="shared" si="6"/>
        <v>#N/A</v>
      </c>
      <c r="D398" t="e">
        <f>IF(INDEX(DATOS3!$1:$19397,A398,MATCH("PatientID",DATOS3!$1:$1,0))=0,"",INDEX(DATOS3!$1:$19397,A398,MATCH("PatientID",DATOS3!$1:$1,0)))</f>
        <v>#N/A</v>
      </c>
      <c r="F398" t="e">
        <f>IF(INDEX(DATOS3!$1:$19397,A398,MATCH("SeriesDate",DATOS3!$1:$1,0))=0,"",INDEX(DATOS3!$1:$19397,A398,MATCH("SeriesDate",DATOS3!$1:$1,0)))</f>
        <v>#N/A</v>
      </c>
      <c r="G398" t="e">
        <f>IF(INDEX(DATOS3!$1:$19397,A398,MATCH("SeriesTime",DATOS3!$1:$1,0))=0,"",INDEX(DATOS3!$1:$19397,A398,MATCH("SeriesTime",DATOS3!$1:$1,0)))</f>
        <v>#N/A</v>
      </c>
      <c r="H398" t="e">
        <f>IF(INDEX(DATOS3!$1:$19397,A398,MATCH("StudyDescription",DATOS3!$1:$1,0))=0,"",INDEX(DATOS3!$1:$19397,A398,MATCH("StudyDescription",DATOS3!$1:$1,0)))</f>
        <v>#N/A</v>
      </c>
      <c r="I398" t="e">
        <f>IF(INDEX(DATOS3!$1:$19397,A398,MATCH("Dose_Area_Product_Total",DATOS3!$1:$1,0))=0,0,INDEX(DATOS3!$1:$19397,A398,MATCH("Dose_Area_Product_Total",DATOS3!$1:$1,0)))</f>
        <v>#N/A</v>
      </c>
      <c r="J398" t="e">
        <f>IF(INDEX(DATOS3!$1:$19397,A398,MATCH("Dose_RP_Total",DATOS3!$1:$1,0))=0,0,INDEX(DATOS3!$1:$19397,A398,MATCH("Dose_RP_Total",DATOS3!$1:$1,0)))</f>
        <v>#N/A</v>
      </c>
      <c r="K398" t="e">
        <f>IF(INDEX(DATOS3!$1:$19397,A398,MATCH("Total_Fluoro_Time",DATOS3!$1:$1,0))=0,0,INDEX(DATOS3!$1:$19397,A398,MATCH("Total_Fluoro_Time",DATOS3!$1:$1,0)))</f>
        <v>#N/A</v>
      </c>
      <c r="L398" t="e">
        <f>IF(INDEX(DATOS3!$1:$19397,A398,MATCH("Total_Acquisition_Time",DATOS3!$1:$1,0))=0,0,INDEX(DATOS3!$1:$19397,A398,MATCH("Total_Acquisition_Time",DATOS3!$1:$1,0)))</f>
        <v>#N/A</v>
      </c>
    </row>
    <row r="399" spans="1:12" x14ac:dyDescent="0.25">
      <c r="A399">
        <v>399</v>
      </c>
      <c r="B399" t="e">
        <f t="shared" si="6"/>
        <v>#N/A</v>
      </c>
      <c r="D399" t="e">
        <f>IF(INDEX(DATOS3!$1:$19397,A399,MATCH("PatientID",DATOS3!$1:$1,0))=0,"",INDEX(DATOS3!$1:$19397,A399,MATCH("PatientID",DATOS3!$1:$1,0)))</f>
        <v>#N/A</v>
      </c>
      <c r="F399" t="e">
        <f>IF(INDEX(DATOS3!$1:$19397,A399,MATCH("SeriesDate",DATOS3!$1:$1,0))=0,"",INDEX(DATOS3!$1:$19397,A399,MATCH("SeriesDate",DATOS3!$1:$1,0)))</f>
        <v>#N/A</v>
      </c>
      <c r="G399" t="e">
        <f>IF(INDEX(DATOS3!$1:$19397,A399,MATCH("SeriesTime",DATOS3!$1:$1,0))=0,"",INDEX(DATOS3!$1:$19397,A399,MATCH("SeriesTime",DATOS3!$1:$1,0)))</f>
        <v>#N/A</v>
      </c>
      <c r="H399" t="e">
        <f>IF(INDEX(DATOS3!$1:$19397,A399,MATCH("StudyDescription",DATOS3!$1:$1,0))=0,"",INDEX(DATOS3!$1:$19397,A399,MATCH("StudyDescription",DATOS3!$1:$1,0)))</f>
        <v>#N/A</v>
      </c>
      <c r="I399" t="e">
        <f>IF(INDEX(DATOS3!$1:$19397,A399,MATCH("Dose_Area_Product_Total",DATOS3!$1:$1,0))=0,0,INDEX(DATOS3!$1:$19397,A399,MATCH("Dose_Area_Product_Total",DATOS3!$1:$1,0)))</f>
        <v>#N/A</v>
      </c>
      <c r="J399" t="e">
        <f>IF(INDEX(DATOS3!$1:$19397,A399,MATCH("Dose_RP_Total",DATOS3!$1:$1,0))=0,0,INDEX(DATOS3!$1:$19397,A399,MATCH("Dose_RP_Total",DATOS3!$1:$1,0)))</f>
        <v>#N/A</v>
      </c>
      <c r="K399" t="e">
        <f>IF(INDEX(DATOS3!$1:$19397,A399,MATCH("Total_Fluoro_Time",DATOS3!$1:$1,0))=0,0,INDEX(DATOS3!$1:$19397,A399,MATCH("Total_Fluoro_Time",DATOS3!$1:$1,0)))</f>
        <v>#N/A</v>
      </c>
      <c r="L399" t="e">
        <f>IF(INDEX(DATOS3!$1:$19397,A399,MATCH("Total_Acquisition_Time",DATOS3!$1:$1,0))=0,0,INDEX(DATOS3!$1:$19397,A399,MATCH("Total_Acquisition_Time",DATOS3!$1:$1,0)))</f>
        <v>#N/A</v>
      </c>
    </row>
    <row r="400" spans="1:12" x14ac:dyDescent="0.25">
      <c r="A400">
        <v>400</v>
      </c>
      <c r="B400" t="e">
        <f t="shared" si="6"/>
        <v>#N/A</v>
      </c>
      <c r="D400" t="e">
        <f>IF(INDEX(DATOS3!$1:$19397,A400,MATCH("PatientID",DATOS3!$1:$1,0))=0,"",INDEX(DATOS3!$1:$19397,A400,MATCH("PatientID",DATOS3!$1:$1,0)))</f>
        <v>#N/A</v>
      </c>
      <c r="F400" t="e">
        <f>IF(INDEX(DATOS3!$1:$19397,A400,MATCH("SeriesDate",DATOS3!$1:$1,0))=0,"",INDEX(DATOS3!$1:$19397,A400,MATCH("SeriesDate",DATOS3!$1:$1,0)))</f>
        <v>#N/A</v>
      </c>
      <c r="G400" t="e">
        <f>IF(INDEX(DATOS3!$1:$19397,A400,MATCH("SeriesTime",DATOS3!$1:$1,0))=0,"",INDEX(DATOS3!$1:$19397,A400,MATCH("SeriesTime",DATOS3!$1:$1,0)))</f>
        <v>#N/A</v>
      </c>
      <c r="H400" t="e">
        <f>IF(INDEX(DATOS3!$1:$19397,A400,MATCH("StudyDescription",DATOS3!$1:$1,0))=0,"",INDEX(DATOS3!$1:$19397,A400,MATCH("StudyDescription",DATOS3!$1:$1,0)))</f>
        <v>#N/A</v>
      </c>
      <c r="I400" t="e">
        <f>IF(INDEX(DATOS3!$1:$19397,A400,MATCH("Dose_Area_Product_Total",DATOS3!$1:$1,0))=0,0,INDEX(DATOS3!$1:$19397,A400,MATCH("Dose_Area_Product_Total",DATOS3!$1:$1,0)))</f>
        <v>#N/A</v>
      </c>
      <c r="J400" t="e">
        <f>IF(INDEX(DATOS3!$1:$19397,A400,MATCH("Dose_RP_Total",DATOS3!$1:$1,0))=0,0,INDEX(DATOS3!$1:$19397,A400,MATCH("Dose_RP_Total",DATOS3!$1:$1,0)))</f>
        <v>#N/A</v>
      </c>
      <c r="K400" t="e">
        <f>IF(INDEX(DATOS3!$1:$19397,A400,MATCH("Total_Fluoro_Time",DATOS3!$1:$1,0))=0,0,INDEX(DATOS3!$1:$19397,A400,MATCH("Total_Fluoro_Time",DATOS3!$1:$1,0)))</f>
        <v>#N/A</v>
      </c>
      <c r="L400" t="e">
        <f>IF(INDEX(DATOS3!$1:$19397,A400,MATCH("Total_Acquisition_Time",DATOS3!$1:$1,0))=0,0,INDEX(DATOS3!$1:$19397,A400,MATCH("Total_Acquisition_Time",DATOS3!$1:$1,0)))</f>
        <v>#N/A</v>
      </c>
    </row>
    <row r="401" spans="1:12" x14ac:dyDescent="0.25">
      <c r="A401">
        <v>401</v>
      </c>
      <c r="B401" t="e">
        <f t="shared" si="6"/>
        <v>#N/A</v>
      </c>
      <c r="D401" t="e">
        <f>IF(INDEX(DATOS3!$1:$19397,A401,MATCH("PatientID",DATOS3!$1:$1,0))=0,"",INDEX(DATOS3!$1:$19397,A401,MATCH("PatientID",DATOS3!$1:$1,0)))</f>
        <v>#N/A</v>
      </c>
      <c r="F401" t="e">
        <f>IF(INDEX(DATOS3!$1:$19397,A401,MATCH("SeriesDate",DATOS3!$1:$1,0))=0,"",INDEX(DATOS3!$1:$19397,A401,MATCH("SeriesDate",DATOS3!$1:$1,0)))</f>
        <v>#N/A</v>
      </c>
      <c r="G401" t="e">
        <f>IF(INDEX(DATOS3!$1:$19397,A401,MATCH("SeriesTime",DATOS3!$1:$1,0))=0,"",INDEX(DATOS3!$1:$19397,A401,MATCH("SeriesTime",DATOS3!$1:$1,0)))</f>
        <v>#N/A</v>
      </c>
      <c r="H401" t="e">
        <f>IF(INDEX(DATOS3!$1:$19397,A401,MATCH("StudyDescription",DATOS3!$1:$1,0))=0,"",INDEX(DATOS3!$1:$19397,A401,MATCH("StudyDescription",DATOS3!$1:$1,0)))</f>
        <v>#N/A</v>
      </c>
      <c r="I401" t="e">
        <f>IF(INDEX(DATOS3!$1:$19397,A401,MATCH("Dose_Area_Product_Total",DATOS3!$1:$1,0))=0,0,INDEX(DATOS3!$1:$19397,A401,MATCH("Dose_Area_Product_Total",DATOS3!$1:$1,0)))</f>
        <v>#N/A</v>
      </c>
      <c r="J401" t="e">
        <f>IF(INDEX(DATOS3!$1:$19397,A401,MATCH("Dose_RP_Total",DATOS3!$1:$1,0))=0,0,INDEX(DATOS3!$1:$19397,A401,MATCH("Dose_RP_Total",DATOS3!$1:$1,0)))</f>
        <v>#N/A</v>
      </c>
      <c r="K401" t="e">
        <f>IF(INDEX(DATOS3!$1:$19397,A401,MATCH("Total_Fluoro_Time",DATOS3!$1:$1,0))=0,0,INDEX(DATOS3!$1:$19397,A401,MATCH("Total_Fluoro_Time",DATOS3!$1:$1,0)))</f>
        <v>#N/A</v>
      </c>
      <c r="L401" t="e">
        <f>IF(INDEX(DATOS3!$1:$19397,A401,MATCH("Total_Acquisition_Time",DATOS3!$1:$1,0))=0,0,INDEX(DATOS3!$1:$19397,A401,MATCH("Total_Acquisition_Time",DATOS3!$1:$1,0)))</f>
        <v>#N/A</v>
      </c>
    </row>
    <row r="402" spans="1:12" x14ac:dyDescent="0.25">
      <c r="A402">
        <v>402</v>
      </c>
      <c r="B402" t="e">
        <f t="shared" si="6"/>
        <v>#N/A</v>
      </c>
      <c r="D402" t="e">
        <f>IF(INDEX(DATOS3!$1:$19397,A402,MATCH("PatientID",DATOS3!$1:$1,0))=0,"",INDEX(DATOS3!$1:$19397,A402,MATCH("PatientID",DATOS3!$1:$1,0)))</f>
        <v>#N/A</v>
      </c>
      <c r="F402" t="e">
        <f>IF(INDEX(DATOS3!$1:$19397,A402,MATCH("SeriesDate",DATOS3!$1:$1,0))=0,"",INDEX(DATOS3!$1:$19397,A402,MATCH("SeriesDate",DATOS3!$1:$1,0)))</f>
        <v>#N/A</v>
      </c>
      <c r="G402" t="e">
        <f>IF(INDEX(DATOS3!$1:$19397,A402,MATCH("SeriesTime",DATOS3!$1:$1,0))=0,"",INDEX(DATOS3!$1:$19397,A402,MATCH("SeriesTime",DATOS3!$1:$1,0)))</f>
        <v>#N/A</v>
      </c>
      <c r="H402" t="e">
        <f>IF(INDEX(DATOS3!$1:$19397,A402,MATCH("StudyDescription",DATOS3!$1:$1,0))=0,"",INDEX(DATOS3!$1:$19397,A402,MATCH("StudyDescription",DATOS3!$1:$1,0)))</f>
        <v>#N/A</v>
      </c>
      <c r="I402" t="e">
        <f>IF(INDEX(DATOS3!$1:$19397,A402,MATCH("Dose_Area_Product_Total",DATOS3!$1:$1,0))=0,0,INDEX(DATOS3!$1:$19397,A402,MATCH("Dose_Area_Product_Total",DATOS3!$1:$1,0)))</f>
        <v>#N/A</v>
      </c>
      <c r="J402" t="e">
        <f>IF(INDEX(DATOS3!$1:$19397,A402,MATCH("Dose_RP_Total",DATOS3!$1:$1,0))=0,0,INDEX(DATOS3!$1:$19397,A402,MATCH("Dose_RP_Total",DATOS3!$1:$1,0)))</f>
        <v>#N/A</v>
      </c>
      <c r="K402" t="e">
        <f>IF(INDEX(DATOS3!$1:$19397,A402,MATCH("Total_Fluoro_Time",DATOS3!$1:$1,0))=0,0,INDEX(DATOS3!$1:$19397,A402,MATCH("Total_Fluoro_Time",DATOS3!$1:$1,0)))</f>
        <v>#N/A</v>
      </c>
      <c r="L402" t="e">
        <f>IF(INDEX(DATOS3!$1:$19397,A402,MATCH("Total_Acquisition_Time",DATOS3!$1:$1,0))=0,0,INDEX(DATOS3!$1:$19397,A402,MATCH("Total_Acquisition_Time",DATOS3!$1:$1,0)))</f>
        <v>#N/A</v>
      </c>
    </row>
    <row r="403" spans="1:12" x14ac:dyDescent="0.25">
      <c r="A403">
        <v>403</v>
      </c>
      <c r="B403" t="e">
        <f t="shared" si="6"/>
        <v>#N/A</v>
      </c>
      <c r="D403" t="e">
        <f>IF(INDEX(DATOS3!$1:$19397,A403,MATCH("PatientID",DATOS3!$1:$1,0))=0,"",INDEX(DATOS3!$1:$19397,A403,MATCH("PatientID",DATOS3!$1:$1,0)))</f>
        <v>#N/A</v>
      </c>
      <c r="F403" t="e">
        <f>IF(INDEX(DATOS3!$1:$19397,A403,MATCH("SeriesDate",DATOS3!$1:$1,0))=0,"",INDEX(DATOS3!$1:$19397,A403,MATCH("SeriesDate",DATOS3!$1:$1,0)))</f>
        <v>#N/A</v>
      </c>
      <c r="G403" t="e">
        <f>IF(INDEX(DATOS3!$1:$19397,A403,MATCH("SeriesTime",DATOS3!$1:$1,0))=0,"",INDEX(DATOS3!$1:$19397,A403,MATCH("SeriesTime",DATOS3!$1:$1,0)))</f>
        <v>#N/A</v>
      </c>
      <c r="H403" t="e">
        <f>IF(INDEX(DATOS3!$1:$19397,A403,MATCH("StudyDescription",DATOS3!$1:$1,0))=0,"",INDEX(DATOS3!$1:$19397,A403,MATCH("StudyDescription",DATOS3!$1:$1,0)))</f>
        <v>#N/A</v>
      </c>
      <c r="I403" t="e">
        <f>IF(INDEX(DATOS3!$1:$19397,A403,MATCH("Dose_Area_Product_Total",DATOS3!$1:$1,0))=0,0,INDEX(DATOS3!$1:$19397,A403,MATCH("Dose_Area_Product_Total",DATOS3!$1:$1,0)))</f>
        <v>#N/A</v>
      </c>
      <c r="J403" t="e">
        <f>IF(INDEX(DATOS3!$1:$19397,A403,MATCH("Dose_RP_Total",DATOS3!$1:$1,0))=0,0,INDEX(DATOS3!$1:$19397,A403,MATCH("Dose_RP_Total",DATOS3!$1:$1,0)))</f>
        <v>#N/A</v>
      </c>
      <c r="K403" t="e">
        <f>IF(INDEX(DATOS3!$1:$19397,A403,MATCH("Total_Fluoro_Time",DATOS3!$1:$1,0))=0,0,INDEX(DATOS3!$1:$19397,A403,MATCH("Total_Fluoro_Time",DATOS3!$1:$1,0)))</f>
        <v>#N/A</v>
      </c>
      <c r="L403" t="e">
        <f>IF(INDEX(DATOS3!$1:$19397,A403,MATCH("Total_Acquisition_Time",DATOS3!$1:$1,0))=0,0,INDEX(DATOS3!$1:$19397,A403,MATCH("Total_Acquisition_Time",DATOS3!$1:$1,0)))</f>
        <v>#N/A</v>
      </c>
    </row>
    <row r="404" spans="1:12" x14ac:dyDescent="0.25">
      <c r="A404">
        <v>404</v>
      </c>
      <c r="B404" t="e">
        <f t="shared" si="6"/>
        <v>#N/A</v>
      </c>
      <c r="D404" t="e">
        <f>IF(INDEX(DATOS3!$1:$19397,A404,MATCH("PatientID",DATOS3!$1:$1,0))=0,"",INDEX(DATOS3!$1:$19397,A404,MATCH("PatientID",DATOS3!$1:$1,0)))</f>
        <v>#N/A</v>
      </c>
      <c r="F404" t="e">
        <f>IF(INDEX(DATOS3!$1:$19397,A404,MATCH("SeriesDate",DATOS3!$1:$1,0))=0,"",INDEX(DATOS3!$1:$19397,A404,MATCH("SeriesDate",DATOS3!$1:$1,0)))</f>
        <v>#N/A</v>
      </c>
      <c r="G404" t="e">
        <f>IF(INDEX(DATOS3!$1:$19397,A404,MATCH("SeriesTime",DATOS3!$1:$1,0))=0,"",INDEX(DATOS3!$1:$19397,A404,MATCH("SeriesTime",DATOS3!$1:$1,0)))</f>
        <v>#N/A</v>
      </c>
      <c r="H404" t="e">
        <f>IF(INDEX(DATOS3!$1:$19397,A404,MATCH("StudyDescription",DATOS3!$1:$1,0))=0,"",INDEX(DATOS3!$1:$19397,A404,MATCH("StudyDescription",DATOS3!$1:$1,0)))</f>
        <v>#N/A</v>
      </c>
      <c r="I404" t="e">
        <f>IF(INDEX(DATOS3!$1:$19397,A404,MATCH("Dose_Area_Product_Total",DATOS3!$1:$1,0))=0,0,INDEX(DATOS3!$1:$19397,A404,MATCH("Dose_Area_Product_Total",DATOS3!$1:$1,0)))</f>
        <v>#N/A</v>
      </c>
      <c r="J404" t="e">
        <f>IF(INDEX(DATOS3!$1:$19397,A404,MATCH("Dose_RP_Total",DATOS3!$1:$1,0))=0,0,INDEX(DATOS3!$1:$19397,A404,MATCH("Dose_RP_Total",DATOS3!$1:$1,0)))</f>
        <v>#N/A</v>
      </c>
      <c r="K404" t="e">
        <f>IF(INDEX(DATOS3!$1:$19397,A404,MATCH("Total_Fluoro_Time",DATOS3!$1:$1,0))=0,0,INDEX(DATOS3!$1:$19397,A404,MATCH("Total_Fluoro_Time",DATOS3!$1:$1,0)))</f>
        <v>#N/A</v>
      </c>
      <c r="L404" t="e">
        <f>IF(INDEX(DATOS3!$1:$19397,A404,MATCH("Total_Acquisition_Time",DATOS3!$1:$1,0))=0,0,INDEX(DATOS3!$1:$19397,A404,MATCH("Total_Acquisition_Time",DATOS3!$1:$1,0)))</f>
        <v>#N/A</v>
      </c>
    </row>
    <row r="405" spans="1:12" x14ac:dyDescent="0.25">
      <c r="A405">
        <v>405</v>
      </c>
      <c r="B405" t="e">
        <f t="shared" si="6"/>
        <v>#N/A</v>
      </c>
      <c r="D405" t="e">
        <f>IF(INDEX(DATOS3!$1:$19397,A405,MATCH("PatientID",DATOS3!$1:$1,0))=0,"",INDEX(DATOS3!$1:$19397,A405,MATCH("PatientID",DATOS3!$1:$1,0)))</f>
        <v>#N/A</v>
      </c>
      <c r="F405" t="e">
        <f>IF(INDEX(DATOS3!$1:$19397,A405,MATCH("SeriesDate",DATOS3!$1:$1,0))=0,"",INDEX(DATOS3!$1:$19397,A405,MATCH("SeriesDate",DATOS3!$1:$1,0)))</f>
        <v>#N/A</v>
      </c>
      <c r="G405" t="e">
        <f>IF(INDEX(DATOS3!$1:$19397,A405,MATCH("SeriesTime",DATOS3!$1:$1,0))=0,"",INDEX(DATOS3!$1:$19397,A405,MATCH("SeriesTime",DATOS3!$1:$1,0)))</f>
        <v>#N/A</v>
      </c>
      <c r="H405" t="e">
        <f>IF(INDEX(DATOS3!$1:$19397,A405,MATCH("StudyDescription",DATOS3!$1:$1,0))=0,"",INDEX(DATOS3!$1:$19397,A405,MATCH("StudyDescription",DATOS3!$1:$1,0)))</f>
        <v>#N/A</v>
      </c>
      <c r="I405" t="e">
        <f>IF(INDEX(DATOS3!$1:$19397,A405,MATCH("Dose_Area_Product_Total",DATOS3!$1:$1,0))=0,0,INDEX(DATOS3!$1:$19397,A405,MATCH("Dose_Area_Product_Total",DATOS3!$1:$1,0)))</f>
        <v>#N/A</v>
      </c>
      <c r="J405" t="e">
        <f>IF(INDEX(DATOS3!$1:$19397,A405,MATCH("Dose_RP_Total",DATOS3!$1:$1,0))=0,0,INDEX(DATOS3!$1:$19397,A405,MATCH("Dose_RP_Total",DATOS3!$1:$1,0)))</f>
        <v>#N/A</v>
      </c>
      <c r="K405" t="e">
        <f>IF(INDEX(DATOS3!$1:$19397,A405,MATCH("Total_Fluoro_Time",DATOS3!$1:$1,0))=0,0,INDEX(DATOS3!$1:$19397,A405,MATCH("Total_Fluoro_Time",DATOS3!$1:$1,0)))</f>
        <v>#N/A</v>
      </c>
      <c r="L405" t="e">
        <f>IF(INDEX(DATOS3!$1:$19397,A405,MATCH("Total_Acquisition_Time",DATOS3!$1:$1,0))=0,0,INDEX(DATOS3!$1:$19397,A405,MATCH("Total_Acquisition_Time",DATOS3!$1:$1,0)))</f>
        <v>#N/A</v>
      </c>
    </row>
    <row r="406" spans="1:12" x14ac:dyDescent="0.25">
      <c r="A406">
        <v>406</v>
      </c>
      <c r="B406" t="e">
        <f t="shared" si="6"/>
        <v>#N/A</v>
      </c>
      <c r="D406" t="e">
        <f>IF(INDEX(DATOS3!$1:$19397,A406,MATCH("PatientID",DATOS3!$1:$1,0))=0,"",INDEX(DATOS3!$1:$19397,A406,MATCH("PatientID",DATOS3!$1:$1,0)))</f>
        <v>#N/A</v>
      </c>
      <c r="F406" t="e">
        <f>IF(INDEX(DATOS3!$1:$19397,A406,MATCH("SeriesDate",DATOS3!$1:$1,0))=0,"",INDEX(DATOS3!$1:$19397,A406,MATCH("SeriesDate",DATOS3!$1:$1,0)))</f>
        <v>#N/A</v>
      </c>
      <c r="G406" t="e">
        <f>IF(INDEX(DATOS3!$1:$19397,A406,MATCH("SeriesTime",DATOS3!$1:$1,0))=0,"",INDEX(DATOS3!$1:$19397,A406,MATCH("SeriesTime",DATOS3!$1:$1,0)))</f>
        <v>#N/A</v>
      </c>
      <c r="H406" t="e">
        <f>IF(INDEX(DATOS3!$1:$19397,A406,MATCH("StudyDescription",DATOS3!$1:$1,0))=0,"",INDEX(DATOS3!$1:$19397,A406,MATCH("StudyDescription",DATOS3!$1:$1,0)))</f>
        <v>#N/A</v>
      </c>
      <c r="I406" t="e">
        <f>IF(INDEX(DATOS3!$1:$19397,A406,MATCH("Dose_Area_Product_Total",DATOS3!$1:$1,0))=0,0,INDEX(DATOS3!$1:$19397,A406,MATCH("Dose_Area_Product_Total",DATOS3!$1:$1,0)))</f>
        <v>#N/A</v>
      </c>
      <c r="J406" t="e">
        <f>IF(INDEX(DATOS3!$1:$19397,A406,MATCH("Dose_RP_Total",DATOS3!$1:$1,0))=0,0,INDEX(DATOS3!$1:$19397,A406,MATCH("Dose_RP_Total",DATOS3!$1:$1,0)))</f>
        <v>#N/A</v>
      </c>
      <c r="K406" t="e">
        <f>IF(INDEX(DATOS3!$1:$19397,A406,MATCH("Total_Fluoro_Time",DATOS3!$1:$1,0))=0,0,INDEX(DATOS3!$1:$19397,A406,MATCH("Total_Fluoro_Time",DATOS3!$1:$1,0)))</f>
        <v>#N/A</v>
      </c>
      <c r="L406" t="e">
        <f>IF(INDEX(DATOS3!$1:$19397,A406,MATCH("Total_Acquisition_Time",DATOS3!$1:$1,0))=0,0,INDEX(DATOS3!$1:$19397,A406,MATCH("Total_Acquisition_Time",DATOS3!$1:$1,0)))</f>
        <v>#N/A</v>
      </c>
    </row>
    <row r="407" spans="1:12" x14ac:dyDescent="0.25">
      <c r="A407">
        <v>407</v>
      </c>
      <c r="B407" t="e">
        <f t="shared" si="6"/>
        <v>#N/A</v>
      </c>
      <c r="D407" t="e">
        <f>IF(INDEX(DATOS3!$1:$19397,A407,MATCH("PatientID",DATOS3!$1:$1,0))=0,"",INDEX(DATOS3!$1:$19397,A407,MATCH("PatientID",DATOS3!$1:$1,0)))</f>
        <v>#N/A</v>
      </c>
      <c r="F407" t="e">
        <f>IF(INDEX(DATOS3!$1:$19397,A407,MATCH("SeriesDate",DATOS3!$1:$1,0))=0,"",INDEX(DATOS3!$1:$19397,A407,MATCH("SeriesDate",DATOS3!$1:$1,0)))</f>
        <v>#N/A</v>
      </c>
      <c r="G407" t="e">
        <f>IF(INDEX(DATOS3!$1:$19397,A407,MATCH("SeriesTime",DATOS3!$1:$1,0))=0,"",INDEX(DATOS3!$1:$19397,A407,MATCH("SeriesTime",DATOS3!$1:$1,0)))</f>
        <v>#N/A</v>
      </c>
      <c r="H407" t="e">
        <f>IF(INDEX(DATOS3!$1:$19397,A407,MATCH("StudyDescription",DATOS3!$1:$1,0))=0,"",INDEX(DATOS3!$1:$19397,A407,MATCH("StudyDescription",DATOS3!$1:$1,0)))</f>
        <v>#N/A</v>
      </c>
      <c r="I407" t="e">
        <f>IF(INDEX(DATOS3!$1:$19397,A407,MATCH("Dose_Area_Product_Total",DATOS3!$1:$1,0))=0,0,INDEX(DATOS3!$1:$19397,A407,MATCH("Dose_Area_Product_Total",DATOS3!$1:$1,0)))</f>
        <v>#N/A</v>
      </c>
      <c r="J407" t="e">
        <f>IF(INDEX(DATOS3!$1:$19397,A407,MATCH("Dose_RP_Total",DATOS3!$1:$1,0))=0,0,INDEX(DATOS3!$1:$19397,A407,MATCH("Dose_RP_Total",DATOS3!$1:$1,0)))</f>
        <v>#N/A</v>
      </c>
      <c r="K407" t="e">
        <f>IF(INDEX(DATOS3!$1:$19397,A407,MATCH("Total_Fluoro_Time",DATOS3!$1:$1,0))=0,0,INDEX(DATOS3!$1:$19397,A407,MATCH("Total_Fluoro_Time",DATOS3!$1:$1,0)))</f>
        <v>#N/A</v>
      </c>
      <c r="L407" t="e">
        <f>IF(INDEX(DATOS3!$1:$19397,A407,MATCH("Total_Acquisition_Time",DATOS3!$1:$1,0))=0,0,INDEX(DATOS3!$1:$19397,A407,MATCH("Total_Acquisition_Time",DATOS3!$1:$1,0)))</f>
        <v>#N/A</v>
      </c>
    </row>
    <row r="408" spans="1:12" x14ac:dyDescent="0.25">
      <c r="A408">
        <v>408</v>
      </c>
      <c r="B408" t="e">
        <f t="shared" si="6"/>
        <v>#N/A</v>
      </c>
      <c r="D408" t="e">
        <f>IF(INDEX(DATOS3!$1:$19397,A408,MATCH("PatientID",DATOS3!$1:$1,0))=0,"",INDEX(DATOS3!$1:$19397,A408,MATCH("PatientID",DATOS3!$1:$1,0)))</f>
        <v>#N/A</v>
      </c>
      <c r="F408" t="e">
        <f>IF(INDEX(DATOS3!$1:$19397,A408,MATCH("SeriesDate",DATOS3!$1:$1,0))=0,"",INDEX(DATOS3!$1:$19397,A408,MATCH("SeriesDate",DATOS3!$1:$1,0)))</f>
        <v>#N/A</v>
      </c>
      <c r="G408" t="e">
        <f>IF(INDEX(DATOS3!$1:$19397,A408,MATCH("SeriesTime",DATOS3!$1:$1,0))=0,"",INDEX(DATOS3!$1:$19397,A408,MATCH("SeriesTime",DATOS3!$1:$1,0)))</f>
        <v>#N/A</v>
      </c>
      <c r="H408" t="e">
        <f>IF(INDEX(DATOS3!$1:$19397,A408,MATCH("StudyDescription",DATOS3!$1:$1,0))=0,"",INDEX(DATOS3!$1:$19397,A408,MATCH("StudyDescription",DATOS3!$1:$1,0)))</f>
        <v>#N/A</v>
      </c>
      <c r="I408" t="e">
        <f>IF(INDEX(DATOS3!$1:$19397,A408,MATCH("Dose_Area_Product_Total",DATOS3!$1:$1,0))=0,0,INDEX(DATOS3!$1:$19397,A408,MATCH("Dose_Area_Product_Total",DATOS3!$1:$1,0)))</f>
        <v>#N/A</v>
      </c>
      <c r="J408" t="e">
        <f>IF(INDEX(DATOS3!$1:$19397,A408,MATCH("Dose_RP_Total",DATOS3!$1:$1,0))=0,0,INDEX(DATOS3!$1:$19397,A408,MATCH("Dose_RP_Total",DATOS3!$1:$1,0)))</f>
        <v>#N/A</v>
      </c>
      <c r="K408" t="e">
        <f>IF(INDEX(DATOS3!$1:$19397,A408,MATCH("Total_Fluoro_Time",DATOS3!$1:$1,0))=0,0,INDEX(DATOS3!$1:$19397,A408,MATCH("Total_Fluoro_Time",DATOS3!$1:$1,0)))</f>
        <v>#N/A</v>
      </c>
      <c r="L408" t="e">
        <f>IF(INDEX(DATOS3!$1:$19397,A408,MATCH("Total_Acquisition_Time",DATOS3!$1:$1,0))=0,0,INDEX(DATOS3!$1:$19397,A408,MATCH("Total_Acquisition_Time",DATOS3!$1:$1,0)))</f>
        <v>#N/A</v>
      </c>
    </row>
    <row r="409" spans="1:12" x14ac:dyDescent="0.25">
      <c r="A409">
        <v>409</v>
      </c>
      <c r="B409" t="e">
        <f t="shared" si="6"/>
        <v>#N/A</v>
      </c>
      <c r="D409" t="e">
        <f>IF(INDEX(DATOS3!$1:$19397,A409,MATCH("PatientID",DATOS3!$1:$1,0))=0,"",INDEX(DATOS3!$1:$19397,A409,MATCH("PatientID",DATOS3!$1:$1,0)))</f>
        <v>#N/A</v>
      </c>
      <c r="F409" t="e">
        <f>IF(INDEX(DATOS3!$1:$19397,A409,MATCH("SeriesDate",DATOS3!$1:$1,0))=0,"",INDEX(DATOS3!$1:$19397,A409,MATCH("SeriesDate",DATOS3!$1:$1,0)))</f>
        <v>#N/A</v>
      </c>
      <c r="G409" t="e">
        <f>IF(INDEX(DATOS3!$1:$19397,A409,MATCH("SeriesTime",DATOS3!$1:$1,0))=0,"",INDEX(DATOS3!$1:$19397,A409,MATCH("SeriesTime",DATOS3!$1:$1,0)))</f>
        <v>#N/A</v>
      </c>
      <c r="H409" t="e">
        <f>IF(INDEX(DATOS3!$1:$19397,A409,MATCH("StudyDescription",DATOS3!$1:$1,0))=0,"",INDEX(DATOS3!$1:$19397,A409,MATCH("StudyDescription",DATOS3!$1:$1,0)))</f>
        <v>#N/A</v>
      </c>
      <c r="I409" t="e">
        <f>IF(INDEX(DATOS3!$1:$19397,A409,MATCH("Dose_Area_Product_Total",DATOS3!$1:$1,0))=0,0,INDEX(DATOS3!$1:$19397,A409,MATCH("Dose_Area_Product_Total",DATOS3!$1:$1,0)))</f>
        <v>#N/A</v>
      </c>
      <c r="J409" t="e">
        <f>IF(INDEX(DATOS3!$1:$19397,A409,MATCH("Dose_RP_Total",DATOS3!$1:$1,0))=0,0,INDEX(DATOS3!$1:$19397,A409,MATCH("Dose_RP_Total",DATOS3!$1:$1,0)))</f>
        <v>#N/A</v>
      </c>
      <c r="K409" t="e">
        <f>IF(INDEX(DATOS3!$1:$19397,A409,MATCH("Total_Fluoro_Time",DATOS3!$1:$1,0))=0,0,INDEX(DATOS3!$1:$19397,A409,MATCH("Total_Fluoro_Time",DATOS3!$1:$1,0)))</f>
        <v>#N/A</v>
      </c>
      <c r="L409" t="e">
        <f>IF(INDEX(DATOS3!$1:$19397,A409,MATCH("Total_Acquisition_Time",DATOS3!$1:$1,0))=0,0,INDEX(DATOS3!$1:$19397,A409,MATCH("Total_Acquisition_Time",DATOS3!$1:$1,0)))</f>
        <v>#N/A</v>
      </c>
    </row>
    <row r="410" spans="1:12" x14ac:dyDescent="0.25">
      <c r="A410">
        <v>410</v>
      </c>
      <c r="B410" t="e">
        <f t="shared" si="6"/>
        <v>#N/A</v>
      </c>
      <c r="D410" t="e">
        <f>IF(INDEX(DATOS3!$1:$19397,A410,MATCH("PatientID",DATOS3!$1:$1,0))=0,"",INDEX(DATOS3!$1:$19397,A410,MATCH("PatientID",DATOS3!$1:$1,0)))</f>
        <v>#N/A</v>
      </c>
      <c r="F410" t="e">
        <f>IF(INDEX(DATOS3!$1:$19397,A410,MATCH("SeriesDate",DATOS3!$1:$1,0))=0,"",INDEX(DATOS3!$1:$19397,A410,MATCH("SeriesDate",DATOS3!$1:$1,0)))</f>
        <v>#N/A</v>
      </c>
      <c r="G410" t="e">
        <f>IF(INDEX(DATOS3!$1:$19397,A410,MATCH("SeriesTime",DATOS3!$1:$1,0))=0,"",INDEX(DATOS3!$1:$19397,A410,MATCH("SeriesTime",DATOS3!$1:$1,0)))</f>
        <v>#N/A</v>
      </c>
      <c r="H410" t="e">
        <f>IF(INDEX(DATOS3!$1:$19397,A410,MATCH("StudyDescription",DATOS3!$1:$1,0))=0,"",INDEX(DATOS3!$1:$19397,A410,MATCH("StudyDescription",DATOS3!$1:$1,0)))</f>
        <v>#N/A</v>
      </c>
      <c r="I410" t="e">
        <f>IF(INDEX(DATOS3!$1:$19397,A410,MATCH("Dose_Area_Product_Total",DATOS3!$1:$1,0))=0,0,INDEX(DATOS3!$1:$19397,A410,MATCH("Dose_Area_Product_Total",DATOS3!$1:$1,0)))</f>
        <v>#N/A</v>
      </c>
      <c r="J410" t="e">
        <f>IF(INDEX(DATOS3!$1:$19397,A410,MATCH("Dose_RP_Total",DATOS3!$1:$1,0))=0,0,INDEX(DATOS3!$1:$19397,A410,MATCH("Dose_RP_Total",DATOS3!$1:$1,0)))</f>
        <v>#N/A</v>
      </c>
      <c r="K410" t="e">
        <f>IF(INDEX(DATOS3!$1:$19397,A410,MATCH("Total_Fluoro_Time",DATOS3!$1:$1,0))=0,0,INDEX(DATOS3!$1:$19397,A410,MATCH("Total_Fluoro_Time",DATOS3!$1:$1,0)))</f>
        <v>#N/A</v>
      </c>
      <c r="L410" t="e">
        <f>IF(INDEX(DATOS3!$1:$19397,A410,MATCH("Total_Acquisition_Time",DATOS3!$1:$1,0))=0,0,INDEX(DATOS3!$1:$19397,A410,MATCH("Total_Acquisition_Time",DATOS3!$1:$1,0)))</f>
        <v>#N/A</v>
      </c>
    </row>
    <row r="411" spans="1:12" x14ac:dyDescent="0.25">
      <c r="A411">
        <v>411</v>
      </c>
      <c r="B411" t="e">
        <f t="shared" si="6"/>
        <v>#N/A</v>
      </c>
      <c r="D411" t="e">
        <f>IF(INDEX(DATOS3!$1:$19397,A411,MATCH("PatientID",DATOS3!$1:$1,0))=0,"",INDEX(DATOS3!$1:$19397,A411,MATCH("PatientID",DATOS3!$1:$1,0)))</f>
        <v>#N/A</v>
      </c>
      <c r="F411" t="e">
        <f>IF(INDEX(DATOS3!$1:$19397,A411,MATCH("SeriesDate",DATOS3!$1:$1,0))=0,"",INDEX(DATOS3!$1:$19397,A411,MATCH("SeriesDate",DATOS3!$1:$1,0)))</f>
        <v>#N/A</v>
      </c>
      <c r="G411" t="e">
        <f>IF(INDEX(DATOS3!$1:$19397,A411,MATCH("SeriesTime",DATOS3!$1:$1,0))=0,"",INDEX(DATOS3!$1:$19397,A411,MATCH("SeriesTime",DATOS3!$1:$1,0)))</f>
        <v>#N/A</v>
      </c>
      <c r="H411" t="e">
        <f>IF(INDEX(DATOS3!$1:$19397,A411,MATCH("StudyDescription",DATOS3!$1:$1,0))=0,"",INDEX(DATOS3!$1:$19397,A411,MATCH("StudyDescription",DATOS3!$1:$1,0)))</f>
        <v>#N/A</v>
      </c>
      <c r="I411" t="e">
        <f>IF(INDEX(DATOS3!$1:$19397,A411,MATCH("Dose_Area_Product_Total",DATOS3!$1:$1,0))=0,0,INDEX(DATOS3!$1:$19397,A411,MATCH("Dose_Area_Product_Total",DATOS3!$1:$1,0)))</f>
        <v>#N/A</v>
      </c>
      <c r="J411" t="e">
        <f>IF(INDEX(DATOS3!$1:$19397,A411,MATCH("Dose_RP_Total",DATOS3!$1:$1,0))=0,0,INDEX(DATOS3!$1:$19397,A411,MATCH("Dose_RP_Total",DATOS3!$1:$1,0)))</f>
        <v>#N/A</v>
      </c>
      <c r="K411" t="e">
        <f>IF(INDEX(DATOS3!$1:$19397,A411,MATCH("Total_Fluoro_Time",DATOS3!$1:$1,0))=0,0,INDEX(DATOS3!$1:$19397,A411,MATCH("Total_Fluoro_Time",DATOS3!$1:$1,0)))</f>
        <v>#N/A</v>
      </c>
      <c r="L411" t="e">
        <f>IF(INDEX(DATOS3!$1:$19397,A411,MATCH("Total_Acquisition_Time",DATOS3!$1:$1,0))=0,0,INDEX(DATOS3!$1:$19397,A411,MATCH("Total_Acquisition_Time",DATOS3!$1:$1,0)))</f>
        <v>#N/A</v>
      </c>
    </row>
    <row r="412" spans="1:12" x14ac:dyDescent="0.25">
      <c r="A412">
        <v>412</v>
      </c>
      <c r="B412" t="e">
        <f t="shared" si="6"/>
        <v>#N/A</v>
      </c>
      <c r="D412" t="e">
        <f>IF(INDEX(DATOS3!$1:$19397,A412,MATCH("PatientID",DATOS3!$1:$1,0))=0,"",INDEX(DATOS3!$1:$19397,A412,MATCH("PatientID",DATOS3!$1:$1,0)))</f>
        <v>#N/A</v>
      </c>
      <c r="F412" t="e">
        <f>IF(INDEX(DATOS3!$1:$19397,A412,MATCH("SeriesDate",DATOS3!$1:$1,0))=0,"",INDEX(DATOS3!$1:$19397,A412,MATCH("SeriesDate",DATOS3!$1:$1,0)))</f>
        <v>#N/A</v>
      </c>
      <c r="G412" t="e">
        <f>IF(INDEX(DATOS3!$1:$19397,A412,MATCH("SeriesTime",DATOS3!$1:$1,0))=0,"",INDEX(DATOS3!$1:$19397,A412,MATCH("SeriesTime",DATOS3!$1:$1,0)))</f>
        <v>#N/A</v>
      </c>
      <c r="H412" t="e">
        <f>IF(INDEX(DATOS3!$1:$19397,A412,MATCH("StudyDescription",DATOS3!$1:$1,0))=0,"",INDEX(DATOS3!$1:$19397,A412,MATCH("StudyDescription",DATOS3!$1:$1,0)))</f>
        <v>#N/A</v>
      </c>
      <c r="I412" t="e">
        <f>IF(INDEX(DATOS3!$1:$19397,A412,MATCH("Dose_Area_Product_Total",DATOS3!$1:$1,0))=0,0,INDEX(DATOS3!$1:$19397,A412,MATCH("Dose_Area_Product_Total",DATOS3!$1:$1,0)))</f>
        <v>#N/A</v>
      </c>
      <c r="J412" t="e">
        <f>IF(INDEX(DATOS3!$1:$19397,A412,MATCH("Dose_RP_Total",DATOS3!$1:$1,0))=0,0,INDEX(DATOS3!$1:$19397,A412,MATCH("Dose_RP_Total",DATOS3!$1:$1,0)))</f>
        <v>#N/A</v>
      </c>
      <c r="K412" t="e">
        <f>IF(INDEX(DATOS3!$1:$19397,A412,MATCH("Total_Fluoro_Time",DATOS3!$1:$1,0))=0,0,INDEX(DATOS3!$1:$19397,A412,MATCH("Total_Fluoro_Time",DATOS3!$1:$1,0)))</f>
        <v>#N/A</v>
      </c>
      <c r="L412" t="e">
        <f>IF(INDEX(DATOS3!$1:$19397,A412,MATCH("Total_Acquisition_Time",DATOS3!$1:$1,0))=0,0,INDEX(DATOS3!$1:$19397,A412,MATCH("Total_Acquisition_Time",DATOS3!$1:$1,0)))</f>
        <v>#N/A</v>
      </c>
    </row>
    <row r="413" spans="1:12" x14ac:dyDescent="0.25">
      <c r="A413">
        <v>413</v>
      </c>
      <c r="B413" t="e">
        <f t="shared" si="6"/>
        <v>#N/A</v>
      </c>
      <c r="D413" t="e">
        <f>IF(INDEX(DATOS3!$1:$19397,A413,MATCH("PatientID",DATOS3!$1:$1,0))=0,"",INDEX(DATOS3!$1:$19397,A413,MATCH("PatientID",DATOS3!$1:$1,0)))</f>
        <v>#N/A</v>
      </c>
      <c r="F413" t="e">
        <f>IF(INDEX(DATOS3!$1:$19397,A413,MATCH("SeriesDate",DATOS3!$1:$1,0))=0,"",INDEX(DATOS3!$1:$19397,A413,MATCH("SeriesDate",DATOS3!$1:$1,0)))</f>
        <v>#N/A</v>
      </c>
      <c r="G413" t="e">
        <f>IF(INDEX(DATOS3!$1:$19397,A413,MATCH("SeriesTime",DATOS3!$1:$1,0))=0,"",INDEX(DATOS3!$1:$19397,A413,MATCH("SeriesTime",DATOS3!$1:$1,0)))</f>
        <v>#N/A</v>
      </c>
      <c r="H413" t="e">
        <f>IF(INDEX(DATOS3!$1:$19397,A413,MATCH("StudyDescription",DATOS3!$1:$1,0))=0,"",INDEX(DATOS3!$1:$19397,A413,MATCH("StudyDescription",DATOS3!$1:$1,0)))</f>
        <v>#N/A</v>
      </c>
      <c r="I413" t="e">
        <f>IF(INDEX(DATOS3!$1:$19397,A413,MATCH("Dose_Area_Product_Total",DATOS3!$1:$1,0))=0,0,INDEX(DATOS3!$1:$19397,A413,MATCH("Dose_Area_Product_Total",DATOS3!$1:$1,0)))</f>
        <v>#N/A</v>
      </c>
      <c r="J413" t="e">
        <f>IF(INDEX(DATOS3!$1:$19397,A413,MATCH("Dose_RP_Total",DATOS3!$1:$1,0))=0,0,INDEX(DATOS3!$1:$19397,A413,MATCH("Dose_RP_Total",DATOS3!$1:$1,0)))</f>
        <v>#N/A</v>
      </c>
      <c r="K413" t="e">
        <f>IF(INDEX(DATOS3!$1:$19397,A413,MATCH("Total_Fluoro_Time",DATOS3!$1:$1,0))=0,0,INDEX(DATOS3!$1:$19397,A413,MATCH("Total_Fluoro_Time",DATOS3!$1:$1,0)))</f>
        <v>#N/A</v>
      </c>
      <c r="L413" t="e">
        <f>IF(INDEX(DATOS3!$1:$19397,A413,MATCH("Total_Acquisition_Time",DATOS3!$1:$1,0))=0,0,INDEX(DATOS3!$1:$19397,A413,MATCH("Total_Acquisition_Time",DATOS3!$1:$1,0)))</f>
        <v>#N/A</v>
      </c>
    </row>
    <row r="414" spans="1:12" x14ac:dyDescent="0.25">
      <c r="A414">
        <v>414</v>
      </c>
      <c r="B414" t="e">
        <f t="shared" si="6"/>
        <v>#N/A</v>
      </c>
      <c r="D414" t="e">
        <f>IF(INDEX(DATOS3!$1:$19397,A414,MATCH("PatientID",DATOS3!$1:$1,0))=0,"",INDEX(DATOS3!$1:$19397,A414,MATCH("PatientID",DATOS3!$1:$1,0)))</f>
        <v>#N/A</v>
      </c>
      <c r="F414" t="e">
        <f>IF(INDEX(DATOS3!$1:$19397,A414,MATCH("SeriesDate",DATOS3!$1:$1,0))=0,"",INDEX(DATOS3!$1:$19397,A414,MATCH("SeriesDate",DATOS3!$1:$1,0)))</f>
        <v>#N/A</v>
      </c>
      <c r="G414" t="e">
        <f>IF(INDEX(DATOS3!$1:$19397,A414,MATCH("SeriesTime",DATOS3!$1:$1,0))=0,"",INDEX(DATOS3!$1:$19397,A414,MATCH("SeriesTime",DATOS3!$1:$1,0)))</f>
        <v>#N/A</v>
      </c>
      <c r="H414" t="e">
        <f>IF(INDEX(DATOS3!$1:$19397,A414,MATCH("StudyDescription",DATOS3!$1:$1,0))=0,"",INDEX(DATOS3!$1:$19397,A414,MATCH("StudyDescription",DATOS3!$1:$1,0)))</f>
        <v>#N/A</v>
      </c>
      <c r="I414" t="e">
        <f>IF(INDEX(DATOS3!$1:$19397,A414,MATCH("Dose_Area_Product_Total",DATOS3!$1:$1,0))=0,0,INDEX(DATOS3!$1:$19397,A414,MATCH("Dose_Area_Product_Total",DATOS3!$1:$1,0)))</f>
        <v>#N/A</v>
      </c>
      <c r="J414" t="e">
        <f>IF(INDEX(DATOS3!$1:$19397,A414,MATCH("Dose_RP_Total",DATOS3!$1:$1,0))=0,0,INDEX(DATOS3!$1:$19397,A414,MATCH("Dose_RP_Total",DATOS3!$1:$1,0)))</f>
        <v>#N/A</v>
      </c>
      <c r="K414" t="e">
        <f>IF(INDEX(DATOS3!$1:$19397,A414,MATCH("Total_Fluoro_Time",DATOS3!$1:$1,0))=0,0,INDEX(DATOS3!$1:$19397,A414,MATCH("Total_Fluoro_Time",DATOS3!$1:$1,0)))</f>
        <v>#N/A</v>
      </c>
      <c r="L414" t="e">
        <f>IF(INDEX(DATOS3!$1:$19397,A414,MATCH("Total_Acquisition_Time",DATOS3!$1:$1,0))=0,0,INDEX(DATOS3!$1:$19397,A414,MATCH("Total_Acquisition_Time",DATOS3!$1:$1,0)))</f>
        <v>#N/A</v>
      </c>
    </row>
    <row r="415" spans="1:12" x14ac:dyDescent="0.25">
      <c r="A415">
        <v>415</v>
      </c>
      <c r="B415" t="e">
        <f t="shared" si="6"/>
        <v>#N/A</v>
      </c>
      <c r="D415" t="e">
        <f>IF(INDEX(DATOS3!$1:$19397,A415,MATCH("PatientID",DATOS3!$1:$1,0))=0,"",INDEX(DATOS3!$1:$19397,A415,MATCH("PatientID",DATOS3!$1:$1,0)))</f>
        <v>#N/A</v>
      </c>
      <c r="F415" t="e">
        <f>IF(INDEX(DATOS3!$1:$19397,A415,MATCH("SeriesDate",DATOS3!$1:$1,0))=0,"",INDEX(DATOS3!$1:$19397,A415,MATCH("SeriesDate",DATOS3!$1:$1,0)))</f>
        <v>#N/A</v>
      </c>
      <c r="G415" t="e">
        <f>IF(INDEX(DATOS3!$1:$19397,A415,MATCH("SeriesTime",DATOS3!$1:$1,0))=0,"",INDEX(DATOS3!$1:$19397,A415,MATCH("SeriesTime",DATOS3!$1:$1,0)))</f>
        <v>#N/A</v>
      </c>
      <c r="H415" t="e">
        <f>IF(INDEX(DATOS3!$1:$19397,A415,MATCH("StudyDescription",DATOS3!$1:$1,0))=0,"",INDEX(DATOS3!$1:$19397,A415,MATCH("StudyDescription",DATOS3!$1:$1,0)))</f>
        <v>#N/A</v>
      </c>
      <c r="I415" t="e">
        <f>IF(INDEX(DATOS3!$1:$19397,A415,MATCH("Dose_Area_Product_Total",DATOS3!$1:$1,0))=0,0,INDEX(DATOS3!$1:$19397,A415,MATCH("Dose_Area_Product_Total",DATOS3!$1:$1,0)))</f>
        <v>#N/A</v>
      </c>
      <c r="J415" t="e">
        <f>IF(INDEX(DATOS3!$1:$19397,A415,MATCH("Dose_RP_Total",DATOS3!$1:$1,0))=0,0,INDEX(DATOS3!$1:$19397,A415,MATCH("Dose_RP_Total",DATOS3!$1:$1,0)))</f>
        <v>#N/A</v>
      </c>
      <c r="K415" t="e">
        <f>IF(INDEX(DATOS3!$1:$19397,A415,MATCH("Total_Fluoro_Time",DATOS3!$1:$1,0))=0,0,INDEX(DATOS3!$1:$19397,A415,MATCH("Total_Fluoro_Time",DATOS3!$1:$1,0)))</f>
        <v>#N/A</v>
      </c>
      <c r="L415" t="e">
        <f>IF(INDEX(DATOS3!$1:$19397,A415,MATCH("Total_Acquisition_Time",DATOS3!$1:$1,0))=0,0,INDEX(DATOS3!$1:$19397,A415,MATCH("Total_Acquisition_Time",DATOS3!$1:$1,0)))</f>
        <v>#N/A</v>
      </c>
    </row>
    <row r="416" spans="1:12" x14ac:dyDescent="0.25">
      <c r="A416">
        <v>416</v>
      </c>
      <c r="B416" t="e">
        <f t="shared" si="6"/>
        <v>#N/A</v>
      </c>
      <c r="D416" t="e">
        <f>IF(INDEX(DATOS3!$1:$19397,A416,MATCH("PatientID",DATOS3!$1:$1,0))=0,"",INDEX(DATOS3!$1:$19397,A416,MATCH("PatientID",DATOS3!$1:$1,0)))</f>
        <v>#N/A</v>
      </c>
      <c r="F416" t="e">
        <f>IF(INDEX(DATOS3!$1:$19397,A416,MATCH("SeriesDate",DATOS3!$1:$1,0))=0,"",INDEX(DATOS3!$1:$19397,A416,MATCH("SeriesDate",DATOS3!$1:$1,0)))</f>
        <v>#N/A</v>
      </c>
      <c r="G416" t="e">
        <f>IF(INDEX(DATOS3!$1:$19397,A416,MATCH("SeriesTime",DATOS3!$1:$1,0))=0,"",INDEX(DATOS3!$1:$19397,A416,MATCH("SeriesTime",DATOS3!$1:$1,0)))</f>
        <v>#N/A</v>
      </c>
      <c r="H416" t="e">
        <f>IF(INDEX(DATOS3!$1:$19397,A416,MATCH("StudyDescription",DATOS3!$1:$1,0))=0,"",INDEX(DATOS3!$1:$19397,A416,MATCH("StudyDescription",DATOS3!$1:$1,0)))</f>
        <v>#N/A</v>
      </c>
      <c r="I416" t="e">
        <f>IF(INDEX(DATOS3!$1:$19397,A416,MATCH("Dose_Area_Product_Total",DATOS3!$1:$1,0))=0,0,INDEX(DATOS3!$1:$19397,A416,MATCH("Dose_Area_Product_Total",DATOS3!$1:$1,0)))</f>
        <v>#N/A</v>
      </c>
      <c r="J416" t="e">
        <f>IF(INDEX(DATOS3!$1:$19397,A416,MATCH("Dose_RP_Total",DATOS3!$1:$1,0))=0,0,INDEX(DATOS3!$1:$19397,A416,MATCH("Dose_RP_Total",DATOS3!$1:$1,0)))</f>
        <v>#N/A</v>
      </c>
      <c r="K416" t="e">
        <f>IF(INDEX(DATOS3!$1:$19397,A416,MATCH("Total_Fluoro_Time",DATOS3!$1:$1,0))=0,0,INDEX(DATOS3!$1:$19397,A416,MATCH("Total_Fluoro_Time",DATOS3!$1:$1,0)))</f>
        <v>#N/A</v>
      </c>
      <c r="L416" t="e">
        <f>IF(INDEX(DATOS3!$1:$19397,A416,MATCH("Total_Acquisition_Time",DATOS3!$1:$1,0))=0,0,INDEX(DATOS3!$1:$19397,A416,MATCH("Total_Acquisition_Time",DATOS3!$1:$1,0)))</f>
        <v>#N/A</v>
      </c>
    </row>
    <row r="417" spans="1:12" x14ac:dyDescent="0.25">
      <c r="A417">
        <v>417</v>
      </c>
      <c r="B417" t="e">
        <f t="shared" si="6"/>
        <v>#N/A</v>
      </c>
      <c r="D417" t="e">
        <f>IF(INDEX(DATOS3!$1:$19397,A417,MATCH("PatientID",DATOS3!$1:$1,0))=0,"",INDEX(DATOS3!$1:$19397,A417,MATCH("PatientID",DATOS3!$1:$1,0)))</f>
        <v>#N/A</v>
      </c>
      <c r="F417" t="e">
        <f>IF(INDEX(DATOS3!$1:$19397,A417,MATCH("SeriesDate",DATOS3!$1:$1,0))=0,"",INDEX(DATOS3!$1:$19397,A417,MATCH("SeriesDate",DATOS3!$1:$1,0)))</f>
        <v>#N/A</v>
      </c>
      <c r="G417" t="e">
        <f>IF(INDEX(DATOS3!$1:$19397,A417,MATCH("SeriesTime",DATOS3!$1:$1,0))=0,"",INDEX(DATOS3!$1:$19397,A417,MATCH("SeriesTime",DATOS3!$1:$1,0)))</f>
        <v>#N/A</v>
      </c>
      <c r="H417" t="e">
        <f>IF(INDEX(DATOS3!$1:$19397,A417,MATCH("StudyDescription",DATOS3!$1:$1,0))=0,"",INDEX(DATOS3!$1:$19397,A417,MATCH("StudyDescription",DATOS3!$1:$1,0)))</f>
        <v>#N/A</v>
      </c>
      <c r="I417" t="e">
        <f>IF(INDEX(DATOS3!$1:$19397,A417,MATCH("Dose_Area_Product_Total",DATOS3!$1:$1,0))=0,0,INDEX(DATOS3!$1:$19397,A417,MATCH("Dose_Area_Product_Total",DATOS3!$1:$1,0)))</f>
        <v>#N/A</v>
      </c>
      <c r="J417" t="e">
        <f>IF(INDEX(DATOS3!$1:$19397,A417,MATCH("Dose_RP_Total",DATOS3!$1:$1,0))=0,0,INDEX(DATOS3!$1:$19397,A417,MATCH("Dose_RP_Total",DATOS3!$1:$1,0)))</f>
        <v>#N/A</v>
      </c>
      <c r="K417" t="e">
        <f>IF(INDEX(DATOS3!$1:$19397,A417,MATCH("Total_Fluoro_Time",DATOS3!$1:$1,0))=0,0,INDEX(DATOS3!$1:$19397,A417,MATCH("Total_Fluoro_Time",DATOS3!$1:$1,0)))</f>
        <v>#N/A</v>
      </c>
      <c r="L417" t="e">
        <f>IF(INDEX(DATOS3!$1:$19397,A417,MATCH("Total_Acquisition_Time",DATOS3!$1:$1,0))=0,0,INDEX(DATOS3!$1:$19397,A417,MATCH("Total_Acquisition_Time",DATOS3!$1:$1,0)))</f>
        <v>#N/A</v>
      </c>
    </row>
    <row r="418" spans="1:12" x14ac:dyDescent="0.25">
      <c r="A418">
        <v>418</v>
      </c>
      <c r="B418" t="e">
        <f t="shared" si="6"/>
        <v>#N/A</v>
      </c>
      <c r="D418" t="e">
        <f>IF(INDEX(DATOS3!$1:$19397,A418,MATCH("PatientID",DATOS3!$1:$1,0))=0,"",INDEX(DATOS3!$1:$19397,A418,MATCH("PatientID",DATOS3!$1:$1,0)))</f>
        <v>#N/A</v>
      </c>
      <c r="F418" t="e">
        <f>IF(INDEX(DATOS3!$1:$19397,A418,MATCH("SeriesDate",DATOS3!$1:$1,0))=0,"",INDEX(DATOS3!$1:$19397,A418,MATCH("SeriesDate",DATOS3!$1:$1,0)))</f>
        <v>#N/A</v>
      </c>
      <c r="G418" t="e">
        <f>IF(INDEX(DATOS3!$1:$19397,A418,MATCH("SeriesTime",DATOS3!$1:$1,0))=0,"",INDEX(DATOS3!$1:$19397,A418,MATCH("SeriesTime",DATOS3!$1:$1,0)))</f>
        <v>#N/A</v>
      </c>
      <c r="H418" t="e">
        <f>IF(INDEX(DATOS3!$1:$19397,A418,MATCH("StudyDescription",DATOS3!$1:$1,0))=0,"",INDEX(DATOS3!$1:$19397,A418,MATCH("StudyDescription",DATOS3!$1:$1,0)))</f>
        <v>#N/A</v>
      </c>
      <c r="I418" t="e">
        <f>IF(INDEX(DATOS3!$1:$19397,A418,MATCH("Dose_Area_Product_Total",DATOS3!$1:$1,0))=0,0,INDEX(DATOS3!$1:$19397,A418,MATCH("Dose_Area_Product_Total",DATOS3!$1:$1,0)))</f>
        <v>#N/A</v>
      </c>
      <c r="J418" t="e">
        <f>IF(INDEX(DATOS3!$1:$19397,A418,MATCH("Dose_RP_Total",DATOS3!$1:$1,0))=0,0,INDEX(DATOS3!$1:$19397,A418,MATCH("Dose_RP_Total",DATOS3!$1:$1,0)))</f>
        <v>#N/A</v>
      </c>
      <c r="K418" t="e">
        <f>IF(INDEX(DATOS3!$1:$19397,A418,MATCH("Total_Fluoro_Time",DATOS3!$1:$1,0))=0,0,INDEX(DATOS3!$1:$19397,A418,MATCH("Total_Fluoro_Time",DATOS3!$1:$1,0)))</f>
        <v>#N/A</v>
      </c>
      <c r="L418" t="e">
        <f>IF(INDEX(DATOS3!$1:$19397,A418,MATCH("Total_Acquisition_Time",DATOS3!$1:$1,0))=0,0,INDEX(DATOS3!$1:$19397,A418,MATCH("Total_Acquisition_Time",DATOS3!$1:$1,0)))</f>
        <v>#N/A</v>
      </c>
    </row>
    <row r="419" spans="1:12" x14ac:dyDescent="0.25">
      <c r="A419">
        <v>419</v>
      </c>
      <c r="B419" t="e">
        <f t="shared" si="6"/>
        <v>#N/A</v>
      </c>
      <c r="D419" t="e">
        <f>IF(INDEX(DATOS3!$1:$19397,A419,MATCH("PatientID",DATOS3!$1:$1,0))=0,"",INDEX(DATOS3!$1:$19397,A419,MATCH("PatientID",DATOS3!$1:$1,0)))</f>
        <v>#N/A</v>
      </c>
      <c r="F419" t="e">
        <f>IF(INDEX(DATOS3!$1:$19397,A419,MATCH("SeriesDate",DATOS3!$1:$1,0))=0,"",INDEX(DATOS3!$1:$19397,A419,MATCH("SeriesDate",DATOS3!$1:$1,0)))</f>
        <v>#N/A</v>
      </c>
      <c r="G419" t="e">
        <f>IF(INDEX(DATOS3!$1:$19397,A419,MATCH("SeriesTime",DATOS3!$1:$1,0))=0,"",INDEX(DATOS3!$1:$19397,A419,MATCH("SeriesTime",DATOS3!$1:$1,0)))</f>
        <v>#N/A</v>
      </c>
      <c r="H419" t="e">
        <f>IF(INDEX(DATOS3!$1:$19397,A419,MATCH("StudyDescription",DATOS3!$1:$1,0))=0,"",INDEX(DATOS3!$1:$19397,A419,MATCH("StudyDescription",DATOS3!$1:$1,0)))</f>
        <v>#N/A</v>
      </c>
      <c r="I419" t="e">
        <f>IF(INDEX(DATOS3!$1:$19397,A419,MATCH("Dose_Area_Product_Total",DATOS3!$1:$1,0))=0,0,INDEX(DATOS3!$1:$19397,A419,MATCH("Dose_Area_Product_Total",DATOS3!$1:$1,0)))</f>
        <v>#N/A</v>
      </c>
      <c r="J419" t="e">
        <f>IF(INDEX(DATOS3!$1:$19397,A419,MATCH("Dose_RP_Total",DATOS3!$1:$1,0))=0,0,INDEX(DATOS3!$1:$19397,A419,MATCH("Dose_RP_Total",DATOS3!$1:$1,0)))</f>
        <v>#N/A</v>
      </c>
      <c r="K419" t="e">
        <f>IF(INDEX(DATOS3!$1:$19397,A419,MATCH("Total_Fluoro_Time",DATOS3!$1:$1,0))=0,0,INDEX(DATOS3!$1:$19397,A419,MATCH("Total_Fluoro_Time",DATOS3!$1:$1,0)))</f>
        <v>#N/A</v>
      </c>
      <c r="L419" t="e">
        <f>IF(INDEX(DATOS3!$1:$19397,A419,MATCH("Total_Acquisition_Time",DATOS3!$1:$1,0))=0,0,INDEX(DATOS3!$1:$19397,A419,MATCH("Total_Acquisition_Time",DATOS3!$1:$1,0)))</f>
        <v>#N/A</v>
      </c>
    </row>
    <row r="420" spans="1:12" x14ac:dyDescent="0.25">
      <c r="A420">
        <v>420</v>
      </c>
      <c r="B420" t="e">
        <f t="shared" si="6"/>
        <v>#N/A</v>
      </c>
      <c r="D420" t="e">
        <f>IF(INDEX(DATOS3!$1:$19397,A420,MATCH("PatientID",DATOS3!$1:$1,0))=0,"",INDEX(DATOS3!$1:$19397,A420,MATCH("PatientID",DATOS3!$1:$1,0)))</f>
        <v>#N/A</v>
      </c>
      <c r="F420" t="e">
        <f>IF(INDEX(DATOS3!$1:$19397,A420,MATCH("SeriesDate",DATOS3!$1:$1,0))=0,"",INDEX(DATOS3!$1:$19397,A420,MATCH("SeriesDate",DATOS3!$1:$1,0)))</f>
        <v>#N/A</v>
      </c>
      <c r="G420" t="e">
        <f>IF(INDEX(DATOS3!$1:$19397,A420,MATCH("SeriesTime",DATOS3!$1:$1,0))=0,"",INDEX(DATOS3!$1:$19397,A420,MATCH("SeriesTime",DATOS3!$1:$1,0)))</f>
        <v>#N/A</v>
      </c>
      <c r="H420" t="e">
        <f>IF(INDEX(DATOS3!$1:$19397,A420,MATCH("StudyDescription",DATOS3!$1:$1,0))=0,"",INDEX(DATOS3!$1:$19397,A420,MATCH("StudyDescription",DATOS3!$1:$1,0)))</f>
        <v>#N/A</v>
      </c>
      <c r="I420" t="e">
        <f>IF(INDEX(DATOS3!$1:$19397,A420,MATCH("Dose_Area_Product_Total",DATOS3!$1:$1,0))=0,0,INDEX(DATOS3!$1:$19397,A420,MATCH("Dose_Area_Product_Total",DATOS3!$1:$1,0)))</f>
        <v>#N/A</v>
      </c>
      <c r="J420" t="e">
        <f>IF(INDEX(DATOS3!$1:$19397,A420,MATCH("Dose_RP_Total",DATOS3!$1:$1,0))=0,0,INDEX(DATOS3!$1:$19397,A420,MATCH("Dose_RP_Total",DATOS3!$1:$1,0)))</f>
        <v>#N/A</v>
      </c>
      <c r="K420" t="e">
        <f>IF(INDEX(DATOS3!$1:$19397,A420,MATCH("Total_Fluoro_Time",DATOS3!$1:$1,0))=0,0,INDEX(DATOS3!$1:$19397,A420,MATCH("Total_Fluoro_Time",DATOS3!$1:$1,0)))</f>
        <v>#N/A</v>
      </c>
      <c r="L420" t="e">
        <f>IF(INDEX(DATOS3!$1:$19397,A420,MATCH("Total_Acquisition_Time",DATOS3!$1:$1,0))=0,0,INDEX(DATOS3!$1:$19397,A420,MATCH("Total_Acquisition_Time",DATOS3!$1:$1,0)))</f>
        <v>#N/A</v>
      </c>
    </row>
    <row r="421" spans="1:12" x14ac:dyDescent="0.25">
      <c r="A421">
        <v>421</v>
      </c>
      <c r="B421" t="e">
        <f t="shared" si="6"/>
        <v>#N/A</v>
      </c>
      <c r="D421" t="e">
        <f>IF(INDEX(DATOS3!$1:$19397,A421,MATCH("PatientID",DATOS3!$1:$1,0))=0,"",INDEX(DATOS3!$1:$19397,A421,MATCH("PatientID",DATOS3!$1:$1,0)))</f>
        <v>#N/A</v>
      </c>
      <c r="F421" t="e">
        <f>IF(INDEX(DATOS3!$1:$19397,A421,MATCH("SeriesDate",DATOS3!$1:$1,0))=0,"",INDEX(DATOS3!$1:$19397,A421,MATCH("SeriesDate",DATOS3!$1:$1,0)))</f>
        <v>#N/A</v>
      </c>
      <c r="G421" t="e">
        <f>IF(INDEX(DATOS3!$1:$19397,A421,MATCH("SeriesTime",DATOS3!$1:$1,0))=0,"",INDEX(DATOS3!$1:$19397,A421,MATCH("SeriesTime",DATOS3!$1:$1,0)))</f>
        <v>#N/A</v>
      </c>
      <c r="H421" t="e">
        <f>IF(INDEX(DATOS3!$1:$19397,A421,MATCH("StudyDescription",DATOS3!$1:$1,0))=0,"",INDEX(DATOS3!$1:$19397,A421,MATCH("StudyDescription",DATOS3!$1:$1,0)))</f>
        <v>#N/A</v>
      </c>
      <c r="I421" t="e">
        <f>IF(INDEX(DATOS3!$1:$19397,A421,MATCH("Dose_Area_Product_Total",DATOS3!$1:$1,0))=0,0,INDEX(DATOS3!$1:$19397,A421,MATCH("Dose_Area_Product_Total",DATOS3!$1:$1,0)))</f>
        <v>#N/A</v>
      </c>
      <c r="J421" t="e">
        <f>IF(INDEX(DATOS3!$1:$19397,A421,MATCH("Dose_RP_Total",DATOS3!$1:$1,0))=0,0,INDEX(DATOS3!$1:$19397,A421,MATCH("Dose_RP_Total",DATOS3!$1:$1,0)))</f>
        <v>#N/A</v>
      </c>
      <c r="K421" t="e">
        <f>IF(INDEX(DATOS3!$1:$19397,A421,MATCH("Total_Fluoro_Time",DATOS3!$1:$1,0))=0,0,INDEX(DATOS3!$1:$19397,A421,MATCH("Total_Fluoro_Time",DATOS3!$1:$1,0)))</f>
        <v>#N/A</v>
      </c>
      <c r="L421" t="e">
        <f>IF(INDEX(DATOS3!$1:$19397,A421,MATCH("Total_Acquisition_Time",DATOS3!$1:$1,0))=0,0,INDEX(DATOS3!$1:$19397,A421,MATCH("Total_Acquisition_Time",DATOS3!$1:$1,0)))</f>
        <v>#N/A</v>
      </c>
    </row>
    <row r="422" spans="1:12" x14ac:dyDescent="0.25">
      <c r="A422">
        <v>422</v>
      </c>
      <c r="B422" t="e">
        <f t="shared" si="6"/>
        <v>#N/A</v>
      </c>
      <c r="D422" t="e">
        <f>IF(INDEX(DATOS3!$1:$19397,A422,MATCH("PatientID",DATOS3!$1:$1,0))=0,"",INDEX(DATOS3!$1:$19397,A422,MATCH("PatientID",DATOS3!$1:$1,0)))</f>
        <v>#N/A</v>
      </c>
      <c r="F422" t="e">
        <f>IF(INDEX(DATOS3!$1:$19397,A422,MATCH("SeriesDate",DATOS3!$1:$1,0))=0,"",INDEX(DATOS3!$1:$19397,A422,MATCH("SeriesDate",DATOS3!$1:$1,0)))</f>
        <v>#N/A</v>
      </c>
      <c r="G422" t="e">
        <f>IF(INDEX(DATOS3!$1:$19397,A422,MATCH("SeriesTime",DATOS3!$1:$1,0))=0,"",INDEX(DATOS3!$1:$19397,A422,MATCH("SeriesTime",DATOS3!$1:$1,0)))</f>
        <v>#N/A</v>
      </c>
      <c r="H422" t="e">
        <f>IF(INDEX(DATOS3!$1:$19397,A422,MATCH("StudyDescription",DATOS3!$1:$1,0))=0,"",INDEX(DATOS3!$1:$19397,A422,MATCH("StudyDescription",DATOS3!$1:$1,0)))</f>
        <v>#N/A</v>
      </c>
      <c r="I422" t="e">
        <f>IF(INDEX(DATOS3!$1:$19397,A422,MATCH("Dose_Area_Product_Total",DATOS3!$1:$1,0))=0,0,INDEX(DATOS3!$1:$19397,A422,MATCH("Dose_Area_Product_Total",DATOS3!$1:$1,0)))</f>
        <v>#N/A</v>
      </c>
      <c r="J422" t="e">
        <f>IF(INDEX(DATOS3!$1:$19397,A422,MATCH("Dose_RP_Total",DATOS3!$1:$1,0))=0,0,INDEX(DATOS3!$1:$19397,A422,MATCH("Dose_RP_Total",DATOS3!$1:$1,0)))</f>
        <v>#N/A</v>
      </c>
      <c r="K422" t="e">
        <f>IF(INDEX(DATOS3!$1:$19397,A422,MATCH("Total_Fluoro_Time",DATOS3!$1:$1,0))=0,0,INDEX(DATOS3!$1:$19397,A422,MATCH("Total_Fluoro_Time",DATOS3!$1:$1,0)))</f>
        <v>#N/A</v>
      </c>
      <c r="L422" t="e">
        <f>IF(INDEX(DATOS3!$1:$19397,A422,MATCH("Total_Acquisition_Time",DATOS3!$1:$1,0))=0,0,INDEX(DATOS3!$1:$19397,A422,MATCH("Total_Acquisition_Time",DATOS3!$1:$1,0)))</f>
        <v>#N/A</v>
      </c>
    </row>
    <row r="423" spans="1:12" x14ac:dyDescent="0.25">
      <c r="A423">
        <v>423</v>
      </c>
      <c r="B423" t="e">
        <f t="shared" si="6"/>
        <v>#N/A</v>
      </c>
      <c r="D423" t="e">
        <f>IF(INDEX(DATOS3!$1:$19397,A423,MATCH("PatientID",DATOS3!$1:$1,0))=0,"",INDEX(DATOS3!$1:$19397,A423,MATCH("PatientID",DATOS3!$1:$1,0)))</f>
        <v>#N/A</v>
      </c>
      <c r="F423" t="e">
        <f>IF(INDEX(DATOS3!$1:$19397,A423,MATCH("SeriesDate",DATOS3!$1:$1,0))=0,"",INDEX(DATOS3!$1:$19397,A423,MATCH("SeriesDate",DATOS3!$1:$1,0)))</f>
        <v>#N/A</v>
      </c>
      <c r="G423" t="e">
        <f>IF(INDEX(DATOS3!$1:$19397,A423,MATCH("SeriesTime",DATOS3!$1:$1,0))=0,"",INDEX(DATOS3!$1:$19397,A423,MATCH("SeriesTime",DATOS3!$1:$1,0)))</f>
        <v>#N/A</v>
      </c>
      <c r="H423" t="e">
        <f>IF(INDEX(DATOS3!$1:$19397,A423,MATCH("StudyDescription",DATOS3!$1:$1,0))=0,"",INDEX(DATOS3!$1:$19397,A423,MATCH("StudyDescription",DATOS3!$1:$1,0)))</f>
        <v>#N/A</v>
      </c>
      <c r="I423" t="e">
        <f>IF(INDEX(DATOS3!$1:$19397,A423,MATCH("Dose_Area_Product_Total",DATOS3!$1:$1,0))=0,0,INDEX(DATOS3!$1:$19397,A423,MATCH("Dose_Area_Product_Total",DATOS3!$1:$1,0)))</f>
        <v>#N/A</v>
      </c>
      <c r="J423" t="e">
        <f>IF(INDEX(DATOS3!$1:$19397,A423,MATCH("Dose_RP_Total",DATOS3!$1:$1,0))=0,0,INDEX(DATOS3!$1:$19397,A423,MATCH("Dose_RP_Total",DATOS3!$1:$1,0)))</f>
        <v>#N/A</v>
      </c>
      <c r="K423" t="e">
        <f>IF(INDEX(DATOS3!$1:$19397,A423,MATCH("Total_Fluoro_Time",DATOS3!$1:$1,0))=0,0,INDEX(DATOS3!$1:$19397,A423,MATCH("Total_Fluoro_Time",DATOS3!$1:$1,0)))</f>
        <v>#N/A</v>
      </c>
      <c r="L423" t="e">
        <f>IF(INDEX(DATOS3!$1:$19397,A423,MATCH("Total_Acquisition_Time",DATOS3!$1:$1,0))=0,0,INDEX(DATOS3!$1:$19397,A423,MATCH("Total_Acquisition_Time",DATOS3!$1:$1,0)))</f>
        <v>#N/A</v>
      </c>
    </row>
    <row r="424" spans="1:12" x14ac:dyDescent="0.25">
      <c r="A424">
        <v>424</v>
      </c>
      <c r="B424" t="e">
        <f t="shared" si="6"/>
        <v>#N/A</v>
      </c>
      <c r="D424" t="e">
        <f>IF(INDEX(DATOS3!$1:$19397,A424,MATCH("PatientID",DATOS3!$1:$1,0))=0,"",INDEX(DATOS3!$1:$19397,A424,MATCH("PatientID",DATOS3!$1:$1,0)))</f>
        <v>#N/A</v>
      </c>
      <c r="F424" t="e">
        <f>IF(INDEX(DATOS3!$1:$19397,A424,MATCH("SeriesDate",DATOS3!$1:$1,0))=0,"",INDEX(DATOS3!$1:$19397,A424,MATCH("SeriesDate",DATOS3!$1:$1,0)))</f>
        <v>#N/A</v>
      </c>
      <c r="G424" t="e">
        <f>IF(INDEX(DATOS3!$1:$19397,A424,MATCH("SeriesTime",DATOS3!$1:$1,0))=0,"",INDEX(DATOS3!$1:$19397,A424,MATCH("SeriesTime",DATOS3!$1:$1,0)))</f>
        <v>#N/A</v>
      </c>
      <c r="H424" t="e">
        <f>IF(INDEX(DATOS3!$1:$19397,A424,MATCH("StudyDescription",DATOS3!$1:$1,0))=0,"",INDEX(DATOS3!$1:$19397,A424,MATCH("StudyDescription",DATOS3!$1:$1,0)))</f>
        <v>#N/A</v>
      </c>
      <c r="I424" t="e">
        <f>IF(INDEX(DATOS3!$1:$19397,A424,MATCH("Dose_Area_Product_Total",DATOS3!$1:$1,0))=0,0,INDEX(DATOS3!$1:$19397,A424,MATCH("Dose_Area_Product_Total",DATOS3!$1:$1,0)))</f>
        <v>#N/A</v>
      </c>
      <c r="J424" t="e">
        <f>IF(INDEX(DATOS3!$1:$19397,A424,MATCH("Dose_RP_Total",DATOS3!$1:$1,0))=0,0,INDEX(DATOS3!$1:$19397,A424,MATCH("Dose_RP_Total",DATOS3!$1:$1,0)))</f>
        <v>#N/A</v>
      </c>
      <c r="K424" t="e">
        <f>IF(INDEX(DATOS3!$1:$19397,A424,MATCH("Total_Fluoro_Time",DATOS3!$1:$1,0))=0,0,INDEX(DATOS3!$1:$19397,A424,MATCH("Total_Fluoro_Time",DATOS3!$1:$1,0)))</f>
        <v>#N/A</v>
      </c>
      <c r="L424" t="e">
        <f>IF(INDEX(DATOS3!$1:$19397,A424,MATCH("Total_Acquisition_Time",DATOS3!$1:$1,0))=0,0,INDEX(DATOS3!$1:$19397,A424,MATCH("Total_Acquisition_Time",DATOS3!$1:$1,0)))</f>
        <v>#N/A</v>
      </c>
    </row>
    <row r="425" spans="1:12" x14ac:dyDescent="0.25">
      <c r="A425">
        <v>425</v>
      </c>
      <c r="B425" t="e">
        <f t="shared" si="6"/>
        <v>#N/A</v>
      </c>
      <c r="D425" t="e">
        <f>IF(INDEX(DATOS3!$1:$19397,A425,MATCH("PatientID",DATOS3!$1:$1,0))=0,"",INDEX(DATOS3!$1:$19397,A425,MATCH("PatientID",DATOS3!$1:$1,0)))</f>
        <v>#N/A</v>
      </c>
      <c r="F425" t="e">
        <f>IF(INDEX(DATOS3!$1:$19397,A425,MATCH("SeriesDate",DATOS3!$1:$1,0))=0,"",INDEX(DATOS3!$1:$19397,A425,MATCH("SeriesDate",DATOS3!$1:$1,0)))</f>
        <v>#N/A</v>
      </c>
      <c r="G425" t="e">
        <f>IF(INDEX(DATOS3!$1:$19397,A425,MATCH("SeriesTime",DATOS3!$1:$1,0))=0,"",INDEX(DATOS3!$1:$19397,A425,MATCH("SeriesTime",DATOS3!$1:$1,0)))</f>
        <v>#N/A</v>
      </c>
      <c r="H425" t="e">
        <f>IF(INDEX(DATOS3!$1:$19397,A425,MATCH("StudyDescription",DATOS3!$1:$1,0))=0,"",INDEX(DATOS3!$1:$19397,A425,MATCH("StudyDescription",DATOS3!$1:$1,0)))</f>
        <v>#N/A</v>
      </c>
      <c r="I425" t="e">
        <f>IF(INDEX(DATOS3!$1:$19397,A425,MATCH("Dose_Area_Product_Total",DATOS3!$1:$1,0))=0,0,INDEX(DATOS3!$1:$19397,A425,MATCH("Dose_Area_Product_Total",DATOS3!$1:$1,0)))</f>
        <v>#N/A</v>
      </c>
      <c r="J425" t="e">
        <f>IF(INDEX(DATOS3!$1:$19397,A425,MATCH("Dose_RP_Total",DATOS3!$1:$1,0))=0,0,INDEX(DATOS3!$1:$19397,A425,MATCH("Dose_RP_Total",DATOS3!$1:$1,0)))</f>
        <v>#N/A</v>
      </c>
      <c r="K425" t="e">
        <f>IF(INDEX(DATOS3!$1:$19397,A425,MATCH("Total_Fluoro_Time",DATOS3!$1:$1,0))=0,0,INDEX(DATOS3!$1:$19397,A425,MATCH("Total_Fluoro_Time",DATOS3!$1:$1,0)))</f>
        <v>#N/A</v>
      </c>
      <c r="L425" t="e">
        <f>IF(INDEX(DATOS3!$1:$19397,A425,MATCH("Total_Acquisition_Time",DATOS3!$1:$1,0))=0,0,INDEX(DATOS3!$1:$19397,A425,MATCH("Total_Acquisition_Time",DATOS3!$1:$1,0)))</f>
        <v>#N/A</v>
      </c>
    </row>
    <row r="426" spans="1:12" x14ac:dyDescent="0.25">
      <c r="A426">
        <v>426</v>
      </c>
      <c r="B426" t="e">
        <f t="shared" si="6"/>
        <v>#N/A</v>
      </c>
      <c r="D426" t="e">
        <f>IF(INDEX(DATOS3!$1:$19397,A426,MATCH("PatientID",DATOS3!$1:$1,0))=0,"",INDEX(DATOS3!$1:$19397,A426,MATCH("PatientID",DATOS3!$1:$1,0)))</f>
        <v>#N/A</v>
      </c>
      <c r="F426" t="e">
        <f>IF(INDEX(DATOS3!$1:$19397,A426,MATCH("SeriesDate",DATOS3!$1:$1,0))=0,"",INDEX(DATOS3!$1:$19397,A426,MATCH("SeriesDate",DATOS3!$1:$1,0)))</f>
        <v>#N/A</v>
      </c>
      <c r="G426" t="e">
        <f>IF(INDEX(DATOS3!$1:$19397,A426,MATCH("SeriesTime",DATOS3!$1:$1,0))=0,"",INDEX(DATOS3!$1:$19397,A426,MATCH("SeriesTime",DATOS3!$1:$1,0)))</f>
        <v>#N/A</v>
      </c>
      <c r="H426" t="e">
        <f>IF(INDEX(DATOS3!$1:$19397,A426,MATCH("StudyDescription",DATOS3!$1:$1,0))=0,"",INDEX(DATOS3!$1:$19397,A426,MATCH("StudyDescription",DATOS3!$1:$1,0)))</f>
        <v>#N/A</v>
      </c>
      <c r="I426" t="e">
        <f>IF(INDEX(DATOS3!$1:$19397,A426,MATCH("Dose_Area_Product_Total",DATOS3!$1:$1,0))=0,0,INDEX(DATOS3!$1:$19397,A426,MATCH("Dose_Area_Product_Total",DATOS3!$1:$1,0)))</f>
        <v>#N/A</v>
      </c>
      <c r="J426" t="e">
        <f>IF(INDEX(DATOS3!$1:$19397,A426,MATCH("Dose_RP_Total",DATOS3!$1:$1,0))=0,0,INDEX(DATOS3!$1:$19397,A426,MATCH("Dose_RP_Total",DATOS3!$1:$1,0)))</f>
        <v>#N/A</v>
      </c>
      <c r="K426" t="e">
        <f>IF(INDEX(DATOS3!$1:$19397,A426,MATCH("Total_Fluoro_Time",DATOS3!$1:$1,0))=0,0,INDEX(DATOS3!$1:$19397,A426,MATCH("Total_Fluoro_Time",DATOS3!$1:$1,0)))</f>
        <v>#N/A</v>
      </c>
      <c r="L426" t="e">
        <f>IF(INDEX(DATOS3!$1:$19397,A426,MATCH("Total_Acquisition_Time",DATOS3!$1:$1,0))=0,0,INDEX(DATOS3!$1:$19397,A426,MATCH("Total_Acquisition_Time",DATOS3!$1:$1,0)))</f>
        <v>#N/A</v>
      </c>
    </row>
    <row r="427" spans="1:12" x14ac:dyDescent="0.25">
      <c r="A427">
        <v>427</v>
      </c>
      <c r="B427" t="e">
        <f t="shared" si="6"/>
        <v>#N/A</v>
      </c>
      <c r="D427" t="e">
        <f>IF(INDEX(DATOS3!$1:$19397,A427,MATCH("PatientID",DATOS3!$1:$1,0))=0,"",INDEX(DATOS3!$1:$19397,A427,MATCH("PatientID",DATOS3!$1:$1,0)))</f>
        <v>#N/A</v>
      </c>
      <c r="F427" t="e">
        <f>IF(INDEX(DATOS3!$1:$19397,A427,MATCH("SeriesDate",DATOS3!$1:$1,0))=0,"",INDEX(DATOS3!$1:$19397,A427,MATCH("SeriesDate",DATOS3!$1:$1,0)))</f>
        <v>#N/A</v>
      </c>
      <c r="G427" t="e">
        <f>IF(INDEX(DATOS3!$1:$19397,A427,MATCH("SeriesTime",DATOS3!$1:$1,0))=0,"",INDEX(DATOS3!$1:$19397,A427,MATCH("SeriesTime",DATOS3!$1:$1,0)))</f>
        <v>#N/A</v>
      </c>
      <c r="H427" t="e">
        <f>IF(INDEX(DATOS3!$1:$19397,A427,MATCH("StudyDescription",DATOS3!$1:$1,0))=0,"",INDEX(DATOS3!$1:$19397,A427,MATCH("StudyDescription",DATOS3!$1:$1,0)))</f>
        <v>#N/A</v>
      </c>
      <c r="I427" t="e">
        <f>IF(INDEX(DATOS3!$1:$19397,A427,MATCH("Dose_Area_Product_Total",DATOS3!$1:$1,0))=0,0,INDEX(DATOS3!$1:$19397,A427,MATCH("Dose_Area_Product_Total",DATOS3!$1:$1,0)))</f>
        <v>#N/A</v>
      </c>
      <c r="J427" t="e">
        <f>IF(INDEX(DATOS3!$1:$19397,A427,MATCH("Dose_RP_Total",DATOS3!$1:$1,0))=0,0,INDEX(DATOS3!$1:$19397,A427,MATCH("Dose_RP_Total",DATOS3!$1:$1,0)))</f>
        <v>#N/A</v>
      </c>
      <c r="K427" t="e">
        <f>IF(INDEX(DATOS3!$1:$19397,A427,MATCH("Total_Fluoro_Time",DATOS3!$1:$1,0))=0,0,INDEX(DATOS3!$1:$19397,A427,MATCH("Total_Fluoro_Time",DATOS3!$1:$1,0)))</f>
        <v>#N/A</v>
      </c>
      <c r="L427" t="e">
        <f>IF(INDEX(DATOS3!$1:$19397,A427,MATCH("Total_Acquisition_Time",DATOS3!$1:$1,0))=0,0,INDEX(DATOS3!$1:$19397,A427,MATCH("Total_Acquisition_Time",DATOS3!$1:$1,0)))</f>
        <v>#N/A</v>
      </c>
    </row>
    <row r="428" spans="1:12" x14ac:dyDescent="0.25">
      <c r="A428">
        <v>428</v>
      </c>
      <c r="B428" t="e">
        <f t="shared" si="6"/>
        <v>#N/A</v>
      </c>
      <c r="D428" t="e">
        <f>IF(INDEX(DATOS3!$1:$19397,A428,MATCH("PatientID",DATOS3!$1:$1,0))=0,"",INDEX(DATOS3!$1:$19397,A428,MATCH("PatientID",DATOS3!$1:$1,0)))</f>
        <v>#N/A</v>
      </c>
      <c r="F428" t="e">
        <f>IF(INDEX(DATOS3!$1:$19397,A428,MATCH("SeriesDate",DATOS3!$1:$1,0))=0,"",INDEX(DATOS3!$1:$19397,A428,MATCH("SeriesDate",DATOS3!$1:$1,0)))</f>
        <v>#N/A</v>
      </c>
      <c r="G428" t="e">
        <f>IF(INDEX(DATOS3!$1:$19397,A428,MATCH("SeriesTime",DATOS3!$1:$1,0))=0,"",INDEX(DATOS3!$1:$19397,A428,MATCH("SeriesTime",DATOS3!$1:$1,0)))</f>
        <v>#N/A</v>
      </c>
      <c r="H428" t="e">
        <f>IF(INDEX(DATOS3!$1:$19397,A428,MATCH("StudyDescription",DATOS3!$1:$1,0))=0,"",INDEX(DATOS3!$1:$19397,A428,MATCH("StudyDescription",DATOS3!$1:$1,0)))</f>
        <v>#N/A</v>
      </c>
      <c r="I428" t="e">
        <f>IF(INDEX(DATOS3!$1:$19397,A428,MATCH("Dose_Area_Product_Total",DATOS3!$1:$1,0))=0,0,INDEX(DATOS3!$1:$19397,A428,MATCH("Dose_Area_Product_Total",DATOS3!$1:$1,0)))</f>
        <v>#N/A</v>
      </c>
      <c r="J428" t="e">
        <f>IF(INDEX(DATOS3!$1:$19397,A428,MATCH("Dose_RP_Total",DATOS3!$1:$1,0))=0,0,INDEX(DATOS3!$1:$19397,A428,MATCH("Dose_RP_Total",DATOS3!$1:$1,0)))</f>
        <v>#N/A</v>
      </c>
      <c r="K428" t="e">
        <f>IF(INDEX(DATOS3!$1:$19397,A428,MATCH("Total_Fluoro_Time",DATOS3!$1:$1,0))=0,0,INDEX(DATOS3!$1:$19397,A428,MATCH("Total_Fluoro_Time",DATOS3!$1:$1,0)))</f>
        <v>#N/A</v>
      </c>
      <c r="L428" t="e">
        <f>IF(INDEX(DATOS3!$1:$19397,A428,MATCH("Total_Acquisition_Time",DATOS3!$1:$1,0))=0,0,INDEX(DATOS3!$1:$19397,A428,MATCH("Total_Acquisition_Time",DATOS3!$1:$1,0)))</f>
        <v>#N/A</v>
      </c>
    </row>
    <row r="429" spans="1:12" x14ac:dyDescent="0.25">
      <c r="A429">
        <v>429</v>
      </c>
      <c r="B429" t="e">
        <f t="shared" si="6"/>
        <v>#N/A</v>
      </c>
      <c r="D429" t="e">
        <f>IF(INDEX(DATOS3!$1:$19397,A429,MATCH("PatientID",DATOS3!$1:$1,0))=0,"",INDEX(DATOS3!$1:$19397,A429,MATCH("PatientID",DATOS3!$1:$1,0)))</f>
        <v>#N/A</v>
      </c>
      <c r="F429" t="e">
        <f>IF(INDEX(DATOS3!$1:$19397,A429,MATCH("SeriesDate",DATOS3!$1:$1,0))=0,"",INDEX(DATOS3!$1:$19397,A429,MATCH("SeriesDate",DATOS3!$1:$1,0)))</f>
        <v>#N/A</v>
      </c>
      <c r="G429" t="e">
        <f>IF(INDEX(DATOS3!$1:$19397,A429,MATCH("SeriesTime",DATOS3!$1:$1,0))=0,"",INDEX(DATOS3!$1:$19397,A429,MATCH("SeriesTime",DATOS3!$1:$1,0)))</f>
        <v>#N/A</v>
      </c>
      <c r="H429" t="e">
        <f>IF(INDEX(DATOS3!$1:$19397,A429,MATCH("StudyDescription",DATOS3!$1:$1,0))=0,"",INDEX(DATOS3!$1:$19397,A429,MATCH("StudyDescription",DATOS3!$1:$1,0)))</f>
        <v>#N/A</v>
      </c>
      <c r="I429" t="e">
        <f>IF(INDEX(DATOS3!$1:$19397,A429,MATCH("Dose_Area_Product_Total",DATOS3!$1:$1,0))=0,0,INDEX(DATOS3!$1:$19397,A429,MATCH("Dose_Area_Product_Total",DATOS3!$1:$1,0)))</f>
        <v>#N/A</v>
      </c>
      <c r="J429" t="e">
        <f>IF(INDEX(DATOS3!$1:$19397,A429,MATCH("Dose_RP_Total",DATOS3!$1:$1,0))=0,0,INDEX(DATOS3!$1:$19397,A429,MATCH("Dose_RP_Total",DATOS3!$1:$1,0)))</f>
        <v>#N/A</v>
      </c>
      <c r="K429" t="e">
        <f>IF(INDEX(DATOS3!$1:$19397,A429,MATCH("Total_Fluoro_Time",DATOS3!$1:$1,0))=0,0,INDEX(DATOS3!$1:$19397,A429,MATCH("Total_Fluoro_Time",DATOS3!$1:$1,0)))</f>
        <v>#N/A</v>
      </c>
      <c r="L429" t="e">
        <f>IF(INDEX(DATOS3!$1:$19397,A429,MATCH("Total_Acquisition_Time",DATOS3!$1:$1,0))=0,0,INDEX(DATOS3!$1:$19397,A429,MATCH("Total_Acquisition_Time",DATOS3!$1:$1,0)))</f>
        <v>#N/A</v>
      </c>
    </row>
    <row r="430" spans="1:12" x14ac:dyDescent="0.25">
      <c r="A430">
        <v>430</v>
      </c>
      <c r="B430" t="e">
        <f t="shared" si="6"/>
        <v>#N/A</v>
      </c>
      <c r="D430" t="e">
        <f>IF(INDEX(DATOS3!$1:$19397,A430,MATCH("PatientID",DATOS3!$1:$1,0))=0,"",INDEX(DATOS3!$1:$19397,A430,MATCH("PatientID",DATOS3!$1:$1,0)))</f>
        <v>#N/A</v>
      </c>
      <c r="F430" t="e">
        <f>IF(INDEX(DATOS3!$1:$19397,A430,MATCH("SeriesDate",DATOS3!$1:$1,0))=0,"",INDEX(DATOS3!$1:$19397,A430,MATCH("SeriesDate",DATOS3!$1:$1,0)))</f>
        <v>#N/A</v>
      </c>
      <c r="G430" t="e">
        <f>IF(INDEX(DATOS3!$1:$19397,A430,MATCH("SeriesTime",DATOS3!$1:$1,0))=0,"",INDEX(DATOS3!$1:$19397,A430,MATCH("SeriesTime",DATOS3!$1:$1,0)))</f>
        <v>#N/A</v>
      </c>
      <c r="H430" t="e">
        <f>IF(INDEX(DATOS3!$1:$19397,A430,MATCH("StudyDescription",DATOS3!$1:$1,0))=0,"",INDEX(DATOS3!$1:$19397,A430,MATCH("StudyDescription",DATOS3!$1:$1,0)))</f>
        <v>#N/A</v>
      </c>
      <c r="I430" t="e">
        <f>IF(INDEX(DATOS3!$1:$19397,A430,MATCH("Dose_Area_Product_Total",DATOS3!$1:$1,0))=0,0,INDEX(DATOS3!$1:$19397,A430,MATCH("Dose_Area_Product_Total",DATOS3!$1:$1,0)))</f>
        <v>#N/A</v>
      </c>
      <c r="J430" t="e">
        <f>IF(INDEX(DATOS3!$1:$19397,A430,MATCH("Dose_RP_Total",DATOS3!$1:$1,0))=0,0,INDEX(DATOS3!$1:$19397,A430,MATCH("Dose_RP_Total",DATOS3!$1:$1,0)))</f>
        <v>#N/A</v>
      </c>
      <c r="K430" t="e">
        <f>IF(INDEX(DATOS3!$1:$19397,A430,MATCH("Total_Fluoro_Time",DATOS3!$1:$1,0))=0,0,INDEX(DATOS3!$1:$19397,A430,MATCH("Total_Fluoro_Time",DATOS3!$1:$1,0)))</f>
        <v>#N/A</v>
      </c>
      <c r="L430" t="e">
        <f>IF(INDEX(DATOS3!$1:$19397,A430,MATCH("Total_Acquisition_Time",DATOS3!$1:$1,0))=0,0,INDEX(DATOS3!$1:$19397,A430,MATCH("Total_Acquisition_Time",DATOS3!$1:$1,0)))</f>
        <v>#N/A</v>
      </c>
    </row>
    <row r="431" spans="1:12" x14ac:dyDescent="0.25">
      <c r="A431">
        <v>431</v>
      </c>
      <c r="B431" t="e">
        <f t="shared" si="6"/>
        <v>#N/A</v>
      </c>
      <c r="D431" t="e">
        <f>IF(INDEX(DATOS3!$1:$19397,A431,MATCH("PatientID",DATOS3!$1:$1,0))=0,"",INDEX(DATOS3!$1:$19397,A431,MATCH("PatientID",DATOS3!$1:$1,0)))</f>
        <v>#N/A</v>
      </c>
      <c r="F431" t="e">
        <f>IF(INDEX(DATOS3!$1:$19397,A431,MATCH("SeriesDate",DATOS3!$1:$1,0))=0,"",INDEX(DATOS3!$1:$19397,A431,MATCH("SeriesDate",DATOS3!$1:$1,0)))</f>
        <v>#N/A</v>
      </c>
      <c r="G431" t="e">
        <f>IF(INDEX(DATOS3!$1:$19397,A431,MATCH("SeriesTime",DATOS3!$1:$1,0))=0,"",INDEX(DATOS3!$1:$19397,A431,MATCH("SeriesTime",DATOS3!$1:$1,0)))</f>
        <v>#N/A</v>
      </c>
      <c r="H431" t="e">
        <f>IF(INDEX(DATOS3!$1:$19397,A431,MATCH("StudyDescription",DATOS3!$1:$1,0))=0,"",INDEX(DATOS3!$1:$19397,A431,MATCH("StudyDescription",DATOS3!$1:$1,0)))</f>
        <v>#N/A</v>
      </c>
      <c r="I431" t="e">
        <f>IF(INDEX(DATOS3!$1:$19397,A431,MATCH("Dose_Area_Product_Total",DATOS3!$1:$1,0))=0,0,INDEX(DATOS3!$1:$19397,A431,MATCH("Dose_Area_Product_Total",DATOS3!$1:$1,0)))</f>
        <v>#N/A</v>
      </c>
      <c r="J431" t="e">
        <f>IF(INDEX(DATOS3!$1:$19397,A431,MATCH("Dose_RP_Total",DATOS3!$1:$1,0))=0,0,INDEX(DATOS3!$1:$19397,A431,MATCH("Dose_RP_Total",DATOS3!$1:$1,0)))</f>
        <v>#N/A</v>
      </c>
      <c r="K431" t="e">
        <f>IF(INDEX(DATOS3!$1:$19397,A431,MATCH("Total_Fluoro_Time",DATOS3!$1:$1,0))=0,0,INDEX(DATOS3!$1:$19397,A431,MATCH("Total_Fluoro_Time",DATOS3!$1:$1,0)))</f>
        <v>#N/A</v>
      </c>
      <c r="L431" t="e">
        <f>IF(INDEX(DATOS3!$1:$19397,A431,MATCH("Total_Acquisition_Time",DATOS3!$1:$1,0))=0,0,INDEX(DATOS3!$1:$19397,A431,MATCH("Total_Acquisition_Time",DATOS3!$1:$1,0)))</f>
        <v>#N/A</v>
      </c>
    </row>
    <row r="432" spans="1:12" x14ac:dyDescent="0.25">
      <c r="A432">
        <v>432</v>
      </c>
      <c r="B432" t="e">
        <f t="shared" si="6"/>
        <v>#N/A</v>
      </c>
      <c r="D432" t="e">
        <f>IF(INDEX(DATOS3!$1:$19397,A432,MATCH("PatientID",DATOS3!$1:$1,0))=0,"",INDEX(DATOS3!$1:$19397,A432,MATCH("PatientID",DATOS3!$1:$1,0)))</f>
        <v>#N/A</v>
      </c>
      <c r="F432" t="e">
        <f>IF(INDEX(DATOS3!$1:$19397,A432,MATCH("SeriesDate",DATOS3!$1:$1,0))=0,"",INDEX(DATOS3!$1:$19397,A432,MATCH("SeriesDate",DATOS3!$1:$1,0)))</f>
        <v>#N/A</v>
      </c>
      <c r="G432" t="e">
        <f>IF(INDEX(DATOS3!$1:$19397,A432,MATCH("SeriesTime",DATOS3!$1:$1,0))=0,"",INDEX(DATOS3!$1:$19397,A432,MATCH("SeriesTime",DATOS3!$1:$1,0)))</f>
        <v>#N/A</v>
      </c>
      <c r="H432" t="e">
        <f>IF(INDEX(DATOS3!$1:$19397,A432,MATCH("StudyDescription",DATOS3!$1:$1,0))=0,"",INDEX(DATOS3!$1:$19397,A432,MATCH("StudyDescription",DATOS3!$1:$1,0)))</f>
        <v>#N/A</v>
      </c>
      <c r="I432" t="e">
        <f>IF(INDEX(DATOS3!$1:$19397,A432,MATCH("Dose_Area_Product_Total",DATOS3!$1:$1,0))=0,0,INDEX(DATOS3!$1:$19397,A432,MATCH("Dose_Area_Product_Total",DATOS3!$1:$1,0)))</f>
        <v>#N/A</v>
      </c>
      <c r="J432" t="e">
        <f>IF(INDEX(DATOS3!$1:$19397,A432,MATCH("Dose_RP_Total",DATOS3!$1:$1,0))=0,0,INDEX(DATOS3!$1:$19397,A432,MATCH("Dose_RP_Total",DATOS3!$1:$1,0)))</f>
        <v>#N/A</v>
      </c>
      <c r="K432" t="e">
        <f>IF(INDEX(DATOS3!$1:$19397,A432,MATCH("Total_Fluoro_Time",DATOS3!$1:$1,0))=0,0,INDEX(DATOS3!$1:$19397,A432,MATCH("Total_Fluoro_Time",DATOS3!$1:$1,0)))</f>
        <v>#N/A</v>
      </c>
      <c r="L432" t="e">
        <f>IF(INDEX(DATOS3!$1:$19397,A432,MATCH("Total_Acquisition_Time",DATOS3!$1:$1,0))=0,0,INDEX(DATOS3!$1:$19397,A432,MATCH("Total_Acquisition_Time",DATOS3!$1:$1,0)))</f>
        <v>#N/A</v>
      </c>
    </row>
    <row r="433" spans="1:12" x14ac:dyDescent="0.25">
      <c r="A433">
        <v>433</v>
      </c>
      <c r="B433" t="e">
        <f t="shared" si="6"/>
        <v>#N/A</v>
      </c>
      <c r="D433" t="e">
        <f>IF(INDEX(DATOS3!$1:$19397,A433,MATCH("PatientID",DATOS3!$1:$1,0))=0,"",INDEX(DATOS3!$1:$19397,A433,MATCH("PatientID",DATOS3!$1:$1,0)))</f>
        <v>#N/A</v>
      </c>
      <c r="F433" t="e">
        <f>IF(INDEX(DATOS3!$1:$19397,A433,MATCH("SeriesDate",DATOS3!$1:$1,0))=0,"",INDEX(DATOS3!$1:$19397,A433,MATCH("SeriesDate",DATOS3!$1:$1,0)))</f>
        <v>#N/A</v>
      </c>
      <c r="G433" t="e">
        <f>IF(INDEX(DATOS3!$1:$19397,A433,MATCH("SeriesTime",DATOS3!$1:$1,0))=0,"",INDEX(DATOS3!$1:$19397,A433,MATCH("SeriesTime",DATOS3!$1:$1,0)))</f>
        <v>#N/A</v>
      </c>
      <c r="H433" t="e">
        <f>IF(INDEX(DATOS3!$1:$19397,A433,MATCH("StudyDescription",DATOS3!$1:$1,0))=0,"",INDEX(DATOS3!$1:$19397,A433,MATCH("StudyDescription",DATOS3!$1:$1,0)))</f>
        <v>#N/A</v>
      </c>
      <c r="I433" t="e">
        <f>IF(INDEX(DATOS3!$1:$19397,A433,MATCH("Dose_Area_Product_Total",DATOS3!$1:$1,0))=0,0,INDEX(DATOS3!$1:$19397,A433,MATCH("Dose_Area_Product_Total",DATOS3!$1:$1,0)))</f>
        <v>#N/A</v>
      </c>
      <c r="J433" t="e">
        <f>IF(INDEX(DATOS3!$1:$19397,A433,MATCH("Dose_RP_Total",DATOS3!$1:$1,0))=0,0,INDEX(DATOS3!$1:$19397,A433,MATCH("Dose_RP_Total",DATOS3!$1:$1,0)))</f>
        <v>#N/A</v>
      </c>
      <c r="K433" t="e">
        <f>IF(INDEX(DATOS3!$1:$19397,A433,MATCH("Total_Fluoro_Time",DATOS3!$1:$1,0))=0,0,INDEX(DATOS3!$1:$19397,A433,MATCH("Total_Fluoro_Time",DATOS3!$1:$1,0)))</f>
        <v>#N/A</v>
      </c>
      <c r="L433" t="e">
        <f>IF(INDEX(DATOS3!$1:$19397,A433,MATCH("Total_Acquisition_Time",DATOS3!$1:$1,0))=0,0,INDEX(DATOS3!$1:$19397,A433,MATCH("Total_Acquisition_Time",DATOS3!$1:$1,0)))</f>
        <v>#N/A</v>
      </c>
    </row>
    <row r="434" spans="1:12" x14ac:dyDescent="0.25">
      <c r="A434">
        <v>434</v>
      </c>
      <c r="B434" t="e">
        <f t="shared" si="6"/>
        <v>#N/A</v>
      </c>
      <c r="D434" t="e">
        <f>IF(INDEX(DATOS3!$1:$19397,A434,MATCH("PatientID",DATOS3!$1:$1,0))=0,"",INDEX(DATOS3!$1:$19397,A434,MATCH("PatientID",DATOS3!$1:$1,0)))</f>
        <v>#N/A</v>
      </c>
      <c r="F434" t="e">
        <f>IF(INDEX(DATOS3!$1:$19397,A434,MATCH("SeriesDate",DATOS3!$1:$1,0))=0,"",INDEX(DATOS3!$1:$19397,A434,MATCH("SeriesDate",DATOS3!$1:$1,0)))</f>
        <v>#N/A</v>
      </c>
      <c r="G434" t="e">
        <f>IF(INDEX(DATOS3!$1:$19397,A434,MATCH("SeriesTime",DATOS3!$1:$1,0))=0,"",INDEX(DATOS3!$1:$19397,A434,MATCH("SeriesTime",DATOS3!$1:$1,0)))</f>
        <v>#N/A</v>
      </c>
      <c r="H434" t="e">
        <f>IF(INDEX(DATOS3!$1:$19397,A434,MATCH("StudyDescription",DATOS3!$1:$1,0))=0,"",INDEX(DATOS3!$1:$19397,A434,MATCH("StudyDescription",DATOS3!$1:$1,0)))</f>
        <v>#N/A</v>
      </c>
      <c r="I434" t="e">
        <f>IF(INDEX(DATOS3!$1:$19397,A434,MATCH("Dose_Area_Product_Total",DATOS3!$1:$1,0))=0,0,INDEX(DATOS3!$1:$19397,A434,MATCH("Dose_Area_Product_Total",DATOS3!$1:$1,0)))</f>
        <v>#N/A</v>
      </c>
      <c r="J434" t="e">
        <f>IF(INDEX(DATOS3!$1:$19397,A434,MATCH("Dose_RP_Total",DATOS3!$1:$1,0))=0,0,INDEX(DATOS3!$1:$19397,A434,MATCH("Dose_RP_Total",DATOS3!$1:$1,0)))</f>
        <v>#N/A</v>
      </c>
      <c r="K434" t="e">
        <f>IF(INDEX(DATOS3!$1:$19397,A434,MATCH("Total_Fluoro_Time",DATOS3!$1:$1,0))=0,0,INDEX(DATOS3!$1:$19397,A434,MATCH("Total_Fluoro_Time",DATOS3!$1:$1,0)))</f>
        <v>#N/A</v>
      </c>
      <c r="L434" t="e">
        <f>IF(INDEX(DATOS3!$1:$19397,A434,MATCH("Total_Acquisition_Time",DATOS3!$1:$1,0))=0,0,INDEX(DATOS3!$1:$19397,A434,MATCH("Total_Acquisition_Time",DATOS3!$1:$1,0)))</f>
        <v>#N/A</v>
      </c>
    </row>
    <row r="435" spans="1:12" x14ac:dyDescent="0.25">
      <c r="A435">
        <v>435</v>
      </c>
      <c r="B435" t="e">
        <f t="shared" si="6"/>
        <v>#N/A</v>
      </c>
      <c r="D435" t="e">
        <f>IF(INDEX(DATOS3!$1:$19397,A435,MATCH("PatientID",DATOS3!$1:$1,0))=0,"",INDEX(DATOS3!$1:$19397,A435,MATCH("PatientID",DATOS3!$1:$1,0)))</f>
        <v>#N/A</v>
      </c>
      <c r="F435" t="e">
        <f>IF(INDEX(DATOS3!$1:$19397,A435,MATCH("SeriesDate",DATOS3!$1:$1,0))=0,"",INDEX(DATOS3!$1:$19397,A435,MATCH("SeriesDate",DATOS3!$1:$1,0)))</f>
        <v>#N/A</v>
      </c>
      <c r="G435" t="e">
        <f>IF(INDEX(DATOS3!$1:$19397,A435,MATCH("SeriesTime",DATOS3!$1:$1,0))=0,"",INDEX(DATOS3!$1:$19397,A435,MATCH("SeriesTime",DATOS3!$1:$1,0)))</f>
        <v>#N/A</v>
      </c>
      <c r="H435" t="e">
        <f>IF(INDEX(DATOS3!$1:$19397,A435,MATCH("StudyDescription",DATOS3!$1:$1,0))=0,"",INDEX(DATOS3!$1:$19397,A435,MATCH("StudyDescription",DATOS3!$1:$1,0)))</f>
        <v>#N/A</v>
      </c>
      <c r="I435" t="e">
        <f>IF(INDEX(DATOS3!$1:$19397,A435,MATCH("Dose_Area_Product_Total",DATOS3!$1:$1,0))=0,0,INDEX(DATOS3!$1:$19397,A435,MATCH("Dose_Area_Product_Total",DATOS3!$1:$1,0)))</f>
        <v>#N/A</v>
      </c>
      <c r="J435" t="e">
        <f>IF(INDEX(DATOS3!$1:$19397,A435,MATCH("Dose_RP_Total",DATOS3!$1:$1,0))=0,0,INDEX(DATOS3!$1:$19397,A435,MATCH("Dose_RP_Total",DATOS3!$1:$1,0)))</f>
        <v>#N/A</v>
      </c>
      <c r="K435" t="e">
        <f>IF(INDEX(DATOS3!$1:$19397,A435,MATCH("Total_Fluoro_Time",DATOS3!$1:$1,0))=0,0,INDEX(DATOS3!$1:$19397,A435,MATCH("Total_Fluoro_Time",DATOS3!$1:$1,0)))</f>
        <v>#N/A</v>
      </c>
      <c r="L435" t="e">
        <f>IF(INDEX(DATOS3!$1:$19397,A435,MATCH("Total_Acquisition_Time",DATOS3!$1:$1,0))=0,0,INDEX(DATOS3!$1:$19397,A435,MATCH("Total_Acquisition_Time",DATOS3!$1:$1,0)))</f>
        <v>#N/A</v>
      </c>
    </row>
    <row r="436" spans="1:12" x14ac:dyDescent="0.25">
      <c r="A436">
        <v>436</v>
      </c>
      <c r="B436" t="e">
        <f t="shared" si="6"/>
        <v>#N/A</v>
      </c>
      <c r="D436" t="e">
        <f>IF(INDEX(DATOS3!$1:$19397,A436,MATCH("PatientID",DATOS3!$1:$1,0))=0,"",INDEX(DATOS3!$1:$19397,A436,MATCH("PatientID",DATOS3!$1:$1,0)))</f>
        <v>#N/A</v>
      </c>
      <c r="F436" t="e">
        <f>IF(INDEX(DATOS3!$1:$19397,A436,MATCH("SeriesDate",DATOS3!$1:$1,0))=0,"",INDEX(DATOS3!$1:$19397,A436,MATCH("SeriesDate",DATOS3!$1:$1,0)))</f>
        <v>#N/A</v>
      </c>
      <c r="G436" t="e">
        <f>IF(INDEX(DATOS3!$1:$19397,A436,MATCH("SeriesTime",DATOS3!$1:$1,0))=0,"",INDEX(DATOS3!$1:$19397,A436,MATCH("SeriesTime",DATOS3!$1:$1,0)))</f>
        <v>#N/A</v>
      </c>
      <c r="H436" t="e">
        <f>IF(INDEX(DATOS3!$1:$19397,A436,MATCH("StudyDescription",DATOS3!$1:$1,0))=0,"",INDEX(DATOS3!$1:$19397,A436,MATCH("StudyDescription",DATOS3!$1:$1,0)))</f>
        <v>#N/A</v>
      </c>
      <c r="I436" t="e">
        <f>IF(INDEX(DATOS3!$1:$19397,A436,MATCH("Dose_Area_Product_Total",DATOS3!$1:$1,0))=0,0,INDEX(DATOS3!$1:$19397,A436,MATCH("Dose_Area_Product_Total",DATOS3!$1:$1,0)))</f>
        <v>#N/A</v>
      </c>
      <c r="J436" t="e">
        <f>IF(INDEX(DATOS3!$1:$19397,A436,MATCH("Dose_RP_Total",DATOS3!$1:$1,0))=0,0,INDEX(DATOS3!$1:$19397,A436,MATCH("Dose_RP_Total",DATOS3!$1:$1,0)))</f>
        <v>#N/A</v>
      </c>
      <c r="K436" t="e">
        <f>IF(INDEX(DATOS3!$1:$19397,A436,MATCH("Total_Fluoro_Time",DATOS3!$1:$1,0))=0,0,INDEX(DATOS3!$1:$19397,A436,MATCH("Total_Fluoro_Time",DATOS3!$1:$1,0)))</f>
        <v>#N/A</v>
      </c>
      <c r="L436" t="e">
        <f>IF(INDEX(DATOS3!$1:$19397,A436,MATCH("Total_Acquisition_Time",DATOS3!$1:$1,0))=0,0,INDEX(DATOS3!$1:$19397,A436,MATCH("Total_Acquisition_Time",DATOS3!$1:$1,0)))</f>
        <v>#N/A</v>
      </c>
    </row>
    <row r="437" spans="1:12" x14ac:dyDescent="0.25">
      <c r="A437">
        <v>437</v>
      </c>
      <c r="B437" t="e">
        <f t="shared" si="6"/>
        <v>#N/A</v>
      </c>
      <c r="D437" t="e">
        <f>IF(INDEX(DATOS3!$1:$19397,A437,MATCH("PatientID",DATOS3!$1:$1,0))=0,"",INDEX(DATOS3!$1:$19397,A437,MATCH("PatientID",DATOS3!$1:$1,0)))</f>
        <v>#N/A</v>
      </c>
      <c r="F437" t="e">
        <f>IF(INDEX(DATOS3!$1:$19397,A437,MATCH("SeriesDate",DATOS3!$1:$1,0))=0,"",INDEX(DATOS3!$1:$19397,A437,MATCH("SeriesDate",DATOS3!$1:$1,0)))</f>
        <v>#N/A</v>
      </c>
      <c r="G437" t="e">
        <f>IF(INDEX(DATOS3!$1:$19397,A437,MATCH("SeriesTime",DATOS3!$1:$1,0))=0,"",INDEX(DATOS3!$1:$19397,A437,MATCH("SeriesTime",DATOS3!$1:$1,0)))</f>
        <v>#N/A</v>
      </c>
      <c r="H437" t="e">
        <f>IF(INDEX(DATOS3!$1:$19397,A437,MATCH("StudyDescription",DATOS3!$1:$1,0))=0,"",INDEX(DATOS3!$1:$19397,A437,MATCH("StudyDescription",DATOS3!$1:$1,0)))</f>
        <v>#N/A</v>
      </c>
      <c r="I437" t="e">
        <f>IF(INDEX(DATOS3!$1:$19397,A437,MATCH("Dose_Area_Product_Total",DATOS3!$1:$1,0))=0,0,INDEX(DATOS3!$1:$19397,A437,MATCH("Dose_Area_Product_Total",DATOS3!$1:$1,0)))</f>
        <v>#N/A</v>
      </c>
      <c r="J437" t="e">
        <f>IF(INDEX(DATOS3!$1:$19397,A437,MATCH("Dose_RP_Total",DATOS3!$1:$1,0))=0,0,INDEX(DATOS3!$1:$19397,A437,MATCH("Dose_RP_Total",DATOS3!$1:$1,0)))</f>
        <v>#N/A</v>
      </c>
      <c r="K437" t="e">
        <f>IF(INDEX(DATOS3!$1:$19397,A437,MATCH("Total_Fluoro_Time",DATOS3!$1:$1,0))=0,0,INDEX(DATOS3!$1:$19397,A437,MATCH("Total_Fluoro_Time",DATOS3!$1:$1,0)))</f>
        <v>#N/A</v>
      </c>
      <c r="L437" t="e">
        <f>IF(INDEX(DATOS3!$1:$19397,A437,MATCH("Total_Acquisition_Time",DATOS3!$1:$1,0))=0,0,INDEX(DATOS3!$1:$19397,A437,MATCH("Total_Acquisition_Time",DATOS3!$1:$1,0)))</f>
        <v>#N/A</v>
      </c>
    </row>
    <row r="438" spans="1:12" x14ac:dyDescent="0.25">
      <c r="A438">
        <v>438</v>
      </c>
      <c r="B438" t="e">
        <f t="shared" si="6"/>
        <v>#N/A</v>
      </c>
      <c r="D438" t="e">
        <f>IF(INDEX(DATOS3!$1:$19397,A438,MATCH("PatientID",DATOS3!$1:$1,0))=0,"",INDEX(DATOS3!$1:$19397,A438,MATCH("PatientID",DATOS3!$1:$1,0)))</f>
        <v>#N/A</v>
      </c>
      <c r="F438" t="e">
        <f>IF(INDEX(DATOS3!$1:$19397,A438,MATCH("SeriesDate",DATOS3!$1:$1,0))=0,"",INDEX(DATOS3!$1:$19397,A438,MATCH("SeriesDate",DATOS3!$1:$1,0)))</f>
        <v>#N/A</v>
      </c>
      <c r="G438" t="e">
        <f>IF(INDEX(DATOS3!$1:$19397,A438,MATCH("SeriesTime",DATOS3!$1:$1,0))=0,"",INDEX(DATOS3!$1:$19397,A438,MATCH("SeriesTime",DATOS3!$1:$1,0)))</f>
        <v>#N/A</v>
      </c>
      <c r="H438" t="e">
        <f>IF(INDEX(DATOS3!$1:$19397,A438,MATCH("StudyDescription",DATOS3!$1:$1,0))=0,"",INDEX(DATOS3!$1:$19397,A438,MATCH("StudyDescription",DATOS3!$1:$1,0)))</f>
        <v>#N/A</v>
      </c>
      <c r="I438" t="e">
        <f>IF(INDEX(DATOS3!$1:$19397,A438,MATCH("Dose_Area_Product_Total",DATOS3!$1:$1,0))=0,0,INDEX(DATOS3!$1:$19397,A438,MATCH("Dose_Area_Product_Total",DATOS3!$1:$1,0)))</f>
        <v>#N/A</v>
      </c>
      <c r="J438" t="e">
        <f>IF(INDEX(DATOS3!$1:$19397,A438,MATCH("Dose_RP_Total",DATOS3!$1:$1,0))=0,0,INDEX(DATOS3!$1:$19397,A438,MATCH("Dose_RP_Total",DATOS3!$1:$1,0)))</f>
        <v>#N/A</v>
      </c>
      <c r="K438" t="e">
        <f>IF(INDEX(DATOS3!$1:$19397,A438,MATCH("Total_Fluoro_Time",DATOS3!$1:$1,0))=0,0,INDEX(DATOS3!$1:$19397,A438,MATCH("Total_Fluoro_Time",DATOS3!$1:$1,0)))</f>
        <v>#N/A</v>
      </c>
      <c r="L438" t="e">
        <f>IF(INDEX(DATOS3!$1:$19397,A438,MATCH("Total_Acquisition_Time",DATOS3!$1:$1,0))=0,0,INDEX(DATOS3!$1:$19397,A438,MATCH("Total_Acquisition_Time",DATOS3!$1:$1,0)))</f>
        <v>#N/A</v>
      </c>
    </row>
    <row r="439" spans="1:12" x14ac:dyDescent="0.25">
      <c r="A439">
        <v>439</v>
      </c>
      <c r="B439" t="e">
        <f t="shared" si="6"/>
        <v>#N/A</v>
      </c>
      <c r="D439" t="e">
        <f>IF(INDEX(DATOS3!$1:$19397,A439,MATCH("PatientID",DATOS3!$1:$1,0))=0,"",INDEX(DATOS3!$1:$19397,A439,MATCH("PatientID",DATOS3!$1:$1,0)))</f>
        <v>#N/A</v>
      </c>
      <c r="F439" t="e">
        <f>IF(INDEX(DATOS3!$1:$19397,A439,MATCH("SeriesDate",DATOS3!$1:$1,0))=0,"",INDEX(DATOS3!$1:$19397,A439,MATCH("SeriesDate",DATOS3!$1:$1,0)))</f>
        <v>#N/A</v>
      </c>
      <c r="G439" t="e">
        <f>IF(INDEX(DATOS3!$1:$19397,A439,MATCH("SeriesTime",DATOS3!$1:$1,0))=0,"",INDEX(DATOS3!$1:$19397,A439,MATCH("SeriesTime",DATOS3!$1:$1,0)))</f>
        <v>#N/A</v>
      </c>
      <c r="H439" t="e">
        <f>IF(INDEX(DATOS3!$1:$19397,A439,MATCH("StudyDescription",DATOS3!$1:$1,0))=0,"",INDEX(DATOS3!$1:$19397,A439,MATCH("StudyDescription",DATOS3!$1:$1,0)))</f>
        <v>#N/A</v>
      </c>
      <c r="I439" t="e">
        <f>IF(INDEX(DATOS3!$1:$19397,A439,MATCH("Dose_Area_Product_Total",DATOS3!$1:$1,0))=0,0,INDEX(DATOS3!$1:$19397,A439,MATCH("Dose_Area_Product_Total",DATOS3!$1:$1,0)))</f>
        <v>#N/A</v>
      </c>
      <c r="J439" t="e">
        <f>IF(INDEX(DATOS3!$1:$19397,A439,MATCH("Dose_RP_Total",DATOS3!$1:$1,0))=0,0,INDEX(DATOS3!$1:$19397,A439,MATCH("Dose_RP_Total",DATOS3!$1:$1,0)))</f>
        <v>#N/A</v>
      </c>
      <c r="K439" t="e">
        <f>IF(INDEX(DATOS3!$1:$19397,A439,MATCH("Total_Fluoro_Time",DATOS3!$1:$1,0))=0,0,INDEX(DATOS3!$1:$19397,A439,MATCH("Total_Fluoro_Time",DATOS3!$1:$1,0)))</f>
        <v>#N/A</v>
      </c>
      <c r="L439" t="e">
        <f>IF(INDEX(DATOS3!$1:$19397,A439,MATCH("Total_Acquisition_Time",DATOS3!$1:$1,0))=0,0,INDEX(DATOS3!$1:$19397,A439,MATCH("Total_Acquisition_Time",DATOS3!$1:$1,0)))</f>
        <v>#N/A</v>
      </c>
    </row>
    <row r="440" spans="1:12" x14ac:dyDescent="0.25">
      <c r="A440">
        <v>440</v>
      </c>
      <c r="B440" t="e">
        <f t="shared" si="6"/>
        <v>#N/A</v>
      </c>
      <c r="D440" t="e">
        <f>IF(INDEX(DATOS3!$1:$19397,A440,MATCH("PatientID",DATOS3!$1:$1,0))=0,"",INDEX(DATOS3!$1:$19397,A440,MATCH("PatientID",DATOS3!$1:$1,0)))</f>
        <v>#N/A</v>
      </c>
      <c r="F440" t="e">
        <f>IF(INDEX(DATOS3!$1:$19397,A440,MATCH("SeriesDate",DATOS3!$1:$1,0))=0,"",INDEX(DATOS3!$1:$19397,A440,MATCH("SeriesDate",DATOS3!$1:$1,0)))</f>
        <v>#N/A</v>
      </c>
      <c r="G440" t="e">
        <f>IF(INDEX(DATOS3!$1:$19397,A440,MATCH("SeriesTime",DATOS3!$1:$1,0))=0,"",INDEX(DATOS3!$1:$19397,A440,MATCH("SeriesTime",DATOS3!$1:$1,0)))</f>
        <v>#N/A</v>
      </c>
      <c r="H440" t="e">
        <f>IF(INDEX(DATOS3!$1:$19397,A440,MATCH("StudyDescription",DATOS3!$1:$1,0))=0,"",INDEX(DATOS3!$1:$19397,A440,MATCH("StudyDescription",DATOS3!$1:$1,0)))</f>
        <v>#N/A</v>
      </c>
      <c r="I440" t="e">
        <f>IF(INDEX(DATOS3!$1:$19397,A440,MATCH("Dose_Area_Product_Total",DATOS3!$1:$1,0))=0,0,INDEX(DATOS3!$1:$19397,A440,MATCH("Dose_Area_Product_Total",DATOS3!$1:$1,0)))</f>
        <v>#N/A</v>
      </c>
      <c r="J440" t="e">
        <f>IF(INDEX(DATOS3!$1:$19397,A440,MATCH("Dose_RP_Total",DATOS3!$1:$1,0))=0,0,INDEX(DATOS3!$1:$19397,A440,MATCH("Dose_RP_Total",DATOS3!$1:$1,0)))</f>
        <v>#N/A</v>
      </c>
      <c r="K440" t="e">
        <f>IF(INDEX(DATOS3!$1:$19397,A440,MATCH("Total_Fluoro_Time",DATOS3!$1:$1,0))=0,0,INDEX(DATOS3!$1:$19397,A440,MATCH("Total_Fluoro_Time",DATOS3!$1:$1,0)))</f>
        <v>#N/A</v>
      </c>
      <c r="L440" t="e">
        <f>IF(INDEX(DATOS3!$1:$19397,A440,MATCH("Total_Acquisition_Time",DATOS3!$1:$1,0))=0,0,INDEX(DATOS3!$1:$19397,A440,MATCH("Total_Acquisition_Time",DATOS3!$1:$1,0)))</f>
        <v>#N/A</v>
      </c>
    </row>
    <row r="441" spans="1:12" x14ac:dyDescent="0.25">
      <c r="A441">
        <v>441</v>
      </c>
      <c r="B441" t="e">
        <f t="shared" si="6"/>
        <v>#N/A</v>
      </c>
      <c r="D441" t="e">
        <f>IF(INDEX(DATOS3!$1:$19397,A441,MATCH("PatientID",DATOS3!$1:$1,0))=0,"",INDEX(DATOS3!$1:$19397,A441,MATCH("PatientID",DATOS3!$1:$1,0)))</f>
        <v>#N/A</v>
      </c>
      <c r="F441" t="e">
        <f>IF(INDEX(DATOS3!$1:$19397,A441,MATCH("SeriesDate",DATOS3!$1:$1,0))=0,"",INDEX(DATOS3!$1:$19397,A441,MATCH("SeriesDate",DATOS3!$1:$1,0)))</f>
        <v>#N/A</v>
      </c>
      <c r="G441" t="e">
        <f>IF(INDEX(DATOS3!$1:$19397,A441,MATCH("SeriesTime",DATOS3!$1:$1,0))=0,"",INDEX(DATOS3!$1:$19397,A441,MATCH("SeriesTime",DATOS3!$1:$1,0)))</f>
        <v>#N/A</v>
      </c>
      <c r="H441" t="e">
        <f>IF(INDEX(DATOS3!$1:$19397,A441,MATCH("StudyDescription",DATOS3!$1:$1,0))=0,"",INDEX(DATOS3!$1:$19397,A441,MATCH("StudyDescription",DATOS3!$1:$1,0)))</f>
        <v>#N/A</v>
      </c>
      <c r="I441" t="e">
        <f>IF(INDEX(DATOS3!$1:$19397,A441,MATCH("Dose_Area_Product_Total",DATOS3!$1:$1,0))=0,0,INDEX(DATOS3!$1:$19397,A441,MATCH("Dose_Area_Product_Total",DATOS3!$1:$1,0)))</f>
        <v>#N/A</v>
      </c>
      <c r="J441" t="e">
        <f>IF(INDEX(DATOS3!$1:$19397,A441,MATCH("Dose_RP_Total",DATOS3!$1:$1,0))=0,0,INDEX(DATOS3!$1:$19397,A441,MATCH("Dose_RP_Total",DATOS3!$1:$1,0)))</f>
        <v>#N/A</v>
      </c>
      <c r="K441" t="e">
        <f>IF(INDEX(DATOS3!$1:$19397,A441,MATCH("Total_Fluoro_Time",DATOS3!$1:$1,0))=0,0,INDEX(DATOS3!$1:$19397,A441,MATCH("Total_Fluoro_Time",DATOS3!$1:$1,0)))</f>
        <v>#N/A</v>
      </c>
      <c r="L441" t="e">
        <f>IF(INDEX(DATOS3!$1:$19397,A441,MATCH("Total_Acquisition_Time",DATOS3!$1:$1,0))=0,0,INDEX(DATOS3!$1:$19397,A441,MATCH("Total_Acquisition_Time",DATOS3!$1:$1,0)))</f>
        <v>#N/A</v>
      </c>
    </row>
    <row r="442" spans="1:12" x14ac:dyDescent="0.25">
      <c r="A442">
        <v>442</v>
      </c>
      <c r="B442" t="e">
        <f t="shared" si="6"/>
        <v>#N/A</v>
      </c>
      <c r="D442" t="e">
        <f>IF(INDEX(DATOS3!$1:$19397,A442,MATCH("PatientID",DATOS3!$1:$1,0))=0,"",INDEX(DATOS3!$1:$19397,A442,MATCH("PatientID",DATOS3!$1:$1,0)))</f>
        <v>#N/A</v>
      </c>
      <c r="F442" t="e">
        <f>IF(INDEX(DATOS3!$1:$19397,A442,MATCH("SeriesDate",DATOS3!$1:$1,0))=0,"",INDEX(DATOS3!$1:$19397,A442,MATCH("SeriesDate",DATOS3!$1:$1,0)))</f>
        <v>#N/A</v>
      </c>
      <c r="G442" t="e">
        <f>IF(INDEX(DATOS3!$1:$19397,A442,MATCH("SeriesTime",DATOS3!$1:$1,0))=0,"",INDEX(DATOS3!$1:$19397,A442,MATCH("SeriesTime",DATOS3!$1:$1,0)))</f>
        <v>#N/A</v>
      </c>
      <c r="H442" t="e">
        <f>IF(INDEX(DATOS3!$1:$19397,A442,MATCH("StudyDescription",DATOS3!$1:$1,0))=0,"",INDEX(DATOS3!$1:$19397,A442,MATCH("StudyDescription",DATOS3!$1:$1,0)))</f>
        <v>#N/A</v>
      </c>
      <c r="I442" t="e">
        <f>IF(INDEX(DATOS3!$1:$19397,A442,MATCH("Dose_Area_Product_Total",DATOS3!$1:$1,0))=0,0,INDEX(DATOS3!$1:$19397,A442,MATCH("Dose_Area_Product_Total",DATOS3!$1:$1,0)))</f>
        <v>#N/A</v>
      </c>
      <c r="J442" t="e">
        <f>IF(INDEX(DATOS3!$1:$19397,A442,MATCH("Dose_RP_Total",DATOS3!$1:$1,0))=0,0,INDEX(DATOS3!$1:$19397,A442,MATCH("Dose_RP_Total",DATOS3!$1:$1,0)))</f>
        <v>#N/A</v>
      </c>
      <c r="K442" t="e">
        <f>IF(INDEX(DATOS3!$1:$19397,A442,MATCH("Total_Fluoro_Time",DATOS3!$1:$1,0))=0,0,INDEX(DATOS3!$1:$19397,A442,MATCH("Total_Fluoro_Time",DATOS3!$1:$1,0)))</f>
        <v>#N/A</v>
      </c>
      <c r="L442" t="e">
        <f>IF(INDEX(DATOS3!$1:$19397,A442,MATCH("Total_Acquisition_Time",DATOS3!$1:$1,0))=0,0,INDEX(DATOS3!$1:$19397,A442,MATCH("Total_Acquisition_Time",DATOS3!$1:$1,0)))</f>
        <v>#N/A</v>
      </c>
    </row>
    <row r="443" spans="1:12" x14ac:dyDescent="0.25">
      <c r="A443">
        <v>443</v>
      </c>
      <c r="B443" t="e">
        <f t="shared" si="6"/>
        <v>#N/A</v>
      </c>
      <c r="D443" t="e">
        <f>IF(INDEX(DATOS3!$1:$19397,A443,MATCH("PatientID",DATOS3!$1:$1,0))=0,"",INDEX(DATOS3!$1:$19397,A443,MATCH("PatientID",DATOS3!$1:$1,0)))</f>
        <v>#N/A</v>
      </c>
      <c r="F443" t="e">
        <f>IF(INDEX(DATOS3!$1:$19397,A443,MATCH("SeriesDate",DATOS3!$1:$1,0))=0,"",INDEX(DATOS3!$1:$19397,A443,MATCH("SeriesDate",DATOS3!$1:$1,0)))</f>
        <v>#N/A</v>
      </c>
      <c r="G443" t="e">
        <f>IF(INDEX(DATOS3!$1:$19397,A443,MATCH("SeriesTime",DATOS3!$1:$1,0))=0,"",INDEX(DATOS3!$1:$19397,A443,MATCH("SeriesTime",DATOS3!$1:$1,0)))</f>
        <v>#N/A</v>
      </c>
      <c r="H443" t="e">
        <f>IF(INDEX(DATOS3!$1:$19397,A443,MATCH("StudyDescription",DATOS3!$1:$1,0))=0,"",INDEX(DATOS3!$1:$19397,A443,MATCH("StudyDescription",DATOS3!$1:$1,0)))</f>
        <v>#N/A</v>
      </c>
      <c r="I443" t="e">
        <f>IF(INDEX(DATOS3!$1:$19397,A443,MATCH("Dose_Area_Product_Total",DATOS3!$1:$1,0))=0,0,INDEX(DATOS3!$1:$19397,A443,MATCH("Dose_Area_Product_Total",DATOS3!$1:$1,0)))</f>
        <v>#N/A</v>
      </c>
      <c r="J443" t="e">
        <f>IF(INDEX(DATOS3!$1:$19397,A443,MATCH("Dose_RP_Total",DATOS3!$1:$1,0))=0,0,INDEX(DATOS3!$1:$19397,A443,MATCH("Dose_RP_Total",DATOS3!$1:$1,0)))</f>
        <v>#N/A</v>
      </c>
      <c r="K443" t="e">
        <f>IF(INDEX(DATOS3!$1:$19397,A443,MATCH("Total_Fluoro_Time",DATOS3!$1:$1,0))=0,0,INDEX(DATOS3!$1:$19397,A443,MATCH("Total_Fluoro_Time",DATOS3!$1:$1,0)))</f>
        <v>#N/A</v>
      </c>
      <c r="L443" t="e">
        <f>IF(INDEX(DATOS3!$1:$19397,A443,MATCH("Total_Acquisition_Time",DATOS3!$1:$1,0))=0,0,INDEX(DATOS3!$1:$19397,A443,MATCH("Total_Acquisition_Time",DATOS3!$1:$1,0)))</f>
        <v>#N/A</v>
      </c>
    </row>
    <row r="444" spans="1:12" x14ac:dyDescent="0.25">
      <c r="A444">
        <v>444</v>
      </c>
      <c r="B444" t="e">
        <f t="shared" si="6"/>
        <v>#N/A</v>
      </c>
      <c r="D444" t="e">
        <f>IF(INDEX(DATOS3!$1:$19397,A444,MATCH("PatientID",DATOS3!$1:$1,0))=0,"",INDEX(DATOS3!$1:$19397,A444,MATCH("PatientID",DATOS3!$1:$1,0)))</f>
        <v>#N/A</v>
      </c>
      <c r="F444" t="e">
        <f>IF(INDEX(DATOS3!$1:$19397,A444,MATCH("SeriesDate",DATOS3!$1:$1,0))=0,"",INDEX(DATOS3!$1:$19397,A444,MATCH("SeriesDate",DATOS3!$1:$1,0)))</f>
        <v>#N/A</v>
      </c>
      <c r="G444" t="e">
        <f>IF(INDEX(DATOS3!$1:$19397,A444,MATCH("SeriesTime",DATOS3!$1:$1,0))=0,"",INDEX(DATOS3!$1:$19397,A444,MATCH("SeriesTime",DATOS3!$1:$1,0)))</f>
        <v>#N/A</v>
      </c>
      <c r="H444" t="e">
        <f>IF(INDEX(DATOS3!$1:$19397,A444,MATCH("StudyDescription",DATOS3!$1:$1,0))=0,"",INDEX(DATOS3!$1:$19397,A444,MATCH("StudyDescription",DATOS3!$1:$1,0)))</f>
        <v>#N/A</v>
      </c>
      <c r="I444" t="e">
        <f>IF(INDEX(DATOS3!$1:$19397,A444,MATCH("Dose_Area_Product_Total",DATOS3!$1:$1,0))=0,0,INDEX(DATOS3!$1:$19397,A444,MATCH("Dose_Area_Product_Total",DATOS3!$1:$1,0)))</f>
        <v>#N/A</v>
      </c>
      <c r="J444" t="e">
        <f>IF(INDEX(DATOS3!$1:$19397,A444,MATCH("Dose_RP_Total",DATOS3!$1:$1,0))=0,0,INDEX(DATOS3!$1:$19397,A444,MATCH("Dose_RP_Total",DATOS3!$1:$1,0)))</f>
        <v>#N/A</v>
      </c>
      <c r="K444" t="e">
        <f>IF(INDEX(DATOS3!$1:$19397,A444,MATCH("Total_Fluoro_Time",DATOS3!$1:$1,0))=0,0,INDEX(DATOS3!$1:$19397,A444,MATCH("Total_Fluoro_Time",DATOS3!$1:$1,0)))</f>
        <v>#N/A</v>
      </c>
      <c r="L444" t="e">
        <f>IF(INDEX(DATOS3!$1:$19397,A444,MATCH("Total_Acquisition_Time",DATOS3!$1:$1,0))=0,0,INDEX(DATOS3!$1:$19397,A444,MATCH("Total_Acquisition_Time",DATOS3!$1:$1,0)))</f>
        <v>#N/A</v>
      </c>
    </row>
    <row r="445" spans="1:12" x14ac:dyDescent="0.25">
      <c r="A445">
        <v>445</v>
      </c>
      <c r="B445" t="e">
        <f t="shared" si="6"/>
        <v>#N/A</v>
      </c>
      <c r="D445" t="e">
        <f>IF(INDEX(DATOS3!$1:$19397,A445,MATCH("PatientID",DATOS3!$1:$1,0))=0,"",INDEX(DATOS3!$1:$19397,A445,MATCH("PatientID",DATOS3!$1:$1,0)))</f>
        <v>#N/A</v>
      </c>
      <c r="F445" t="e">
        <f>IF(INDEX(DATOS3!$1:$19397,A445,MATCH("SeriesDate",DATOS3!$1:$1,0))=0,"",INDEX(DATOS3!$1:$19397,A445,MATCH("SeriesDate",DATOS3!$1:$1,0)))</f>
        <v>#N/A</v>
      </c>
      <c r="G445" t="e">
        <f>IF(INDEX(DATOS3!$1:$19397,A445,MATCH("SeriesTime",DATOS3!$1:$1,0))=0,"",INDEX(DATOS3!$1:$19397,A445,MATCH("SeriesTime",DATOS3!$1:$1,0)))</f>
        <v>#N/A</v>
      </c>
      <c r="H445" t="e">
        <f>IF(INDEX(DATOS3!$1:$19397,A445,MATCH("StudyDescription",DATOS3!$1:$1,0))=0,"",INDEX(DATOS3!$1:$19397,A445,MATCH("StudyDescription",DATOS3!$1:$1,0)))</f>
        <v>#N/A</v>
      </c>
      <c r="I445" t="e">
        <f>IF(INDEX(DATOS3!$1:$19397,A445,MATCH("Dose_Area_Product_Total",DATOS3!$1:$1,0))=0,0,INDEX(DATOS3!$1:$19397,A445,MATCH("Dose_Area_Product_Total",DATOS3!$1:$1,0)))</f>
        <v>#N/A</v>
      </c>
      <c r="J445" t="e">
        <f>IF(INDEX(DATOS3!$1:$19397,A445,MATCH("Dose_RP_Total",DATOS3!$1:$1,0))=0,0,INDEX(DATOS3!$1:$19397,A445,MATCH("Dose_RP_Total",DATOS3!$1:$1,0)))</f>
        <v>#N/A</v>
      </c>
      <c r="K445" t="e">
        <f>IF(INDEX(DATOS3!$1:$19397,A445,MATCH("Total_Fluoro_Time",DATOS3!$1:$1,0))=0,0,INDEX(DATOS3!$1:$19397,A445,MATCH("Total_Fluoro_Time",DATOS3!$1:$1,0)))</f>
        <v>#N/A</v>
      </c>
      <c r="L445" t="e">
        <f>IF(INDEX(DATOS3!$1:$19397,A445,MATCH("Total_Acquisition_Time",DATOS3!$1:$1,0))=0,0,INDEX(DATOS3!$1:$19397,A445,MATCH("Total_Acquisition_Time",DATOS3!$1:$1,0)))</f>
        <v>#N/A</v>
      </c>
    </row>
    <row r="446" spans="1:12" x14ac:dyDescent="0.25">
      <c r="A446">
        <v>446</v>
      </c>
      <c r="B446" t="e">
        <f t="shared" si="6"/>
        <v>#N/A</v>
      </c>
      <c r="D446" t="e">
        <f>IF(INDEX(DATOS3!$1:$19397,A446,MATCH("PatientID",DATOS3!$1:$1,0))=0,"",INDEX(DATOS3!$1:$19397,A446,MATCH("PatientID",DATOS3!$1:$1,0)))</f>
        <v>#N/A</v>
      </c>
      <c r="F446" t="e">
        <f>IF(INDEX(DATOS3!$1:$19397,A446,MATCH("SeriesDate",DATOS3!$1:$1,0))=0,"",INDEX(DATOS3!$1:$19397,A446,MATCH("SeriesDate",DATOS3!$1:$1,0)))</f>
        <v>#N/A</v>
      </c>
      <c r="G446" t="e">
        <f>IF(INDEX(DATOS3!$1:$19397,A446,MATCH("SeriesTime",DATOS3!$1:$1,0))=0,"",INDEX(DATOS3!$1:$19397,A446,MATCH("SeriesTime",DATOS3!$1:$1,0)))</f>
        <v>#N/A</v>
      </c>
      <c r="H446" t="e">
        <f>IF(INDEX(DATOS3!$1:$19397,A446,MATCH("StudyDescription",DATOS3!$1:$1,0))=0,"",INDEX(DATOS3!$1:$19397,A446,MATCH("StudyDescription",DATOS3!$1:$1,0)))</f>
        <v>#N/A</v>
      </c>
      <c r="I446" t="e">
        <f>IF(INDEX(DATOS3!$1:$19397,A446,MATCH("Dose_Area_Product_Total",DATOS3!$1:$1,0))=0,0,INDEX(DATOS3!$1:$19397,A446,MATCH("Dose_Area_Product_Total",DATOS3!$1:$1,0)))</f>
        <v>#N/A</v>
      </c>
      <c r="J446" t="e">
        <f>IF(INDEX(DATOS3!$1:$19397,A446,MATCH("Dose_RP_Total",DATOS3!$1:$1,0))=0,0,INDEX(DATOS3!$1:$19397,A446,MATCH("Dose_RP_Total",DATOS3!$1:$1,0)))</f>
        <v>#N/A</v>
      </c>
      <c r="K446" t="e">
        <f>IF(INDEX(DATOS3!$1:$19397,A446,MATCH("Total_Fluoro_Time",DATOS3!$1:$1,0))=0,0,INDEX(DATOS3!$1:$19397,A446,MATCH("Total_Fluoro_Time",DATOS3!$1:$1,0)))</f>
        <v>#N/A</v>
      </c>
      <c r="L446" t="e">
        <f>IF(INDEX(DATOS3!$1:$19397,A446,MATCH("Total_Acquisition_Time",DATOS3!$1:$1,0))=0,0,INDEX(DATOS3!$1:$19397,A446,MATCH("Total_Acquisition_Time",DATOS3!$1:$1,0)))</f>
        <v>#N/A</v>
      </c>
    </row>
    <row r="447" spans="1:12" x14ac:dyDescent="0.25">
      <c r="A447">
        <v>447</v>
      </c>
      <c r="B447" t="e">
        <f t="shared" si="6"/>
        <v>#N/A</v>
      </c>
      <c r="D447" t="e">
        <f>IF(INDEX(DATOS3!$1:$19397,A447,MATCH("PatientID",DATOS3!$1:$1,0))=0,"",INDEX(DATOS3!$1:$19397,A447,MATCH("PatientID",DATOS3!$1:$1,0)))</f>
        <v>#N/A</v>
      </c>
      <c r="F447" t="e">
        <f>IF(INDEX(DATOS3!$1:$19397,A447,MATCH("SeriesDate",DATOS3!$1:$1,0))=0,"",INDEX(DATOS3!$1:$19397,A447,MATCH("SeriesDate",DATOS3!$1:$1,0)))</f>
        <v>#N/A</v>
      </c>
      <c r="G447" t="e">
        <f>IF(INDEX(DATOS3!$1:$19397,A447,MATCH("SeriesTime",DATOS3!$1:$1,0))=0,"",INDEX(DATOS3!$1:$19397,A447,MATCH("SeriesTime",DATOS3!$1:$1,0)))</f>
        <v>#N/A</v>
      </c>
      <c r="H447" t="e">
        <f>IF(INDEX(DATOS3!$1:$19397,A447,MATCH("StudyDescription",DATOS3!$1:$1,0))=0,"",INDEX(DATOS3!$1:$19397,A447,MATCH("StudyDescription",DATOS3!$1:$1,0)))</f>
        <v>#N/A</v>
      </c>
      <c r="I447" t="e">
        <f>IF(INDEX(DATOS3!$1:$19397,A447,MATCH("Dose_Area_Product_Total",DATOS3!$1:$1,0))=0,0,INDEX(DATOS3!$1:$19397,A447,MATCH("Dose_Area_Product_Total",DATOS3!$1:$1,0)))</f>
        <v>#N/A</v>
      </c>
      <c r="J447" t="e">
        <f>IF(INDEX(DATOS3!$1:$19397,A447,MATCH("Dose_RP_Total",DATOS3!$1:$1,0))=0,0,INDEX(DATOS3!$1:$19397,A447,MATCH("Dose_RP_Total",DATOS3!$1:$1,0)))</f>
        <v>#N/A</v>
      </c>
      <c r="K447" t="e">
        <f>IF(INDEX(DATOS3!$1:$19397,A447,MATCH("Total_Fluoro_Time",DATOS3!$1:$1,0))=0,0,INDEX(DATOS3!$1:$19397,A447,MATCH("Total_Fluoro_Time",DATOS3!$1:$1,0)))</f>
        <v>#N/A</v>
      </c>
      <c r="L447" t="e">
        <f>IF(INDEX(DATOS3!$1:$19397,A447,MATCH("Total_Acquisition_Time",DATOS3!$1:$1,0))=0,0,INDEX(DATOS3!$1:$19397,A447,MATCH("Total_Acquisition_Time",DATOS3!$1:$1,0)))</f>
        <v>#N/A</v>
      </c>
    </row>
    <row r="448" spans="1:12" x14ac:dyDescent="0.25">
      <c r="A448">
        <v>448</v>
      </c>
      <c r="B448" t="e">
        <f t="shared" si="6"/>
        <v>#N/A</v>
      </c>
      <c r="D448" t="e">
        <f>IF(INDEX(DATOS3!$1:$19397,A448,MATCH("PatientID",DATOS3!$1:$1,0))=0,"",INDEX(DATOS3!$1:$19397,A448,MATCH("PatientID",DATOS3!$1:$1,0)))</f>
        <v>#N/A</v>
      </c>
      <c r="F448" t="e">
        <f>IF(INDEX(DATOS3!$1:$19397,A448,MATCH("SeriesDate",DATOS3!$1:$1,0))=0,"",INDEX(DATOS3!$1:$19397,A448,MATCH("SeriesDate",DATOS3!$1:$1,0)))</f>
        <v>#N/A</v>
      </c>
      <c r="G448" t="e">
        <f>IF(INDEX(DATOS3!$1:$19397,A448,MATCH("SeriesTime",DATOS3!$1:$1,0))=0,"",INDEX(DATOS3!$1:$19397,A448,MATCH("SeriesTime",DATOS3!$1:$1,0)))</f>
        <v>#N/A</v>
      </c>
      <c r="H448" t="e">
        <f>IF(INDEX(DATOS3!$1:$19397,A448,MATCH("StudyDescription",DATOS3!$1:$1,0))=0,"",INDEX(DATOS3!$1:$19397,A448,MATCH("StudyDescription",DATOS3!$1:$1,0)))</f>
        <v>#N/A</v>
      </c>
      <c r="I448" t="e">
        <f>IF(INDEX(DATOS3!$1:$19397,A448,MATCH("Dose_Area_Product_Total",DATOS3!$1:$1,0))=0,0,INDEX(DATOS3!$1:$19397,A448,MATCH("Dose_Area_Product_Total",DATOS3!$1:$1,0)))</f>
        <v>#N/A</v>
      </c>
      <c r="J448" t="e">
        <f>IF(INDEX(DATOS3!$1:$19397,A448,MATCH("Dose_RP_Total",DATOS3!$1:$1,0))=0,0,INDEX(DATOS3!$1:$19397,A448,MATCH("Dose_RP_Total",DATOS3!$1:$1,0)))</f>
        <v>#N/A</v>
      </c>
      <c r="K448" t="e">
        <f>IF(INDEX(DATOS3!$1:$19397,A448,MATCH("Total_Fluoro_Time",DATOS3!$1:$1,0))=0,0,INDEX(DATOS3!$1:$19397,A448,MATCH("Total_Fluoro_Time",DATOS3!$1:$1,0)))</f>
        <v>#N/A</v>
      </c>
      <c r="L448" t="e">
        <f>IF(INDEX(DATOS3!$1:$19397,A448,MATCH("Total_Acquisition_Time",DATOS3!$1:$1,0))=0,0,INDEX(DATOS3!$1:$19397,A448,MATCH("Total_Acquisition_Time",DATOS3!$1:$1,0)))</f>
        <v>#N/A</v>
      </c>
    </row>
    <row r="449" spans="1:12" x14ac:dyDescent="0.25">
      <c r="A449">
        <v>449</v>
      </c>
      <c r="B449" t="e">
        <f t="shared" si="6"/>
        <v>#N/A</v>
      </c>
      <c r="D449" t="e">
        <f>IF(INDEX(DATOS3!$1:$19397,A449,MATCH("PatientID",DATOS3!$1:$1,0))=0,"",INDEX(DATOS3!$1:$19397,A449,MATCH("PatientID",DATOS3!$1:$1,0)))</f>
        <v>#N/A</v>
      </c>
      <c r="F449" t="e">
        <f>IF(INDEX(DATOS3!$1:$19397,A449,MATCH("SeriesDate",DATOS3!$1:$1,0))=0,"",INDEX(DATOS3!$1:$19397,A449,MATCH("SeriesDate",DATOS3!$1:$1,0)))</f>
        <v>#N/A</v>
      </c>
      <c r="G449" t="e">
        <f>IF(INDEX(DATOS3!$1:$19397,A449,MATCH("SeriesTime",DATOS3!$1:$1,0))=0,"",INDEX(DATOS3!$1:$19397,A449,MATCH("SeriesTime",DATOS3!$1:$1,0)))</f>
        <v>#N/A</v>
      </c>
      <c r="H449" t="e">
        <f>IF(INDEX(DATOS3!$1:$19397,A449,MATCH("StudyDescription",DATOS3!$1:$1,0))=0,"",INDEX(DATOS3!$1:$19397,A449,MATCH("StudyDescription",DATOS3!$1:$1,0)))</f>
        <v>#N/A</v>
      </c>
      <c r="I449" t="e">
        <f>IF(INDEX(DATOS3!$1:$19397,A449,MATCH("Dose_Area_Product_Total",DATOS3!$1:$1,0))=0,0,INDEX(DATOS3!$1:$19397,A449,MATCH("Dose_Area_Product_Total",DATOS3!$1:$1,0)))</f>
        <v>#N/A</v>
      </c>
      <c r="J449" t="e">
        <f>IF(INDEX(DATOS3!$1:$19397,A449,MATCH("Dose_RP_Total",DATOS3!$1:$1,0))=0,0,INDEX(DATOS3!$1:$19397,A449,MATCH("Dose_RP_Total",DATOS3!$1:$1,0)))</f>
        <v>#N/A</v>
      </c>
      <c r="K449" t="e">
        <f>IF(INDEX(DATOS3!$1:$19397,A449,MATCH("Total_Fluoro_Time",DATOS3!$1:$1,0))=0,0,INDEX(DATOS3!$1:$19397,A449,MATCH("Total_Fluoro_Time",DATOS3!$1:$1,0)))</f>
        <v>#N/A</v>
      </c>
      <c r="L449" t="e">
        <f>IF(INDEX(DATOS3!$1:$19397,A449,MATCH("Total_Acquisition_Time",DATOS3!$1:$1,0))=0,0,INDEX(DATOS3!$1:$19397,A449,MATCH("Total_Acquisition_Time",DATOS3!$1:$1,0)))</f>
        <v>#N/A</v>
      </c>
    </row>
    <row r="450" spans="1:12" x14ac:dyDescent="0.25">
      <c r="A450">
        <v>450</v>
      </c>
      <c r="B450" t="e">
        <f t="shared" si="6"/>
        <v>#N/A</v>
      </c>
      <c r="D450" t="e">
        <f>IF(INDEX(DATOS3!$1:$19397,A450,MATCH("PatientID",DATOS3!$1:$1,0))=0,"",INDEX(DATOS3!$1:$19397,A450,MATCH("PatientID",DATOS3!$1:$1,0)))</f>
        <v>#N/A</v>
      </c>
      <c r="F450" t="e">
        <f>IF(INDEX(DATOS3!$1:$19397,A450,MATCH("SeriesDate",DATOS3!$1:$1,0))=0,"",INDEX(DATOS3!$1:$19397,A450,MATCH("SeriesDate",DATOS3!$1:$1,0)))</f>
        <v>#N/A</v>
      </c>
      <c r="G450" t="e">
        <f>IF(INDEX(DATOS3!$1:$19397,A450,MATCH("SeriesTime",DATOS3!$1:$1,0))=0,"",INDEX(DATOS3!$1:$19397,A450,MATCH("SeriesTime",DATOS3!$1:$1,0)))</f>
        <v>#N/A</v>
      </c>
      <c r="H450" t="e">
        <f>IF(INDEX(DATOS3!$1:$19397,A450,MATCH("StudyDescription",DATOS3!$1:$1,0))=0,"",INDEX(DATOS3!$1:$19397,A450,MATCH("StudyDescription",DATOS3!$1:$1,0)))</f>
        <v>#N/A</v>
      </c>
      <c r="I450" t="e">
        <f>IF(INDEX(DATOS3!$1:$19397,A450,MATCH("Dose_Area_Product_Total",DATOS3!$1:$1,0))=0,0,INDEX(DATOS3!$1:$19397,A450,MATCH("Dose_Area_Product_Total",DATOS3!$1:$1,0)))</f>
        <v>#N/A</v>
      </c>
      <c r="J450" t="e">
        <f>IF(INDEX(DATOS3!$1:$19397,A450,MATCH("Dose_RP_Total",DATOS3!$1:$1,0))=0,0,INDEX(DATOS3!$1:$19397,A450,MATCH("Dose_RP_Total",DATOS3!$1:$1,0)))</f>
        <v>#N/A</v>
      </c>
      <c r="K450" t="e">
        <f>IF(INDEX(DATOS3!$1:$19397,A450,MATCH("Total_Fluoro_Time",DATOS3!$1:$1,0))=0,0,INDEX(DATOS3!$1:$19397,A450,MATCH("Total_Fluoro_Time",DATOS3!$1:$1,0)))</f>
        <v>#N/A</v>
      </c>
      <c r="L450" t="e">
        <f>IF(INDEX(DATOS3!$1:$19397,A450,MATCH("Total_Acquisition_Time",DATOS3!$1:$1,0))=0,0,INDEX(DATOS3!$1:$19397,A450,MATCH("Total_Acquisition_Time",DATOS3!$1:$1,0)))</f>
        <v>#N/A</v>
      </c>
    </row>
    <row r="451" spans="1:12" x14ac:dyDescent="0.25">
      <c r="A451">
        <v>451</v>
      </c>
      <c r="B451" t="e">
        <f t="shared" ref="B451:B478" si="7">IF(D451="","","HIBRIDO")</f>
        <v>#N/A</v>
      </c>
      <c r="D451" t="e">
        <f>IF(INDEX(DATOS3!$1:$19397,A451,MATCH("PatientID",DATOS3!$1:$1,0))=0,"",INDEX(DATOS3!$1:$19397,A451,MATCH("PatientID",DATOS3!$1:$1,0)))</f>
        <v>#N/A</v>
      </c>
      <c r="F451" t="e">
        <f>IF(INDEX(DATOS3!$1:$19397,A451,MATCH("SeriesDate",DATOS3!$1:$1,0))=0,"",INDEX(DATOS3!$1:$19397,A451,MATCH("SeriesDate",DATOS3!$1:$1,0)))</f>
        <v>#N/A</v>
      </c>
      <c r="G451" t="e">
        <f>IF(INDEX(DATOS3!$1:$19397,A451,MATCH("SeriesTime",DATOS3!$1:$1,0))=0,"",INDEX(DATOS3!$1:$19397,A451,MATCH("SeriesTime",DATOS3!$1:$1,0)))</f>
        <v>#N/A</v>
      </c>
      <c r="H451" t="e">
        <f>IF(INDEX(DATOS3!$1:$19397,A451,MATCH("StudyDescription",DATOS3!$1:$1,0))=0,"",INDEX(DATOS3!$1:$19397,A451,MATCH("StudyDescription",DATOS3!$1:$1,0)))</f>
        <v>#N/A</v>
      </c>
      <c r="I451" t="e">
        <f>IF(INDEX(DATOS3!$1:$19397,A451,MATCH("Dose_Area_Product_Total",DATOS3!$1:$1,0))=0,0,INDEX(DATOS3!$1:$19397,A451,MATCH("Dose_Area_Product_Total",DATOS3!$1:$1,0)))</f>
        <v>#N/A</v>
      </c>
      <c r="J451" t="e">
        <f>IF(INDEX(DATOS3!$1:$19397,A451,MATCH("Dose_RP_Total",DATOS3!$1:$1,0))=0,0,INDEX(DATOS3!$1:$19397,A451,MATCH("Dose_RP_Total",DATOS3!$1:$1,0)))</f>
        <v>#N/A</v>
      </c>
      <c r="K451" t="e">
        <f>IF(INDEX(DATOS3!$1:$19397,A451,MATCH("Total_Fluoro_Time",DATOS3!$1:$1,0))=0,0,INDEX(DATOS3!$1:$19397,A451,MATCH("Total_Fluoro_Time",DATOS3!$1:$1,0)))</f>
        <v>#N/A</v>
      </c>
      <c r="L451" t="e">
        <f>IF(INDEX(DATOS3!$1:$19397,A451,MATCH("Total_Acquisition_Time",DATOS3!$1:$1,0))=0,0,INDEX(DATOS3!$1:$19397,A451,MATCH("Total_Acquisition_Time",DATOS3!$1:$1,0)))</f>
        <v>#N/A</v>
      </c>
    </row>
    <row r="452" spans="1:12" x14ac:dyDescent="0.25">
      <c r="A452">
        <v>452</v>
      </c>
      <c r="B452" t="e">
        <f t="shared" si="7"/>
        <v>#N/A</v>
      </c>
      <c r="D452" t="e">
        <f>IF(INDEX(DATOS3!$1:$19397,A452,MATCH("PatientID",DATOS3!$1:$1,0))=0,"",INDEX(DATOS3!$1:$19397,A452,MATCH("PatientID",DATOS3!$1:$1,0)))</f>
        <v>#N/A</v>
      </c>
      <c r="F452" t="e">
        <f>IF(INDEX(DATOS3!$1:$19397,A452,MATCH("SeriesDate",DATOS3!$1:$1,0))=0,"",INDEX(DATOS3!$1:$19397,A452,MATCH("SeriesDate",DATOS3!$1:$1,0)))</f>
        <v>#N/A</v>
      </c>
      <c r="G452" t="e">
        <f>IF(INDEX(DATOS3!$1:$19397,A452,MATCH("SeriesTime",DATOS3!$1:$1,0))=0,"",INDEX(DATOS3!$1:$19397,A452,MATCH("SeriesTime",DATOS3!$1:$1,0)))</f>
        <v>#N/A</v>
      </c>
      <c r="H452" t="e">
        <f>IF(INDEX(DATOS3!$1:$19397,A452,MATCH("StudyDescription",DATOS3!$1:$1,0))=0,"",INDEX(DATOS3!$1:$19397,A452,MATCH("StudyDescription",DATOS3!$1:$1,0)))</f>
        <v>#N/A</v>
      </c>
      <c r="I452" t="e">
        <f>IF(INDEX(DATOS3!$1:$19397,A452,MATCH("Dose_Area_Product_Total",DATOS3!$1:$1,0))=0,0,INDEX(DATOS3!$1:$19397,A452,MATCH("Dose_Area_Product_Total",DATOS3!$1:$1,0)))</f>
        <v>#N/A</v>
      </c>
      <c r="J452" t="e">
        <f>IF(INDEX(DATOS3!$1:$19397,A452,MATCH("Dose_RP_Total",DATOS3!$1:$1,0))=0,0,INDEX(DATOS3!$1:$19397,A452,MATCH("Dose_RP_Total",DATOS3!$1:$1,0)))</f>
        <v>#N/A</v>
      </c>
      <c r="K452" t="e">
        <f>IF(INDEX(DATOS3!$1:$19397,A452,MATCH("Total_Fluoro_Time",DATOS3!$1:$1,0))=0,0,INDEX(DATOS3!$1:$19397,A452,MATCH("Total_Fluoro_Time",DATOS3!$1:$1,0)))</f>
        <v>#N/A</v>
      </c>
      <c r="L452" t="e">
        <f>IF(INDEX(DATOS3!$1:$19397,A452,MATCH("Total_Acquisition_Time",DATOS3!$1:$1,0))=0,0,INDEX(DATOS3!$1:$19397,A452,MATCH("Total_Acquisition_Time",DATOS3!$1:$1,0)))</f>
        <v>#N/A</v>
      </c>
    </row>
    <row r="453" spans="1:12" x14ac:dyDescent="0.25">
      <c r="A453">
        <v>453</v>
      </c>
      <c r="B453" t="e">
        <f t="shared" si="7"/>
        <v>#N/A</v>
      </c>
      <c r="D453" t="e">
        <f>IF(INDEX(DATOS3!$1:$19397,A453,MATCH("PatientID",DATOS3!$1:$1,0))=0,"",INDEX(DATOS3!$1:$19397,A453,MATCH("PatientID",DATOS3!$1:$1,0)))</f>
        <v>#N/A</v>
      </c>
      <c r="F453" t="e">
        <f>IF(INDEX(DATOS3!$1:$19397,A453,MATCH("SeriesDate",DATOS3!$1:$1,0))=0,"",INDEX(DATOS3!$1:$19397,A453,MATCH("SeriesDate",DATOS3!$1:$1,0)))</f>
        <v>#N/A</v>
      </c>
      <c r="G453" t="e">
        <f>IF(INDEX(DATOS3!$1:$19397,A453,MATCH("SeriesTime",DATOS3!$1:$1,0))=0,"",INDEX(DATOS3!$1:$19397,A453,MATCH("SeriesTime",DATOS3!$1:$1,0)))</f>
        <v>#N/A</v>
      </c>
      <c r="H453" t="e">
        <f>IF(INDEX(DATOS3!$1:$19397,A453,MATCH("StudyDescription",DATOS3!$1:$1,0))=0,"",INDEX(DATOS3!$1:$19397,A453,MATCH("StudyDescription",DATOS3!$1:$1,0)))</f>
        <v>#N/A</v>
      </c>
      <c r="I453" t="e">
        <f>IF(INDEX(DATOS3!$1:$19397,A453,MATCH("Dose_Area_Product_Total",DATOS3!$1:$1,0))=0,0,INDEX(DATOS3!$1:$19397,A453,MATCH("Dose_Area_Product_Total",DATOS3!$1:$1,0)))</f>
        <v>#N/A</v>
      </c>
      <c r="J453" t="e">
        <f>IF(INDEX(DATOS3!$1:$19397,A453,MATCH("Dose_RP_Total",DATOS3!$1:$1,0))=0,0,INDEX(DATOS3!$1:$19397,A453,MATCH("Dose_RP_Total",DATOS3!$1:$1,0)))</f>
        <v>#N/A</v>
      </c>
      <c r="K453" t="e">
        <f>IF(INDEX(DATOS3!$1:$19397,A453,MATCH("Total_Fluoro_Time",DATOS3!$1:$1,0))=0,0,INDEX(DATOS3!$1:$19397,A453,MATCH("Total_Fluoro_Time",DATOS3!$1:$1,0)))</f>
        <v>#N/A</v>
      </c>
      <c r="L453" t="e">
        <f>IF(INDEX(DATOS3!$1:$19397,A453,MATCH("Total_Acquisition_Time",DATOS3!$1:$1,0))=0,0,INDEX(DATOS3!$1:$19397,A453,MATCH("Total_Acquisition_Time",DATOS3!$1:$1,0)))</f>
        <v>#N/A</v>
      </c>
    </row>
    <row r="454" spans="1:12" x14ac:dyDescent="0.25">
      <c r="A454">
        <v>454</v>
      </c>
      <c r="B454" t="e">
        <f t="shared" si="7"/>
        <v>#N/A</v>
      </c>
      <c r="D454" t="e">
        <f>IF(INDEX(DATOS3!$1:$19397,A454,MATCH("PatientID",DATOS3!$1:$1,0))=0,"",INDEX(DATOS3!$1:$19397,A454,MATCH("PatientID",DATOS3!$1:$1,0)))</f>
        <v>#N/A</v>
      </c>
      <c r="F454" t="e">
        <f>IF(INDEX(DATOS3!$1:$19397,A454,MATCH("SeriesDate",DATOS3!$1:$1,0))=0,"",INDEX(DATOS3!$1:$19397,A454,MATCH("SeriesDate",DATOS3!$1:$1,0)))</f>
        <v>#N/A</v>
      </c>
      <c r="G454" t="e">
        <f>IF(INDEX(DATOS3!$1:$19397,A454,MATCH("SeriesTime",DATOS3!$1:$1,0))=0,"",INDEX(DATOS3!$1:$19397,A454,MATCH("SeriesTime",DATOS3!$1:$1,0)))</f>
        <v>#N/A</v>
      </c>
      <c r="H454" t="e">
        <f>IF(INDEX(DATOS3!$1:$19397,A454,MATCH("StudyDescription",DATOS3!$1:$1,0))=0,"",INDEX(DATOS3!$1:$19397,A454,MATCH("StudyDescription",DATOS3!$1:$1,0)))</f>
        <v>#N/A</v>
      </c>
      <c r="I454" t="e">
        <f>IF(INDEX(DATOS3!$1:$19397,A454,MATCH("Dose_Area_Product_Total",DATOS3!$1:$1,0))=0,0,INDEX(DATOS3!$1:$19397,A454,MATCH("Dose_Area_Product_Total",DATOS3!$1:$1,0)))</f>
        <v>#N/A</v>
      </c>
      <c r="J454" t="e">
        <f>IF(INDEX(DATOS3!$1:$19397,A454,MATCH("Dose_RP_Total",DATOS3!$1:$1,0))=0,0,INDEX(DATOS3!$1:$19397,A454,MATCH("Dose_RP_Total",DATOS3!$1:$1,0)))</f>
        <v>#N/A</v>
      </c>
      <c r="K454" t="e">
        <f>IF(INDEX(DATOS3!$1:$19397,A454,MATCH("Total_Fluoro_Time",DATOS3!$1:$1,0))=0,0,INDEX(DATOS3!$1:$19397,A454,MATCH("Total_Fluoro_Time",DATOS3!$1:$1,0)))</f>
        <v>#N/A</v>
      </c>
      <c r="L454" t="e">
        <f>IF(INDEX(DATOS3!$1:$19397,A454,MATCH("Total_Acquisition_Time",DATOS3!$1:$1,0))=0,0,INDEX(DATOS3!$1:$19397,A454,MATCH("Total_Acquisition_Time",DATOS3!$1:$1,0)))</f>
        <v>#N/A</v>
      </c>
    </row>
    <row r="455" spans="1:12" x14ac:dyDescent="0.25">
      <c r="A455">
        <v>455</v>
      </c>
      <c r="B455" t="e">
        <f t="shared" si="7"/>
        <v>#N/A</v>
      </c>
      <c r="D455" t="e">
        <f>IF(INDEX(DATOS3!$1:$19397,A455,MATCH("PatientID",DATOS3!$1:$1,0))=0,"",INDEX(DATOS3!$1:$19397,A455,MATCH("PatientID",DATOS3!$1:$1,0)))</f>
        <v>#N/A</v>
      </c>
      <c r="F455" t="e">
        <f>IF(INDEX(DATOS3!$1:$19397,A455,MATCH("SeriesDate",DATOS3!$1:$1,0))=0,"",INDEX(DATOS3!$1:$19397,A455,MATCH("SeriesDate",DATOS3!$1:$1,0)))</f>
        <v>#N/A</v>
      </c>
      <c r="G455" t="e">
        <f>IF(INDEX(DATOS3!$1:$19397,A455,MATCH("SeriesTime",DATOS3!$1:$1,0))=0,"",INDEX(DATOS3!$1:$19397,A455,MATCH("SeriesTime",DATOS3!$1:$1,0)))</f>
        <v>#N/A</v>
      </c>
      <c r="H455" t="e">
        <f>IF(INDEX(DATOS3!$1:$19397,A455,MATCH("StudyDescription",DATOS3!$1:$1,0))=0,"",INDEX(DATOS3!$1:$19397,A455,MATCH("StudyDescription",DATOS3!$1:$1,0)))</f>
        <v>#N/A</v>
      </c>
      <c r="I455" t="e">
        <f>IF(INDEX(DATOS3!$1:$19397,A455,MATCH("Dose_Area_Product_Total",DATOS3!$1:$1,0))=0,0,INDEX(DATOS3!$1:$19397,A455,MATCH("Dose_Area_Product_Total",DATOS3!$1:$1,0)))</f>
        <v>#N/A</v>
      </c>
      <c r="J455" t="e">
        <f>IF(INDEX(DATOS3!$1:$19397,A455,MATCH("Dose_RP_Total",DATOS3!$1:$1,0))=0,0,INDEX(DATOS3!$1:$19397,A455,MATCH("Dose_RP_Total",DATOS3!$1:$1,0)))</f>
        <v>#N/A</v>
      </c>
      <c r="K455" t="e">
        <f>IF(INDEX(DATOS3!$1:$19397,A455,MATCH("Total_Fluoro_Time",DATOS3!$1:$1,0))=0,0,INDEX(DATOS3!$1:$19397,A455,MATCH("Total_Fluoro_Time",DATOS3!$1:$1,0)))</f>
        <v>#N/A</v>
      </c>
      <c r="L455" t="e">
        <f>IF(INDEX(DATOS3!$1:$19397,A455,MATCH("Total_Acquisition_Time",DATOS3!$1:$1,0))=0,0,INDEX(DATOS3!$1:$19397,A455,MATCH("Total_Acquisition_Time",DATOS3!$1:$1,0)))</f>
        <v>#N/A</v>
      </c>
    </row>
    <row r="456" spans="1:12" x14ac:dyDescent="0.25">
      <c r="A456">
        <v>456</v>
      </c>
      <c r="B456" t="e">
        <f t="shared" si="7"/>
        <v>#N/A</v>
      </c>
      <c r="D456" t="e">
        <f>IF(INDEX(DATOS3!$1:$19397,A456,MATCH("PatientID",DATOS3!$1:$1,0))=0,"",INDEX(DATOS3!$1:$19397,A456,MATCH("PatientID",DATOS3!$1:$1,0)))</f>
        <v>#N/A</v>
      </c>
      <c r="F456" t="e">
        <f>IF(INDEX(DATOS3!$1:$19397,A456,MATCH("SeriesDate",DATOS3!$1:$1,0))=0,"",INDEX(DATOS3!$1:$19397,A456,MATCH("SeriesDate",DATOS3!$1:$1,0)))</f>
        <v>#N/A</v>
      </c>
      <c r="G456" t="e">
        <f>IF(INDEX(DATOS3!$1:$19397,A456,MATCH("SeriesTime",DATOS3!$1:$1,0))=0,"",INDEX(DATOS3!$1:$19397,A456,MATCH("SeriesTime",DATOS3!$1:$1,0)))</f>
        <v>#N/A</v>
      </c>
      <c r="H456" t="e">
        <f>IF(INDEX(DATOS3!$1:$19397,A456,MATCH("StudyDescription",DATOS3!$1:$1,0))=0,"",INDEX(DATOS3!$1:$19397,A456,MATCH("StudyDescription",DATOS3!$1:$1,0)))</f>
        <v>#N/A</v>
      </c>
      <c r="I456" t="e">
        <f>IF(INDEX(DATOS3!$1:$19397,A456,MATCH("Dose_Area_Product_Total",DATOS3!$1:$1,0))=0,0,INDEX(DATOS3!$1:$19397,A456,MATCH("Dose_Area_Product_Total",DATOS3!$1:$1,0)))</f>
        <v>#N/A</v>
      </c>
      <c r="J456" t="e">
        <f>IF(INDEX(DATOS3!$1:$19397,A456,MATCH("Dose_RP_Total",DATOS3!$1:$1,0))=0,0,INDEX(DATOS3!$1:$19397,A456,MATCH("Dose_RP_Total",DATOS3!$1:$1,0)))</f>
        <v>#N/A</v>
      </c>
      <c r="K456" t="e">
        <f>IF(INDEX(DATOS3!$1:$19397,A456,MATCH("Total_Fluoro_Time",DATOS3!$1:$1,0))=0,0,INDEX(DATOS3!$1:$19397,A456,MATCH("Total_Fluoro_Time",DATOS3!$1:$1,0)))</f>
        <v>#N/A</v>
      </c>
      <c r="L456" t="e">
        <f>IF(INDEX(DATOS3!$1:$19397,A456,MATCH("Total_Acquisition_Time",DATOS3!$1:$1,0))=0,0,INDEX(DATOS3!$1:$19397,A456,MATCH("Total_Acquisition_Time",DATOS3!$1:$1,0)))</f>
        <v>#N/A</v>
      </c>
    </row>
    <row r="457" spans="1:12" x14ac:dyDescent="0.25">
      <c r="A457">
        <v>457</v>
      </c>
      <c r="B457" t="e">
        <f t="shared" si="7"/>
        <v>#N/A</v>
      </c>
      <c r="D457" t="e">
        <f>IF(INDEX(DATOS3!$1:$19397,A457,MATCH("PatientID",DATOS3!$1:$1,0))=0,"",INDEX(DATOS3!$1:$19397,A457,MATCH("PatientID",DATOS3!$1:$1,0)))</f>
        <v>#N/A</v>
      </c>
      <c r="F457" t="e">
        <f>IF(INDEX(DATOS3!$1:$19397,A457,MATCH("SeriesDate",DATOS3!$1:$1,0))=0,"",INDEX(DATOS3!$1:$19397,A457,MATCH("SeriesDate",DATOS3!$1:$1,0)))</f>
        <v>#N/A</v>
      </c>
      <c r="G457" t="e">
        <f>IF(INDEX(DATOS3!$1:$19397,A457,MATCH("SeriesTime",DATOS3!$1:$1,0))=0,"",INDEX(DATOS3!$1:$19397,A457,MATCH("SeriesTime",DATOS3!$1:$1,0)))</f>
        <v>#N/A</v>
      </c>
      <c r="H457" t="e">
        <f>IF(INDEX(DATOS3!$1:$19397,A457,MATCH("StudyDescription",DATOS3!$1:$1,0))=0,"",INDEX(DATOS3!$1:$19397,A457,MATCH("StudyDescription",DATOS3!$1:$1,0)))</f>
        <v>#N/A</v>
      </c>
      <c r="I457" t="e">
        <f>IF(INDEX(DATOS3!$1:$19397,A457,MATCH("Dose_Area_Product_Total",DATOS3!$1:$1,0))=0,0,INDEX(DATOS3!$1:$19397,A457,MATCH("Dose_Area_Product_Total",DATOS3!$1:$1,0)))</f>
        <v>#N/A</v>
      </c>
      <c r="J457" t="e">
        <f>IF(INDEX(DATOS3!$1:$19397,A457,MATCH("Dose_RP_Total",DATOS3!$1:$1,0))=0,0,INDEX(DATOS3!$1:$19397,A457,MATCH("Dose_RP_Total",DATOS3!$1:$1,0)))</f>
        <v>#N/A</v>
      </c>
      <c r="K457" t="e">
        <f>IF(INDEX(DATOS3!$1:$19397,A457,MATCH("Total_Fluoro_Time",DATOS3!$1:$1,0))=0,0,INDEX(DATOS3!$1:$19397,A457,MATCH("Total_Fluoro_Time",DATOS3!$1:$1,0)))</f>
        <v>#N/A</v>
      </c>
      <c r="L457" t="e">
        <f>IF(INDEX(DATOS3!$1:$19397,A457,MATCH("Total_Acquisition_Time",DATOS3!$1:$1,0))=0,0,INDEX(DATOS3!$1:$19397,A457,MATCH("Total_Acquisition_Time",DATOS3!$1:$1,0)))</f>
        <v>#N/A</v>
      </c>
    </row>
    <row r="458" spans="1:12" x14ac:dyDescent="0.25">
      <c r="A458">
        <v>458</v>
      </c>
      <c r="B458" t="e">
        <f t="shared" si="7"/>
        <v>#N/A</v>
      </c>
      <c r="D458" t="e">
        <f>IF(INDEX(DATOS3!$1:$19397,A458,MATCH("PatientID",DATOS3!$1:$1,0))=0,"",INDEX(DATOS3!$1:$19397,A458,MATCH("PatientID",DATOS3!$1:$1,0)))</f>
        <v>#N/A</v>
      </c>
      <c r="F458" t="e">
        <f>IF(INDEX(DATOS3!$1:$19397,A458,MATCH("SeriesDate",DATOS3!$1:$1,0))=0,"",INDEX(DATOS3!$1:$19397,A458,MATCH("SeriesDate",DATOS3!$1:$1,0)))</f>
        <v>#N/A</v>
      </c>
      <c r="G458" t="e">
        <f>IF(INDEX(DATOS3!$1:$19397,A458,MATCH("SeriesTime",DATOS3!$1:$1,0))=0,"",INDEX(DATOS3!$1:$19397,A458,MATCH("SeriesTime",DATOS3!$1:$1,0)))</f>
        <v>#N/A</v>
      </c>
      <c r="H458" t="e">
        <f>IF(INDEX(DATOS3!$1:$19397,A458,MATCH("StudyDescription",DATOS3!$1:$1,0))=0,"",INDEX(DATOS3!$1:$19397,A458,MATCH("StudyDescription",DATOS3!$1:$1,0)))</f>
        <v>#N/A</v>
      </c>
      <c r="I458" t="e">
        <f>IF(INDEX(DATOS3!$1:$19397,A458,MATCH("Dose_Area_Product_Total",DATOS3!$1:$1,0))=0,0,INDEX(DATOS3!$1:$19397,A458,MATCH("Dose_Area_Product_Total",DATOS3!$1:$1,0)))</f>
        <v>#N/A</v>
      </c>
      <c r="J458" t="e">
        <f>IF(INDEX(DATOS3!$1:$19397,A458,MATCH("Dose_RP_Total",DATOS3!$1:$1,0))=0,0,INDEX(DATOS3!$1:$19397,A458,MATCH("Dose_RP_Total",DATOS3!$1:$1,0)))</f>
        <v>#N/A</v>
      </c>
      <c r="K458" t="e">
        <f>IF(INDEX(DATOS3!$1:$19397,A458,MATCH("Total_Fluoro_Time",DATOS3!$1:$1,0))=0,0,INDEX(DATOS3!$1:$19397,A458,MATCH("Total_Fluoro_Time",DATOS3!$1:$1,0)))</f>
        <v>#N/A</v>
      </c>
      <c r="L458" t="e">
        <f>IF(INDEX(DATOS3!$1:$19397,A458,MATCH("Total_Acquisition_Time",DATOS3!$1:$1,0))=0,0,INDEX(DATOS3!$1:$19397,A458,MATCH("Total_Acquisition_Time",DATOS3!$1:$1,0)))</f>
        <v>#N/A</v>
      </c>
    </row>
    <row r="459" spans="1:12" x14ac:dyDescent="0.25">
      <c r="A459">
        <v>459</v>
      </c>
      <c r="B459" t="e">
        <f t="shared" si="7"/>
        <v>#N/A</v>
      </c>
      <c r="D459" t="e">
        <f>IF(INDEX(DATOS3!$1:$19397,A459,MATCH("PatientID",DATOS3!$1:$1,0))=0,"",INDEX(DATOS3!$1:$19397,A459,MATCH("PatientID",DATOS3!$1:$1,0)))</f>
        <v>#N/A</v>
      </c>
      <c r="F459" t="e">
        <f>IF(INDEX(DATOS3!$1:$19397,A459,MATCH("SeriesDate",DATOS3!$1:$1,0))=0,"",INDEX(DATOS3!$1:$19397,A459,MATCH("SeriesDate",DATOS3!$1:$1,0)))</f>
        <v>#N/A</v>
      </c>
      <c r="G459" t="e">
        <f>IF(INDEX(DATOS3!$1:$19397,A459,MATCH("SeriesTime",DATOS3!$1:$1,0))=0,"",INDEX(DATOS3!$1:$19397,A459,MATCH("SeriesTime",DATOS3!$1:$1,0)))</f>
        <v>#N/A</v>
      </c>
      <c r="H459" t="e">
        <f>IF(INDEX(DATOS3!$1:$19397,A459,MATCH("StudyDescription",DATOS3!$1:$1,0))=0,"",INDEX(DATOS3!$1:$19397,A459,MATCH("StudyDescription",DATOS3!$1:$1,0)))</f>
        <v>#N/A</v>
      </c>
      <c r="I459" t="e">
        <f>IF(INDEX(DATOS3!$1:$19397,A459,MATCH("Dose_Area_Product_Total",DATOS3!$1:$1,0))=0,0,INDEX(DATOS3!$1:$19397,A459,MATCH("Dose_Area_Product_Total",DATOS3!$1:$1,0)))</f>
        <v>#N/A</v>
      </c>
      <c r="J459" t="e">
        <f>IF(INDEX(DATOS3!$1:$19397,A459,MATCH("Dose_RP_Total",DATOS3!$1:$1,0))=0,0,INDEX(DATOS3!$1:$19397,A459,MATCH("Dose_RP_Total",DATOS3!$1:$1,0)))</f>
        <v>#N/A</v>
      </c>
      <c r="K459" t="e">
        <f>IF(INDEX(DATOS3!$1:$19397,A459,MATCH("Total_Fluoro_Time",DATOS3!$1:$1,0))=0,0,INDEX(DATOS3!$1:$19397,A459,MATCH("Total_Fluoro_Time",DATOS3!$1:$1,0)))</f>
        <v>#N/A</v>
      </c>
      <c r="L459" t="e">
        <f>IF(INDEX(DATOS3!$1:$19397,A459,MATCH("Total_Acquisition_Time",DATOS3!$1:$1,0))=0,0,INDEX(DATOS3!$1:$19397,A459,MATCH("Total_Acquisition_Time",DATOS3!$1:$1,0)))</f>
        <v>#N/A</v>
      </c>
    </row>
    <row r="460" spans="1:12" x14ac:dyDescent="0.25">
      <c r="A460">
        <v>460</v>
      </c>
      <c r="B460" t="e">
        <f t="shared" si="7"/>
        <v>#N/A</v>
      </c>
      <c r="D460" t="e">
        <f>IF(INDEX(DATOS3!$1:$19397,A460,MATCH("PatientID",DATOS3!$1:$1,0))=0,"",INDEX(DATOS3!$1:$19397,A460,MATCH("PatientID",DATOS3!$1:$1,0)))</f>
        <v>#N/A</v>
      </c>
      <c r="F460" t="e">
        <f>IF(INDEX(DATOS3!$1:$19397,A460,MATCH("SeriesDate",DATOS3!$1:$1,0))=0,"",INDEX(DATOS3!$1:$19397,A460,MATCH("SeriesDate",DATOS3!$1:$1,0)))</f>
        <v>#N/A</v>
      </c>
      <c r="G460" t="e">
        <f>IF(INDEX(DATOS3!$1:$19397,A460,MATCH("SeriesTime",DATOS3!$1:$1,0))=0,"",INDEX(DATOS3!$1:$19397,A460,MATCH("SeriesTime",DATOS3!$1:$1,0)))</f>
        <v>#N/A</v>
      </c>
      <c r="H460" t="e">
        <f>IF(INDEX(DATOS3!$1:$19397,A460,MATCH("StudyDescription",DATOS3!$1:$1,0))=0,"",INDEX(DATOS3!$1:$19397,A460,MATCH("StudyDescription",DATOS3!$1:$1,0)))</f>
        <v>#N/A</v>
      </c>
      <c r="I460" t="e">
        <f>IF(INDEX(DATOS3!$1:$19397,A460,MATCH("Dose_Area_Product_Total",DATOS3!$1:$1,0))=0,0,INDEX(DATOS3!$1:$19397,A460,MATCH("Dose_Area_Product_Total",DATOS3!$1:$1,0)))</f>
        <v>#N/A</v>
      </c>
      <c r="J460" t="e">
        <f>IF(INDEX(DATOS3!$1:$19397,A460,MATCH("Dose_RP_Total",DATOS3!$1:$1,0))=0,0,INDEX(DATOS3!$1:$19397,A460,MATCH("Dose_RP_Total",DATOS3!$1:$1,0)))</f>
        <v>#N/A</v>
      </c>
      <c r="K460" t="e">
        <f>IF(INDEX(DATOS3!$1:$19397,A460,MATCH("Total_Fluoro_Time",DATOS3!$1:$1,0))=0,0,INDEX(DATOS3!$1:$19397,A460,MATCH("Total_Fluoro_Time",DATOS3!$1:$1,0)))</f>
        <v>#N/A</v>
      </c>
      <c r="L460" t="e">
        <f>IF(INDEX(DATOS3!$1:$19397,A460,MATCH("Total_Acquisition_Time",DATOS3!$1:$1,0))=0,0,INDEX(DATOS3!$1:$19397,A460,MATCH("Total_Acquisition_Time",DATOS3!$1:$1,0)))</f>
        <v>#N/A</v>
      </c>
    </row>
    <row r="461" spans="1:12" x14ac:dyDescent="0.25">
      <c r="A461">
        <v>461</v>
      </c>
      <c r="B461" t="e">
        <f t="shared" si="7"/>
        <v>#N/A</v>
      </c>
      <c r="D461" t="e">
        <f>IF(INDEX(DATOS3!$1:$19397,A461,MATCH("PatientID",DATOS3!$1:$1,0))=0,"",INDEX(DATOS3!$1:$19397,A461,MATCH("PatientID",DATOS3!$1:$1,0)))</f>
        <v>#N/A</v>
      </c>
      <c r="F461" t="e">
        <f>IF(INDEX(DATOS3!$1:$19397,A461,MATCH("SeriesDate",DATOS3!$1:$1,0))=0,"",INDEX(DATOS3!$1:$19397,A461,MATCH("SeriesDate",DATOS3!$1:$1,0)))</f>
        <v>#N/A</v>
      </c>
      <c r="G461" t="e">
        <f>IF(INDEX(DATOS3!$1:$19397,A461,MATCH("SeriesTime",DATOS3!$1:$1,0))=0,"",INDEX(DATOS3!$1:$19397,A461,MATCH("SeriesTime",DATOS3!$1:$1,0)))</f>
        <v>#N/A</v>
      </c>
      <c r="H461" t="e">
        <f>IF(INDEX(DATOS3!$1:$19397,A461,MATCH("StudyDescription",DATOS3!$1:$1,0))=0,"",INDEX(DATOS3!$1:$19397,A461,MATCH("StudyDescription",DATOS3!$1:$1,0)))</f>
        <v>#N/A</v>
      </c>
      <c r="I461" t="e">
        <f>IF(INDEX(DATOS3!$1:$19397,A461,MATCH("Dose_Area_Product_Total",DATOS3!$1:$1,0))=0,0,INDEX(DATOS3!$1:$19397,A461,MATCH("Dose_Area_Product_Total",DATOS3!$1:$1,0)))</f>
        <v>#N/A</v>
      </c>
      <c r="J461" t="e">
        <f>IF(INDEX(DATOS3!$1:$19397,A461,MATCH("Dose_RP_Total",DATOS3!$1:$1,0))=0,0,INDEX(DATOS3!$1:$19397,A461,MATCH("Dose_RP_Total",DATOS3!$1:$1,0)))</f>
        <v>#N/A</v>
      </c>
      <c r="K461" t="e">
        <f>IF(INDEX(DATOS3!$1:$19397,A461,MATCH("Total_Fluoro_Time",DATOS3!$1:$1,0))=0,0,INDEX(DATOS3!$1:$19397,A461,MATCH("Total_Fluoro_Time",DATOS3!$1:$1,0)))</f>
        <v>#N/A</v>
      </c>
      <c r="L461" t="e">
        <f>IF(INDEX(DATOS3!$1:$19397,A461,MATCH("Total_Acquisition_Time",DATOS3!$1:$1,0))=0,0,INDEX(DATOS3!$1:$19397,A461,MATCH("Total_Acquisition_Time",DATOS3!$1:$1,0)))</f>
        <v>#N/A</v>
      </c>
    </row>
    <row r="462" spans="1:12" x14ac:dyDescent="0.25">
      <c r="A462">
        <v>462</v>
      </c>
      <c r="B462" t="e">
        <f t="shared" si="7"/>
        <v>#N/A</v>
      </c>
      <c r="D462" t="e">
        <f>IF(INDEX(DATOS3!$1:$19397,A462,MATCH("PatientID",DATOS3!$1:$1,0))=0,"",INDEX(DATOS3!$1:$19397,A462,MATCH("PatientID",DATOS3!$1:$1,0)))</f>
        <v>#N/A</v>
      </c>
      <c r="F462" t="e">
        <f>IF(INDEX(DATOS3!$1:$19397,A462,MATCH("SeriesDate",DATOS3!$1:$1,0))=0,"",INDEX(DATOS3!$1:$19397,A462,MATCH("SeriesDate",DATOS3!$1:$1,0)))</f>
        <v>#N/A</v>
      </c>
      <c r="G462" t="e">
        <f>IF(INDEX(DATOS3!$1:$19397,A462,MATCH("SeriesTime",DATOS3!$1:$1,0))=0,"",INDEX(DATOS3!$1:$19397,A462,MATCH("SeriesTime",DATOS3!$1:$1,0)))</f>
        <v>#N/A</v>
      </c>
      <c r="H462" t="e">
        <f>IF(INDEX(DATOS3!$1:$19397,A462,MATCH("StudyDescription",DATOS3!$1:$1,0))=0,"",INDEX(DATOS3!$1:$19397,A462,MATCH("StudyDescription",DATOS3!$1:$1,0)))</f>
        <v>#N/A</v>
      </c>
      <c r="I462" t="e">
        <f>IF(INDEX(DATOS3!$1:$19397,A462,MATCH("Dose_Area_Product_Total",DATOS3!$1:$1,0))=0,0,INDEX(DATOS3!$1:$19397,A462,MATCH("Dose_Area_Product_Total",DATOS3!$1:$1,0)))</f>
        <v>#N/A</v>
      </c>
      <c r="J462" t="e">
        <f>IF(INDEX(DATOS3!$1:$19397,A462,MATCH("Dose_RP_Total",DATOS3!$1:$1,0))=0,0,INDEX(DATOS3!$1:$19397,A462,MATCH("Dose_RP_Total",DATOS3!$1:$1,0)))</f>
        <v>#N/A</v>
      </c>
      <c r="K462" t="e">
        <f>IF(INDEX(DATOS3!$1:$19397,A462,MATCH("Total_Fluoro_Time",DATOS3!$1:$1,0))=0,0,INDEX(DATOS3!$1:$19397,A462,MATCH("Total_Fluoro_Time",DATOS3!$1:$1,0)))</f>
        <v>#N/A</v>
      </c>
      <c r="L462" t="e">
        <f>IF(INDEX(DATOS3!$1:$19397,A462,MATCH("Total_Acquisition_Time",DATOS3!$1:$1,0))=0,0,INDEX(DATOS3!$1:$19397,A462,MATCH("Total_Acquisition_Time",DATOS3!$1:$1,0)))</f>
        <v>#N/A</v>
      </c>
    </row>
    <row r="463" spans="1:12" x14ac:dyDescent="0.25">
      <c r="A463">
        <v>463</v>
      </c>
      <c r="B463" t="e">
        <f t="shared" si="7"/>
        <v>#N/A</v>
      </c>
      <c r="D463" t="e">
        <f>IF(INDEX(DATOS3!$1:$19397,A463,MATCH("PatientID",DATOS3!$1:$1,0))=0,"",INDEX(DATOS3!$1:$19397,A463,MATCH("PatientID",DATOS3!$1:$1,0)))</f>
        <v>#N/A</v>
      </c>
      <c r="F463" t="e">
        <f>IF(INDEX(DATOS3!$1:$19397,A463,MATCH("SeriesDate",DATOS3!$1:$1,0))=0,"",INDEX(DATOS3!$1:$19397,A463,MATCH("SeriesDate",DATOS3!$1:$1,0)))</f>
        <v>#N/A</v>
      </c>
      <c r="G463" t="e">
        <f>IF(INDEX(DATOS3!$1:$19397,A463,MATCH("SeriesTime",DATOS3!$1:$1,0))=0,"",INDEX(DATOS3!$1:$19397,A463,MATCH("SeriesTime",DATOS3!$1:$1,0)))</f>
        <v>#N/A</v>
      </c>
      <c r="H463" t="e">
        <f>IF(INDEX(DATOS3!$1:$19397,A463,MATCH("StudyDescription",DATOS3!$1:$1,0))=0,"",INDEX(DATOS3!$1:$19397,A463,MATCH("StudyDescription",DATOS3!$1:$1,0)))</f>
        <v>#N/A</v>
      </c>
      <c r="I463" t="e">
        <f>IF(INDEX(DATOS3!$1:$19397,A463,MATCH("Dose_Area_Product_Total",DATOS3!$1:$1,0))=0,0,INDEX(DATOS3!$1:$19397,A463,MATCH("Dose_Area_Product_Total",DATOS3!$1:$1,0)))</f>
        <v>#N/A</v>
      </c>
      <c r="J463" t="e">
        <f>IF(INDEX(DATOS3!$1:$19397,A463,MATCH("Dose_RP_Total",DATOS3!$1:$1,0))=0,0,INDEX(DATOS3!$1:$19397,A463,MATCH("Dose_RP_Total",DATOS3!$1:$1,0)))</f>
        <v>#N/A</v>
      </c>
      <c r="K463" t="e">
        <f>IF(INDEX(DATOS3!$1:$19397,A463,MATCH("Total_Fluoro_Time",DATOS3!$1:$1,0))=0,0,INDEX(DATOS3!$1:$19397,A463,MATCH("Total_Fluoro_Time",DATOS3!$1:$1,0)))</f>
        <v>#N/A</v>
      </c>
      <c r="L463" t="e">
        <f>IF(INDEX(DATOS3!$1:$19397,A463,MATCH("Total_Acquisition_Time",DATOS3!$1:$1,0))=0,0,INDEX(DATOS3!$1:$19397,A463,MATCH("Total_Acquisition_Time",DATOS3!$1:$1,0)))</f>
        <v>#N/A</v>
      </c>
    </row>
    <row r="464" spans="1:12" x14ac:dyDescent="0.25">
      <c r="A464">
        <v>464</v>
      </c>
      <c r="B464" t="e">
        <f t="shared" si="7"/>
        <v>#N/A</v>
      </c>
      <c r="D464" t="e">
        <f>IF(INDEX(DATOS3!$1:$19397,A464,MATCH("PatientID",DATOS3!$1:$1,0))=0,"",INDEX(DATOS3!$1:$19397,A464,MATCH("PatientID",DATOS3!$1:$1,0)))</f>
        <v>#N/A</v>
      </c>
      <c r="F464" t="e">
        <f>IF(INDEX(DATOS3!$1:$19397,A464,MATCH("SeriesDate",DATOS3!$1:$1,0))=0,"",INDEX(DATOS3!$1:$19397,A464,MATCH("SeriesDate",DATOS3!$1:$1,0)))</f>
        <v>#N/A</v>
      </c>
      <c r="G464" t="e">
        <f>IF(INDEX(DATOS3!$1:$19397,A464,MATCH("SeriesTime",DATOS3!$1:$1,0))=0,"",INDEX(DATOS3!$1:$19397,A464,MATCH("SeriesTime",DATOS3!$1:$1,0)))</f>
        <v>#N/A</v>
      </c>
      <c r="H464" t="e">
        <f>IF(INDEX(DATOS3!$1:$19397,A464,MATCH("StudyDescription",DATOS3!$1:$1,0))=0,"",INDEX(DATOS3!$1:$19397,A464,MATCH("StudyDescription",DATOS3!$1:$1,0)))</f>
        <v>#N/A</v>
      </c>
      <c r="I464" t="e">
        <f>IF(INDEX(DATOS3!$1:$19397,A464,MATCH("Dose_Area_Product_Total",DATOS3!$1:$1,0))=0,0,INDEX(DATOS3!$1:$19397,A464,MATCH("Dose_Area_Product_Total",DATOS3!$1:$1,0)))</f>
        <v>#N/A</v>
      </c>
      <c r="J464" t="e">
        <f>IF(INDEX(DATOS3!$1:$19397,A464,MATCH("Dose_RP_Total",DATOS3!$1:$1,0))=0,0,INDEX(DATOS3!$1:$19397,A464,MATCH("Dose_RP_Total",DATOS3!$1:$1,0)))</f>
        <v>#N/A</v>
      </c>
      <c r="K464" t="e">
        <f>IF(INDEX(DATOS3!$1:$19397,A464,MATCH("Total_Fluoro_Time",DATOS3!$1:$1,0))=0,0,INDEX(DATOS3!$1:$19397,A464,MATCH("Total_Fluoro_Time",DATOS3!$1:$1,0)))</f>
        <v>#N/A</v>
      </c>
      <c r="L464" t="e">
        <f>IF(INDEX(DATOS3!$1:$19397,A464,MATCH("Total_Acquisition_Time",DATOS3!$1:$1,0))=0,0,INDEX(DATOS3!$1:$19397,A464,MATCH("Total_Acquisition_Time",DATOS3!$1:$1,0)))</f>
        <v>#N/A</v>
      </c>
    </row>
    <row r="465" spans="1:12" x14ac:dyDescent="0.25">
      <c r="A465">
        <v>465</v>
      </c>
      <c r="B465" t="e">
        <f t="shared" si="7"/>
        <v>#N/A</v>
      </c>
      <c r="D465" t="e">
        <f>IF(INDEX(DATOS3!$1:$19397,A465,MATCH("PatientID",DATOS3!$1:$1,0))=0,"",INDEX(DATOS3!$1:$19397,A465,MATCH("PatientID",DATOS3!$1:$1,0)))</f>
        <v>#N/A</v>
      </c>
      <c r="F465" t="e">
        <f>IF(INDEX(DATOS3!$1:$19397,A465,MATCH("SeriesDate",DATOS3!$1:$1,0))=0,"",INDEX(DATOS3!$1:$19397,A465,MATCH("SeriesDate",DATOS3!$1:$1,0)))</f>
        <v>#N/A</v>
      </c>
      <c r="G465" t="e">
        <f>IF(INDEX(DATOS3!$1:$19397,A465,MATCH("SeriesTime",DATOS3!$1:$1,0))=0,"",INDEX(DATOS3!$1:$19397,A465,MATCH("SeriesTime",DATOS3!$1:$1,0)))</f>
        <v>#N/A</v>
      </c>
      <c r="H465" t="e">
        <f>IF(INDEX(DATOS3!$1:$19397,A465,MATCH("StudyDescription",DATOS3!$1:$1,0))=0,"",INDEX(DATOS3!$1:$19397,A465,MATCH("StudyDescription",DATOS3!$1:$1,0)))</f>
        <v>#N/A</v>
      </c>
      <c r="I465" t="e">
        <f>IF(INDEX(DATOS3!$1:$19397,A465,MATCH("Dose_Area_Product_Total",DATOS3!$1:$1,0))=0,0,INDEX(DATOS3!$1:$19397,A465,MATCH("Dose_Area_Product_Total",DATOS3!$1:$1,0)))</f>
        <v>#N/A</v>
      </c>
      <c r="J465" t="e">
        <f>IF(INDEX(DATOS3!$1:$19397,A465,MATCH("Dose_RP_Total",DATOS3!$1:$1,0))=0,0,INDEX(DATOS3!$1:$19397,A465,MATCH("Dose_RP_Total",DATOS3!$1:$1,0)))</f>
        <v>#N/A</v>
      </c>
      <c r="K465" t="e">
        <f>IF(INDEX(DATOS3!$1:$19397,A465,MATCH("Total_Fluoro_Time",DATOS3!$1:$1,0))=0,0,INDEX(DATOS3!$1:$19397,A465,MATCH("Total_Fluoro_Time",DATOS3!$1:$1,0)))</f>
        <v>#N/A</v>
      </c>
      <c r="L465" t="e">
        <f>IF(INDEX(DATOS3!$1:$19397,A465,MATCH("Total_Acquisition_Time",DATOS3!$1:$1,0))=0,0,INDEX(DATOS3!$1:$19397,A465,MATCH("Total_Acquisition_Time",DATOS3!$1:$1,0)))</f>
        <v>#N/A</v>
      </c>
    </row>
    <row r="466" spans="1:12" x14ac:dyDescent="0.25">
      <c r="A466">
        <v>466</v>
      </c>
      <c r="B466" t="e">
        <f t="shared" si="7"/>
        <v>#N/A</v>
      </c>
      <c r="D466" t="e">
        <f>IF(INDEX(DATOS3!$1:$19397,A466,MATCH("PatientID",DATOS3!$1:$1,0))=0,"",INDEX(DATOS3!$1:$19397,A466,MATCH("PatientID",DATOS3!$1:$1,0)))</f>
        <v>#N/A</v>
      </c>
      <c r="F466" t="e">
        <f>IF(INDEX(DATOS3!$1:$19397,A466,MATCH("SeriesDate",DATOS3!$1:$1,0))=0,"",INDEX(DATOS3!$1:$19397,A466,MATCH("SeriesDate",DATOS3!$1:$1,0)))</f>
        <v>#N/A</v>
      </c>
      <c r="G466" t="e">
        <f>IF(INDEX(DATOS3!$1:$19397,A466,MATCH("SeriesTime",DATOS3!$1:$1,0))=0,"",INDEX(DATOS3!$1:$19397,A466,MATCH("SeriesTime",DATOS3!$1:$1,0)))</f>
        <v>#N/A</v>
      </c>
      <c r="H466" t="e">
        <f>IF(INDEX(DATOS3!$1:$19397,A466,MATCH("StudyDescription",DATOS3!$1:$1,0))=0,"",INDEX(DATOS3!$1:$19397,A466,MATCH("StudyDescription",DATOS3!$1:$1,0)))</f>
        <v>#N/A</v>
      </c>
      <c r="I466" t="e">
        <f>IF(INDEX(DATOS3!$1:$19397,A466,MATCH("Dose_Area_Product_Total",DATOS3!$1:$1,0))=0,0,INDEX(DATOS3!$1:$19397,A466,MATCH("Dose_Area_Product_Total",DATOS3!$1:$1,0)))</f>
        <v>#N/A</v>
      </c>
      <c r="J466" t="e">
        <f>IF(INDEX(DATOS3!$1:$19397,A466,MATCH("Dose_RP_Total",DATOS3!$1:$1,0))=0,0,INDEX(DATOS3!$1:$19397,A466,MATCH("Dose_RP_Total",DATOS3!$1:$1,0)))</f>
        <v>#N/A</v>
      </c>
      <c r="K466" t="e">
        <f>IF(INDEX(DATOS3!$1:$19397,A466,MATCH("Total_Fluoro_Time",DATOS3!$1:$1,0))=0,0,INDEX(DATOS3!$1:$19397,A466,MATCH("Total_Fluoro_Time",DATOS3!$1:$1,0)))</f>
        <v>#N/A</v>
      </c>
      <c r="L466" t="e">
        <f>IF(INDEX(DATOS3!$1:$19397,A466,MATCH("Total_Acquisition_Time",DATOS3!$1:$1,0))=0,0,INDEX(DATOS3!$1:$19397,A466,MATCH("Total_Acquisition_Time",DATOS3!$1:$1,0)))</f>
        <v>#N/A</v>
      </c>
    </row>
    <row r="467" spans="1:12" x14ac:dyDescent="0.25">
      <c r="A467">
        <v>467</v>
      </c>
      <c r="B467" t="e">
        <f t="shared" si="7"/>
        <v>#N/A</v>
      </c>
      <c r="D467" t="e">
        <f>IF(INDEX(DATOS3!$1:$19397,A467,MATCH("PatientID",DATOS3!$1:$1,0))=0,"",INDEX(DATOS3!$1:$19397,A467,MATCH("PatientID",DATOS3!$1:$1,0)))</f>
        <v>#N/A</v>
      </c>
      <c r="F467" t="e">
        <f>IF(INDEX(DATOS3!$1:$19397,A467,MATCH("SeriesDate",DATOS3!$1:$1,0))=0,"",INDEX(DATOS3!$1:$19397,A467,MATCH("SeriesDate",DATOS3!$1:$1,0)))</f>
        <v>#N/A</v>
      </c>
      <c r="G467" t="e">
        <f>IF(INDEX(DATOS3!$1:$19397,A467,MATCH("SeriesTime",DATOS3!$1:$1,0))=0,"",INDEX(DATOS3!$1:$19397,A467,MATCH("SeriesTime",DATOS3!$1:$1,0)))</f>
        <v>#N/A</v>
      </c>
      <c r="H467" t="e">
        <f>IF(INDEX(DATOS3!$1:$19397,A467,MATCH("StudyDescription",DATOS3!$1:$1,0))=0,"",INDEX(DATOS3!$1:$19397,A467,MATCH("StudyDescription",DATOS3!$1:$1,0)))</f>
        <v>#N/A</v>
      </c>
      <c r="I467" t="e">
        <f>IF(INDEX(DATOS3!$1:$19397,A467,MATCH("Dose_Area_Product_Total",DATOS3!$1:$1,0))=0,0,INDEX(DATOS3!$1:$19397,A467,MATCH("Dose_Area_Product_Total",DATOS3!$1:$1,0)))</f>
        <v>#N/A</v>
      </c>
      <c r="J467" t="e">
        <f>IF(INDEX(DATOS3!$1:$19397,A467,MATCH("Dose_RP_Total",DATOS3!$1:$1,0))=0,0,INDEX(DATOS3!$1:$19397,A467,MATCH("Dose_RP_Total",DATOS3!$1:$1,0)))</f>
        <v>#N/A</v>
      </c>
      <c r="K467" t="e">
        <f>IF(INDEX(DATOS3!$1:$19397,A467,MATCH("Total_Fluoro_Time",DATOS3!$1:$1,0))=0,0,INDEX(DATOS3!$1:$19397,A467,MATCH("Total_Fluoro_Time",DATOS3!$1:$1,0)))</f>
        <v>#N/A</v>
      </c>
      <c r="L467" t="e">
        <f>IF(INDEX(DATOS3!$1:$19397,A467,MATCH("Total_Acquisition_Time",DATOS3!$1:$1,0))=0,0,INDEX(DATOS3!$1:$19397,A467,MATCH("Total_Acquisition_Time",DATOS3!$1:$1,0)))</f>
        <v>#N/A</v>
      </c>
    </row>
    <row r="468" spans="1:12" x14ac:dyDescent="0.25">
      <c r="A468">
        <v>468</v>
      </c>
      <c r="B468" t="e">
        <f t="shared" si="7"/>
        <v>#N/A</v>
      </c>
      <c r="D468" t="e">
        <f>IF(INDEX(DATOS3!$1:$19397,A468,MATCH("PatientID",DATOS3!$1:$1,0))=0,"",INDEX(DATOS3!$1:$19397,A468,MATCH("PatientID",DATOS3!$1:$1,0)))</f>
        <v>#N/A</v>
      </c>
      <c r="F468" t="e">
        <f>IF(INDEX(DATOS3!$1:$19397,A468,MATCH("SeriesDate",DATOS3!$1:$1,0))=0,"",INDEX(DATOS3!$1:$19397,A468,MATCH("SeriesDate",DATOS3!$1:$1,0)))</f>
        <v>#N/A</v>
      </c>
      <c r="G468" t="e">
        <f>IF(INDEX(DATOS3!$1:$19397,A468,MATCH("SeriesTime",DATOS3!$1:$1,0))=0,"",INDEX(DATOS3!$1:$19397,A468,MATCH("SeriesTime",DATOS3!$1:$1,0)))</f>
        <v>#N/A</v>
      </c>
      <c r="H468" t="e">
        <f>IF(INDEX(DATOS3!$1:$19397,A468,MATCH("StudyDescription",DATOS3!$1:$1,0))=0,"",INDEX(DATOS3!$1:$19397,A468,MATCH("StudyDescription",DATOS3!$1:$1,0)))</f>
        <v>#N/A</v>
      </c>
      <c r="I468" t="e">
        <f>IF(INDEX(DATOS3!$1:$19397,A468,MATCH("Dose_Area_Product_Total",DATOS3!$1:$1,0))=0,0,INDEX(DATOS3!$1:$19397,A468,MATCH("Dose_Area_Product_Total",DATOS3!$1:$1,0)))</f>
        <v>#N/A</v>
      </c>
      <c r="J468" t="e">
        <f>IF(INDEX(DATOS3!$1:$19397,A468,MATCH("Dose_RP_Total",DATOS3!$1:$1,0))=0,0,INDEX(DATOS3!$1:$19397,A468,MATCH("Dose_RP_Total",DATOS3!$1:$1,0)))</f>
        <v>#N/A</v>
      </c>
      <c r="K468" t="e">
        <f>IF(INDEX(DATOS3!$1:$19397,A468,MATCH("Total_Fluoro_Time",DATOS3!$1:$1,0))=0,0,INDEX(DATOS3!$1:$19397,A468,MATCH("Total_Fluoro_Time",DATOS3!$1:$1,0)))</f>
        <v>#N/A</v>
      </c>
      <c r="L468" t="e">
        <f>IF(INDEX(DATOS3!$1:$19397,A468,MATCH("Total_Acquisition_Time",DATOS3!$1:$1,0))=0,0,INDEX(DATOS3!$1:$19397,A468,MATCH("Total_Acquisition_Time",DATOS3!$1:$1,0)))</f>
        <v>#N/A</v>
      </c>
    </row>
    <row r="469" spans="1:12" x14ac:dyDescent="0.25">
      <c r="A469">
        <v>469</v>
      </c>
      <c r="B469" t="e">
        <f t="shared" si="7"/>
        <v>#N/A</v>
      </c>
      <c r="D469" t="e">
        <f>IF(INDEX(DATOS3!$1:$19397,A469,MATCH("PatientID",DATOS3!$1:$1,0))=0,"",INDEX(DATOS3!$1:$19397,A469,MATCH("PatientID",DATOS3!$1:$1,0)))</f>
        <v>#N/A</v>
      </c>
      <c r="F469" t="e">
        <f>IF(INDEX(DATOS3!$1:$19397,A469,MATCH("SeriesDate",DATOS3!$1:$1,0))=0,"",INDEX(DATOS3!$1:$19397,A469,MATCH("SeriesDate",DATOS3!$1:$1,0)))</f>
        <v>#N/A</v>
      </c>
      <c r="G469" t="e">
        <f>IF(INDEX(DATOS3!$1:$19397,A469,MATCH("SeriesTime",DATOS3!$1:$1,0))=0,"",INDEX(DATOS3!$1:$19397,A469,MATCH("SeriesTime",DATOS3!$1:$1,0)))</f>
        <v>#N/A</v>
      </c>
      <c r="H469" t="e">
        <f>IF(INDEX(DATOS3!$1:$19397,A469,MATCH("StudyDescription",DATOS3!$1:$1,0))=0,"",INDEX(DATOS3!$1:$19397,A469,MATCH("StudyDescription",DATOS3!$1:$1,0)))</f>
        <v>#N/A</v>
      </c>
      <c r="I469" t="e">
        <f>IF(INDEX(DATOS3!$1:$19397,A469,MATCH("Dose_Area_Product_Total",DATOS3!$1:$1,0))=0,0,INDEX(DATOS3!$1:$19397,A469,MATCH("Dose_Area_Product_Total",DATOS3!$1:$1,0)))</f>
        <v>#N/A</v>
      </c>
      <c r="J469" t="e">
        <f>IF(INDEX(DATOS3!$1:$19397,A469,MATCH("Dose_RP_Total",DATOS3!$1:$1,0))=0,0,INDEX(DATOS3!$1:$19397,A469,MATCH("Dose_RP_Total",DATOS3!$1:$1,0)))</f>
        <v>#N/A</v>
      </c>
      <c r="K469" t="e">
        <f>IF(INDEX(DATOS3!$1:$19397,A469,MATCH("Total_Fluoro_Time",DATOS3!$1:$1,0))=0,0,INDEX(DATOS3!$1:$19397,A469,MATCH("Total_Fluoro_Time",DATOS3!$1:$1,0)))</f>
        <v>#N/A</v>
      </c>
      <c r="L469" t="e">
        <f>IF(INDEX(DATOS3!$1:$19397,A469,MATCH("Total_Acquisition_Time",DATOS3!$1:$1,0))=0,0,INDEX(DATOS3!$1:$19397,A469,MATCH("Total_Acquisition_Time",DATOS3!$1:$1,0)))</f>
        <v>#N/A</v>
      </c>
    </row>
    <row r="470" spans="1:12" x14ac:dyDescent="0.25">
      <c r="A470">
        <v>470</v>
      </c>
      <c r="B470" t="e">
        <f t="shared" si="7"/>
        <v>#N/A</v>
      </c>
      <c r="D470" t="e">
        <f>IF(INDEX(DATOS3!$1:$19397,A470,MATCH("PatientID",DATOS3!$1:$1,0))=0,"",INDEX(DATOS3!$1:$19397,A470,MATCH("PatientID",DATOS3!$1:$1,0)))</f>
        <v>#N/A</v>
      </c>
      <c r="F470" t="e">
        <f>IF(INDEX(DATOS3!$1:$19397,A470,MATCH("SeriesDate",DATOS3!$1:$1,0))=0,"",INDEX(DATOS3!$1:$19397,A470,MATCH("SeriesDate",DATOS3!$1:$1,0)))</f>
        <v>#N/A</v>
      </c>
      <c r="G470" t="e">
        <f>IF(INDEX(DATOS3!$1:$19397,A470,MATCH("SeriesTime",DATOS3!$1:$1,0))=0,"",INDEX(DATOS3!$1:$19397,A470,MATCH("SeriesTime",DATOS3!$1:$1,0)))</f>
        <v>#N/A</v>
      </c>
      <c r="H470" t="e">
        <f>IF(INDEX(DATOS3!$1:$19397,A470,MATCH("StudyDescription",DATOS3!$1:$1,0))=0,"",INDEX(DATOS3!$1:$19397,A470,MATCH("StudyDescription",DATOS3!$1:$1,0)))</f>
        <v>#N/A</v>
      </c>
      <c r="I470" t="e">
        <f>IF(INDEX(DATOS3!$1:$19397,A470,MATCH("Dose_Area_Product_Total",DATOS3!$1:$1,0))=0,0,INDEX(DATOS3!$1:$19397,A470,MATCH("Dose_Area_Product_Total",DATOS3!$1:$1,0)))</f>
        <v>#N/A</v>
      </c>
      <c r="J470" t="e">
        <f>IF(INDEX(DATOS3!$1:$19397,A470,MATCH("Dose_RP_Total",DATOS3!$1:$1,0))=0,0,INDEX(DATOS3!$1:$19397,A470,MATCH("Dose_RP_Total",DATOS3!$1:$1,0)))</f>
        <v>#N/A</v>
      </c>
      <c r="K470" t="e">
        <f>IF(INDEX(DATOS3!$1:$19397,A470,MATCH("Total_Fluoro_Time",DATOS3!$1:$1,0))=0,0,INDEX(DATOS3!$1:$19397,A470,MATCH("Total_Fluoro_Time",DATOS3!$1:$1,0)))</f>
        <v>#N/A</v>
      </c>
      <c r="L470" t="e">
        <f>IF(INDEX(DATOS3!$1:$19397,A470,MATCH("Total_Acquisition_Time",DATOS3!$1:$1,0))=0,0,INDEX(DATOS3!$1:$19397,A470,MATCH("Total_Acquisition_Time",DATOS3!$1:$1,0)))</f>
        <v>#N/A</v>
      </c>
    </row>
    <row r="471" spans="1:12" x14ac:dyDescent="0.25">
      <c r="A471">
        <v>471</v>
      </c>
      <c r="B471" t="e">
        <f t="shared" si="7"/>
        <v>#N/A</v>
      </c>
      <c r="D471" t="e">
        <f>IF(INDEX(DATOS3!$1:$19397,A471,MATCH("PatientID",DATOS3!$1:$1,0))=0,"",INDEX(DATOS3!$1:$19397,A471,MATCH("PatientID",DATOS3!$1:$1,0)))</f>
        <v>#N/A</v>
      </c>
      <c r="F471" t="e">
        <f>IF(INDEX(DATOS3!$1:$19397,A471,MATCH("SeriesDate",DATOS3!$1:$1,0))=0,"",INDEX(DATOS3!$1:$19397,A471,MATCH("SeriesDate",DATOS3!$1:$1,0)))</f>
        <v>#N/A</v>
      </c>
      <c r="G471" t="e">
        <f>IF(INDEX(DATOS3!$1:$19397,A471,MATCH("SeriesTime",DATOS3!$1:$1,0))=0,"",INDEX(DATOS3!$1:$19397,A471,MATCH("SeriesTime",DATOS3!$1:$1,0)))</f>
        <v>#N/A</v>
      </c>
      <c r="H471" t="e">
        <f>IF(INDEX(DATOS3!$1:$19397,A471,MATCH("StudyDescription",DATOS3!$1:$1,0))=0,"",INDEX(DATOS3!$1:$19397,A471,MATCH("StudyDescription",DATOS3!$1:$1,0)))</f>
        <v>#N/A</v>
      </c>
      <c r="I471" t="e">
        <f>IF(INDEX(DATOS3!$1:$19397,A471,MATCH("Dose_Area_Product_Total",DATOS3!$1:$1,0))=0,0,INDEX(DATOS3!$1:$19397,A471,MATCH("Dose_Area_Product_Total",DATOS3!$1:$1,0)))</f>
        <v>#N/A</v>
      </c>
      <c r="J471" t="e">
        <f>IF(INDEX(DATOS3!$1:$19397,A471,MATCH("Dose_RP_Total",DATOS3!$1:$1,0))=0,0,INDEX(DATOS3!$1:$19397,A471,MATCH("Dose_RP_Total",DATOS3!$1:$1,0)))</f>
        <v>#N/A</v>
      </c>
      <c r="K471" t="e">
        <f>IF(INDEX(DATOS3!$1:$19397,A471,MATCH("Total_Fluoro_Time",DATOS3!$1:$1,0))=0,0,INDEX(DATOS3!$1:$19397,A471,MATCH("Total_Fluoro_Time",DATOS3!$1:$1,0)))</f>
        <v>#N/A</v>
      </c>
      <c r="L471" t="e">
        <f>IF(INDEX(DATOS3!$1:$19397,A471,MATCH("Total_Acquisition_Time",DATOS3!$1:$1,0))=0,0,INDEX(DATOS3!$1:$19397,A471,MATCH("Total_Acquisition_Time",DATOS3!$1:$1,0)))</f>
        <v>#N/A</v>
      </c>
    </row>
    <row r="472" spans="1:12" x14ac:dyDescent="0.25">
      <c r="A472">
        <v>472</v>
      </c>
      <c r="B472" t="e">
        <f t="shared" si="7"/>
        <v>#N/A</v>
      </c>
      <c r="D472" t="e">
        <f>IF(INDEX(DATOS3!$1:$19397,A472,MATCH("PatientID",DATOS3!$1:$1,0))=0,"",INDEX(DATOS3!$1:$19397,A472,MATCH("PatientID",DATOS3!$1:$1,0)))</f>
        <v>#N/A</v>
      </c>
      <c r="F472" t="e">
        <f>IF(INDEX(DATOS3!$1:$19397,A472,MATCH("SeriesDate",DATOS3!$1:$1,0))=0,"",INDEX(DATOS3!$1:$19397,A472,MATCH("SeriesDate",DATOS3!$1:$1,0)))</f>
        <v>#N/A</v>
      </c>
      <c r="G472" t="e">
        <f>IF(INDEX(DATOS3!$1:$19397,A472,MATCH("SeriesTime",DATOS3!$1:$1,0))=0,"",INDEX(DATOS3!$1:$19397,A472,MATCH("SeriesTime",DATOS3!$1:$1,0)))</f>
        <v>#N/A</v>
      </c>
      <c r="H472" t="e">
        <f>IF(INDEX(DATOS3!$1:$19397,A472,MATCH("StudyDescription",DATOS3!$1:$1,0))=0,"",INDEX(DATOS3!$1:$19397,A472,MATCH("StudyDescription",DATOS3!$1:$1,0)))</f>
        <v>#N/A</v>
      </c>
      <c r="I472" t="e">
        <f>IF(INDEX(DATOS3!$1:$19397,A472,MATCH("Dose_Area_Product_Total",DATOS3!$1:$1,0))=0,0,INDEX(DATOS3!$1:$19397,A472,MATCH("Dose_Area_Product_Total",DATOS3!$1:$1,0)))</f>
        <v>#N/A</v>
      </c>
      <c r="J472" t="e">
        <f>IF(INDEX(DATOS3!$1:$19397,A472,MATCH("Dose_RP_Total",DATOS3!$1:$1,0))=0,0,INDEX(DATOS3!$1:$19397,A472,MATCH("Dose_RP_Total",DATOS3!$1:$1,0)))</f>
        <v>#N/A</v>
      </c>
      <c r="K472" t="e">
        <f>IF(INDEX(DATOS3!$1:$19397,A472,MATCH("Total_Fluoro_Time",DATOS3!$1:$1,0))=0,0,INDEX(DATOS3!$1:$19397,A472,MATCH("Total_Fluoro_Time",DATOS3!$1:$1,0)))</f>
        <v>#N/A</v>
      </c>
      <c r="L472" t="e">
        <f>IF(INDEX(DATOS3!$1:$19397,A472,MATCH("Total_Acquisition_Time",DATOS3!$1:$1,0))=0,0,INDEX(DATOS3!$1:$19397,A472,MATCH("Total_Acquisition_Time",DATOS3!$1:$1,0)))</f>
        <v>#N/A</v>
      </c>
    </row>
    <row r="473" spans="1:12" x14ac:dyDescent="0.25">
      <c r="A473">
        <v>473</v>
      </c>
      <c r="B473" t="e">
        <f t="shared" si="7"/>
        <v>#N/A</v>
      </c>
      <c r="D473" t="e">
        <f>IF(INDEX(DATOS3!$1:$19397,A473,MATCH("PatientID",DATOS3!$1:$1,0))=0,"",INDEX(DATOS3!$1:$19397,A473,MATCH("PatientID",DATOS3!$1:$1,0)))</f>
        <v>#N/A</v>
      </c>
      <c r="F473" t="e">
        <f>IF(INDEX(DATOS3!$1:$19397,A473,MATCH("SeriesDate",DATOS3!$1:$1,0))=0,"",INDEX(DATOS3!$1:$19397,A473,MATCH("SeriesDate",DATOS3!$1:$1,0)))</f>
        <v>#N/A</v>
      </c>
      <c r="G473" t="e">
        <f>IF(INDEX(DATOS3!$1:$19397,A473,MATCH("SeriesTime",DATOS3!$1:$1,0))=0,"",INDEX(DATOS3!$1:$19397,A473,MATCH("SeriesTime",DATOS3!$1:$1,0)))</f>
        <v>#N/A</v>
      </c>
      <c r="H473" t="e">
        <f>IF(INDEX(DATOS3!$1:$19397,A473,MATCH("StudyDescription",DATOS3!$1:$1,0))=0,"",INDEX(DATOS3!$1:$19397,A473,MATCH("StudyDescription",DATOS3!$1:$1,0)))</f>
        <v>#N/A</v>
      </c>
      <c r="I473" t="e">
        <f>IF(INDEX(DATOS3!$1:$19397,A473,MATCH("Dose_Area_Product_Total",DATOS3!$1:$1,0))=0,0,INDEX(DATOS3!$1:$19397,A473,MATCH("Dose_Area_Product_Total",DATOS3!$1:$1,0)))</f>
        <v>#N/A</v>
      </c>
      <c r="J473" t="e">
        <f>IF(INDEX(DATOS3!$1:$19397,A473,MATCH("Dose_RP_Total",DATOS3!$1:$1,0))=0,0,INDEX(DATOS3!$1:$19397,A473,MATCH("Dose_RP_Total",DATOS3!$1:$1,0)))</f>
        <v>#N/A</v>
      </c>
      <c r="K473" t="e">
        <f>IF(INDEX(DATOS3!$1:$19397,A473,MATCH("Total_Fluoro_Time",DATOS3!$1:$1,0))=0,0,INDEX(DATOS3!$1:$19397,A473,MATCH("Total_Fluoro_Time",DATOS3!$1:$1,0)))</f>
        <v>#N/A</v>
      </c>
      <c r="L473" t="e">
        <f>IF(INDEX(DATOS3!$1:$19397,A473,MATCH("Total_Acquisition_Time",DATOS3!$1:$1,0))=0,0,INDEX(DATOS3!$1:$19397,A473,MATCH("Total_Acquisition_Time",DATOS3!$1:$1,0)))</f>
        <v>#N/A</v>
      </c>
    </row>
    <row r="474" spans="1:12" x14ac:dyDescent="0.25">
      <c r="A474">
        <v>474</v>
      </c>
      <c r="B474" t="e">
        <f t="shared" si="7"/>
        <v>#N/A</v>
      </c>
      <c r="D474" t="e">
        <f>IF(INDEX(DATOS3!$1:$19397,A474,MATCH("PatientID",DATOS3!$1:$1,0))=0,"",INDEX(DATOS3!$1:$19397,A474,MATCH("PatientID",DATOS3!$1:$1,0)))</f>
        <v>#N/A</v>
      </c>
      <c r="F474" t="e">
        <f>IF(INDEX(DATOS3!$1:$19397,A474,MATCH("SeriesDate",DATOS3!$1:$1,0))=0,"",INDEX(DATOS3!$1:$19397,A474,MATCH("SeriesDate",DATOS3!$1:$1,0)))</f>
        <v>#N/A</v>
      </c>
      <c r="G474" t="e">
        <f>IF(INDEX(DATOS3!$1:$19397,A474,MATCH("SeriesTime",DATOS3!$1:$1,0))=0,"",INDEX(DATOS3!$1:$19397,A474,MATCH("SeriesTime",DATOS3!$1:$1,0)))</f>
        <v>#N/A</v>
      </c>
      <c r="H474" t="e">
        <f>IF(INDEX(DATOS3!$1:$19397,A474,MATCH("StudyDescription",DATOS3!$1:$1,0))=0,"",INDEX(DATOS3!$1:$19397,A474,MATCH("StudyDescription",DATOS3!$1:$1,0)))</f>
        <v>#N/A</v>
      </c>
      <c r="I474" t="e">
        <f>IF(INDEX(DATOS3!$1:$19397,A474,MATCH("Dose_Area_Product_Total",DATOS3!$1:$1,0))=0,0,INDEX(DATOS3!$1:$19397,A474,MATCH("Dose_Area_Product_Total",DATOS3!$1:$1,0)))</f>
        <v>#N/A</v>
      </c>
      <c r="J474" t="e">
        <f>IF(INDEX(DATOS3!$1:$19397,A474,MATCH("Dose_RP_Total",DATOS3!$1:$1,0))=0,0,INDEX(DATOS3!$1:$19397,A474,MATCH("Dose_RP_Total",DATOS3!$1:$1,0)))</f>
        <v>#N/A</v>
      </c>
      <c r="K474" t="e">
        <f>IF(INDEX(DATOS3!$1:$19397,A474,MATCH("Total_Fluoro_Time",DATOS3!$1:$1,0))=0,0,INDEX(DATOS3!$1:$19397,A474,MATCH("Total_Fluoro_Time",DATOS3!$1:$1,0)))</f>
        <v>#N/A</v>
      </c>
      <c r="L474" t="e">
        <f>IF(INDEX(DATOS3!$1:$19397,A474,MATCH("Total_Acquisition_Time",DATOS3!$1:$1,0))=0,0,INDEX(DATOS3!$1:$19397,A474,MATCH("Total_Acquisition_Time",DATOS3!$1:$1,0)))</f>
        <v>#N/A</v>
      </c>
    </row>
    <row r="475" spans="1:12" x14ac:dyDescent="0.25">
      <c r="A475">
        <v>475</v>
      </c>
      <c r="B475" t="e">
        <f t="shared" si="7"/>
        <v>#N/A</v>
      </c>
      <c r="D475" t="e">
        <f>IF(INDEX(DATOS3!$1:$19397,A475,MATCH("PatientID",DATOS3!$1:$1,0))=0,"",INDEX(DATOS3!$1:$19397,A475,MATCH("PatientID",DATOS3!$1:$1,0)))</f>
        <v>#N/A</v>
      </c>
      <c r="F475" t="e">
        <f>IF(INDEX(DATOS3!$1:$19397,A475,MATCH("SeriesDate",DATOS3!$1:$1,0))=0,"",INDEX(DATOS3!$1:$19397,A475,MATCH("SeriesDate",DATOS3!$1:$1,0)))</f>
        <v>#N/A</v>
      </c>
      <c r="G475" t="e">
        <f>IF(INDEX(DATOS3!$1:$19397,A475,MATCH("SeriesTime",DATOS3!$1:$1,0))=0,"",INDEX(DATOS3!$1:$19397,A475,MATCH("SeriesTime",DATOS3!$1:$1,0)))</f>
        <v>#N/A</v>
      </c>
      <c r="H475" t="e">
        <f>IF(INDEX(DATOS3!$1:$19397,A475,MATCH("StudyDescription",DATOS3!$1:$1,0))=0,"",INDEX(DATOS3!$1:$19397,A475,MATCH("StudyDescription",DATOS3!$1:$1,0)))</f>
        <v>#N/A</v>
      </c>
      <c r="I475" t="e">
        <f>IF(INDEX(DATOS3!$1:$19397,A475,MATCH("Dose_Area_Product_Total",DATOS3!$1:$1,0))=0,0,INDEX(DATOS3!$1:$19397,A475,MATCH("Dose_Area_Product_Total",DATOS3!$1:$1,0)))</f>
        <v>#N/A</v>
      </c>
      <c r="J475" t="e">
        <f>IF(INDEX(DATOS3!$1:$19397,A475,MATCH("Dose_RP_Total",DATOS3!$1:$1,0))=0,0,INDEX(DATOS3!$1:$19397,A475,MATCH("Dose_RP_Total",DATOS3!$1:$1,0)))</f>
        <v>#N/A</v>
      </c>
      <c r="K475" t="e">
        <f>IF(INDEX(DATOS3!$1:$19397,A475,MATCH("Total_Fluoro_Time",DATOS3!$1:$1,0))=0,0,INDEX(DATOS3!$1:$19397,A475,MATCH("Total_Fluoro_Time",DATOS3!$1:$1,0)))</f>
        <v>#N/A</v>
      </c>
      <c r="L475" t="e">
        <f>IF(INDEX(DATOS3!$1:$19397,A475,MATCH("Total_Acquisition_Time",DATOS3!$1:$1,0))=0,0,INDEX(DATOS3!$1:$19397,A475,MATCH("Total_Acquisition_Time",DATOS3!$1:$1,0)))</f>
        <v>#N/A</v>
      </c>
    </row>
    <row r="476" spans="1:12" x14ac:dyDescent="0.25">
      <c r="A476">
        <v>476</v>
      </c>
      <c r="B476" t="e">
        <f t="shared" si="7"/>
        <v>#N/A</v>
      </c>
      <c r="D476" t="e">
        <f>IF(INDEX(DATOS3!$1:$19397,A476,MATCH("PatientID",DATOS3!$1:$1,0))=0,"",INDEX(DATOS3!$1:$19397,A476,MATCH("PatientID",DATOS3!$1:$1,0)))</f>
        <v>#N/A</v>
      </c>
      <c r="F476" t="e">
        <f>IF(INDEX(DATOS3!$1:$19397,A476,MATCH("SeriesDate",DATOS3!$1:$1,0))=0,"",INDEX(DATOS3!$1:$19397,A476,MATCH("SeriesDate",DATOS3!$1:$1,0)))</f>
        <v>#N/A</v>
      </c>
      <c r="G476" t="e">
        <f>IF(INDEX(DATOS3!$1:$19397,A476,MATCH("SeriesTime",DATOS3!$1:$1,0))=0,"",INDEX(DATOS3!$1:$19397,A476,MATCH("SeriesTime",DATOS3!$1:$1,0)))</f>
        <v>#N/A</v>
      </c>
      <c r="H476" t="e">
        <f>IF(INDEX(DATOS3!$1:$19397,A476,MATCH("StudyDescription",DATOS3!$1:$1,0))=0,"",INDEX(DATOS3!$1:$19397,A476,MATCH("StudyDescription",DATOS3!$1:$1,0)))</f>
        <v>#N/A</v>
      </c>
      <c r="I476" t="e">
        <f>IF(INDEX(DATOS3!$1:$19397,A476,MATCH("Dose_Area_Product_Total",DATOS3!$1:$1,0))=0,0,INDEX(DATOS3!$1:$19397,A476,MATCH("Dose_Area_Product_Total",DATOS3!$1:$1,0)))</f>
        <v>#N/A</v>
      </c>
      <c r="J476" t="e">
        <f>IF(INDEX(DATOS3!$1:$19397,A476,MATCH("Dose_RP_Total",DATOS3!$1:$1,0))=0,0,INDEX(DATOS3!$1:$19397,A476,MATCH("Dose_RP_Total",DATOS3!$1:$1,0)))</f>
        <v>#N/A</v>
      </c>
      <c r="K476" t="e">
        <f>IF(INDEX(DATOS3!$1:$19397,A476,MATCH("Total_Fluoro_Time",DATOS3!$1:$1,0))=0,0,INDEX(DATOS3!$1:$19397,A476,MATCH("Total_Fluoro_Time",DATOS3!$1:$1,0)))</f>
        <v>#N/A</v>
      </c>
      <c r="L476" t="e">
        <f>IF(INDEX(DATOS3!$1:$19397,A476,MATCH("Total_Acquisition_Time",DATOS3!$1:$1,0))=0,0,INDEX(DATOS3!$1:$19397,A476,MATCH("Total_Acquisition_Time",DATOS3!$1:$1,0)))</f>
        <v>#N/A</v>
      </c>
    </row>
    <row r="477" spans="1:12" x14ac:dyDescent="0.25">
      <c r="A477">
        <v>477</v>
      </c>
      <c r="B477" t="e">
        <f t="shared" si="7"/>
        <v>#N/A</v>
      </c>
      <c r="D477" t="e">
        <f>IF(INDEX(DATOS3!$1:$19397,A477,MATCH("PatientID",DATOS3!$1:$1,0))=0,"",INDEX(DATOS3!$1:$19397,A477,MATCH("PatientID",DATOS3!$1:$1,0)))</f>
        <v>#N/A</v>
      </c>
      <c r="F477" t="e">
        <f>IF(INDEX(DATOS3!$1:$19397,A477,MATCH("SeriesDate",DATOS3!$1:$1,0))=0,"",INDEX(DATOS3!$1:$19397,A477,MATCH("SeriesDate",DATOS3!$1:$1,0)))</f>
        <v>#N/A</v>
      </c>
      <c r="G477" t="e">
        <f>IF(INDEX(DATOS3!$1:$19397,A477,MATCH("SeriesTime",DATOS3!$1:$1,0))=0,"",INDEX(DATOS3!$1:$19397,A477,MATCH("SeriesTime",DATOS3!$1:$1,0)))</f>
        <v>#N/A</v>
      </c>
      <c r="H477" t="e">
        <f>IF(INDEX(DATOS3!$1:$19397,A477,MATCH("StudyDescription",DATOS3!$1:$1,0))=0,"",INDEX(DATOS3!$1:$19397,A477,MATCH("StudyDescription",DATOS3!$1:$1,0)))</f>
        <v>#N/A</v>
      </c>
      <c r="I477" t="e">
        <f>IF(INDEX(DATOS3!$1:$19397,A477,MATCH("Dose_Area_Product_Total",DATOS3!$1:$1,0))=0,0,INDEX(DATOS3!$1:$19397,A477,MATCH("Dose_Area_Product_Total",DATOS3!$1:$1,0)))</f>
        <v>#N/A</v>
      </c>
      <c r="J477" t="e">
        <f>IF(INDEX(DATOS3!$1:$19397,A477,MATCH("Dose_RP_Total",DATOS3!$1:$1,0))=0,0,INDEX(DATOS3!$1:$19397,A477,MATCH("Dose_RP_Total",DATOS3!$1:$1,0)))</f>
        <v>#N/A</v>
      </c>
      <c r="K477" t="e">
        <f>IF(INDEX(DATOS3!$1:$19397,A477,MATCH("Total_Fluoro_Time",DATOS3!$1:$1,0))=0,0,INDEX(DATOS3!$1:$19397,A477,MATCH("Total_Fluoro_Time",DATOS3!$1:$1,0)))</f>
        <v>#N/A</v>
      </c>
      <c r="L477" t="e">
        <f>IF(INDEX(DATOS3!$1:$19397,A477,MATCH("Total_Acquisition_Time",DATOS3!$1:$1,0))=0,0,INDEX(DATOS3!$1:$19397,A477,MATCH("Total_Acquisition_Time",DATOS3!$1:$1,0)))</f>
        <v>#N/A</v>
      </c>
    </row>
    <row r="478" spans="1:12" x14ac:dyDescent="0.25">
      <c r="A478">
        <v>478</v>
      </c>
      <c r="B478" t="e">
        <f t="shared" si="7"/>
        <v>#N/A</v>
      </c>
      <c r="D478" t="e">
        <f>IF(INDEX(DATOS3!$1:$19397,A478,MATCH("PatientID",DATOS3!$1:$1,0))=0,"",INDEX(DATOS3!$1:$19397,A478,MATCH("PatientID",DATOS3!$1:$1,0)))</f>
        <v>#N/A</v>
      </c>
      <c r="F478" t="e">
        <f>IF(INDEX(DATOS3!$1:$19397,A478,MATCH("SeriesDate",DATOS3!$1:$1,0))=0,"",INDEX(DATOS3!$1:$19397,A478,MATCH("SeriesDate",DATOS3!$1:$1,0)))</f>
        <v>#N/A</v>
      </c>
      <c r="G478" t="e">
        <f>IF(INDEX(DATOS3!$1:$19397,A478,MATCH("SeriesTime",DATOS3!$1:$1,0))=0,"",INDEX(DATOS3!$1:$19397,A478,MATCH("SeriesTime",DATOS3!$1:$1,0)))</f>
        <v>#N/A</v>
      </c>
      <c r="H478" t="e">
        <f>IF(INDEX(DATOS3!$1:$19397,A478,MATCH("StudyDescription",DATOS3!$1:$1,0))=0,"",INDEX(DATOS3!$1:$19397,A478,MATCH("StudyDescription",DATOS3!$1:$1,0)))</f>
        <v>#N/A</v>
      </c>
      <c r="I478" t="e">
        <f>IF(INDEX(DATOS3!$1:$19397,A478,MATCH("Dose_Area_Product_Total",DATOS3!$1:$1,0))=0,0,INDEX(DATOS3!$1:$19397,A478,MATCH("Dose_Area_Product_Total",DATOS3!$1:$1,0)))</f>
        <v>#N/A</v>
      </c>
      <c r="J478" t="e">
        <f>IF(INDEX(DATOS3!$1:$19397,A478,MATCH("Dose_RP_Total",DATOS3!$1:$1,0))=0,0,INDEX(DATOS3!$1:$19397,A478,MATCH("Dose_RP_Total",DATOS3!$1:$1,0)))</f>
        <v>#N/A</v>
      </c>
      <c r="K478" t="e">
        <f>IF(INDEX(DATOS3!$1:$19397,A478,MATCH("Total_Fluoro_Time",DATOS3!$1:$1,0))=0,0,INDEX(DATOS3!$1:$19397,A478,MATCH("Total_Fluoro_Time",DATOS3!$1:$1,0)))</f>
        <v>#N/A</v>
      </c>
      <c r="L478" t="e">
        <f>IF(INDEX(DATOS3!$1:$19397,A478,MATCH("Total_Acquisition_Time",DATOS3!$1:$1,0))=0,0,INDEX(DATOS3!$1:$19397,A478,MATCH("Total_Acquisition_Time",DATOS3!$1:$1,0)))</f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>
      <selection sqref="A1:XFD1048576"/>
    </sheetView>
  </sheetViews>
  <sheetFormatPr baseColWidth="10" defaultRowHeight="15" x14ac:dyDescent="0.25"/>
  <cols>
    <col min="8" max="8" width="36" customWidth="1"/>
    <col min="9" max="9" width="17.4257812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tabSelected="1" workbookViewId="0">
      <selection sqref="A1:XFD1048576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PACIENTES (2)</vt:lpstr>
      <vt:lpstr>PACIENTES</vt:lpstr>
      <vt:lpstr>XML</vt:lpstr>
      <vt:lpstr>DATOS</vt:lpstr>
      <vt:lpstr>DATOS2</vt:lpstr>
      <vt:lpstr>DATOS3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Veganzones, Mario</dc:creator>
  <cp:lastModifiedBy>Agulla Otero, Manuel</cp:lastModifiedBy>
  <dcterms:created xsi:type="dcterms:W3CDTF">2006-09-16T00:00:00Z</dcterms:created>
  <dcterms:modified xsi:type="dcterms:W3CDTF">2024-07-31T06:12:37Z</dcterms:modified>
</cp:coreProperties>
</file>