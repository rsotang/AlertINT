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osis pacientes\Alertas_Intervencionismo\SIEMENS_HEMODINAMICAS_ALERTIN\"/>
    </mc:Choice>
  </mc:AlternateContent>
  <bookViews>
    <workbookView xWindow="0" yWindow="0" windowWidth="28800" windowHeight="12330" firstSheet="1" activeTab="5"/>
  </bookViews>
  <sheets>
    <sheet name="PACIENTES (2)" sheetId="22" state="hidden" r:id="rId1"/>
    <sheet name="PACIENTES" sheetId="5" r:id="rId2"/>
    <sheet name="XML" sheetId="13" r:id="rId3"/>
    <sheet name="DATOS" sheetId="23" r:id="rId4"/>
    <sheet name="DATOS2" sheetId="24" r:id="rId5"/>
    <sheet name="DATOS3" sheetId="25" r:id="rId6"/>
  </sheets>
  <definedNames>
    <definedName name="_xlnm._FilterDatabase" localSheetId="3" hidden="1">DATOS!$B$1:$L$1342</definedName>
  </definedNames>
  <calcPr calcId="162913"/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" i="5"/>
  <c r="L3" i="23" l="1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2" i="23"/>
  <c r="J3" i="23" l="1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J205" i="23"/>
  <c r="J206" i="23"/>
  <c r="J207" i="23"/>
  <c r="J208" i="23"/>
  <c r="J209" i="23"/>
  <c r="J210" i="23"/>
  <c r="J211" i="23"/>
  <c r="J212" i="23"/>
  <c r="J213" i="23"/>
  <c r="J214" i="23"/>
  <c r="J215" i="23"/>
  <c r="J216" i="23"/>
  <c r="J217" i="23"/>
  <c r="J218" i="23"/>
  <c r="J219" i="23"/>
  <c r="J220" i="23"/>
  <c r="J221" i="23"/>
  <c r="J222" i="23"/>
  <c r="J223" i="23"/>
  <c r="J224" i="23"/>
  <c r="J225" i="23"/>
  <c r="J226" i="23"/>
  <c r="J227" i="23"/>
  <c r="J228" i="23"/>
  <c r="J229" i="23"/>
  <c r="J230" i="23"/>
  <c r="J231" i="23"/>
  <c r="J232" i="23"/>
  <c r="J233" i="23"/>
  <c r="J234" i="23"/>
  <c r="J235" i="23"/>
  <c r="J236" i="23"/>
  <c r="J237" i="23"/>
  <c r="J238" i="23"/>
  <c r="J239" i="23"/>
  <c r="J240" i="23"/>
  <c r="J241" i="23"/>
  <c r="J242" i="23"/>
  <c r="J243" i="23"/>
  <c r="J244" i="23"/>
  <c r="J245" i="23"/>
  <c r="J246" i="23"/>
  <c r="J247" i="23"/>
  <c r="J248" i="23"/>
  <c r="J249" i="23"/>
  <c r="J250" i="23"/>
  <c r="J251" i="23"/>
  <c r="J252" i="23"/>
  <c r="J253" i="23"/>
  <c r="J254" i="23"/>
  <c r="J255" i="23"/>
  <c r="J256" i="23"/>
  <c r="J257" i="23"/>
  <c r="J258" i="23"/>
  <c r="J259" i="23"/>
  <c r="J260" i="23"/>
  <c r="J261" i="23"/>
  <c r="J262" i="23"/>
  <c r="J263" i="23"/>
  <c r="J264" i="23"/>
  <c r="J265" i="23"/>
  <c r="J266" i="23"/>
  <c r="J267" i="23"/>
  <c r="J268" i="23"/>
  <c r="J269" i="23"/>
  <c r="J270" i="23"/>
  <c r="J271" i="23"/>
  <c r="J272" i="23"/>
  <c r="J273" i="23"/>
  <c r="J274" i="23"/>
  <c r="J275" i="23"/>
  <c r="J276" i="23"/>
  <c r="J277" i="23"/>
  <c r="J278" i="23"/>
  <c r="J279" i="23"/>
  <c r="J280" i="23"/>
  <c r="J281" i="23"/>
  <c r="J282" i="23"/>
  <c r="J283" i="23"/>
  <c r="J284" i="23"/>
  <c r="J285" i="23"/>
  <c r="J286" i="23"/>
  <c r="J287" i="23"/>
  <c r="J288" i="23"/>
  <c r="J289" i="23"/>
  <c r="J290" i="23"/>
  <c r="J291" i="23"/>
  <c r="J292" i="23"/>
  <c r="J293" i="23"/>
  <c r="J294" i="23"/>
  <c r="J295" i="23"/>
  <c r="J296" i="23"/>
  <c r="J297" i="23"/>
  <c r="J298" i="23"/>
  <c r="J299" i="23"/>
  <c r="J300" i="23"/>
  <c r="J301" i="23"/>
  <c r="J302" i="23"/>
  <c r="J303" i="23"/>
  <c r="J304" i="23"/>
  <c r="J305" i="23"/>
  <c r="J306" i="23"/>
  <c r="J307" i="23"/>
  <c r="J308" i="23"/>
  <c r="J309" i="23"/>
  <c r="J310" i="23"/>
  <c r="J311" i="23"/>
  <c r="J312" i="23"/>
  <c r="J313" i="23"/>
  <c r="J314" i="23"/>
  <c r="J315" i="23"/>
  <c r="J316" i="23"/>
  <c r="J317" i="23"/>
  <c r="J318" i="23"/>
  <c r="J319" i="23"/>
  <c r="J320" i="23"/>
  <c r="J321" i="23"/>
  <c r="J322" i="23"/>
  <c r="J323" i="23"/>
  <c r="J324" i="23"/>
  <c r="J325" i="23"/>
  <c r="J326" i="23"/>
  <c r="J327" i="23"/>
  <c r="J328" i="23"/>
  <c r="J329" i="23"/>
  <c r="J330" i="23"/>
  <c r="J331" i="23"/>
  <c r="J332" i="23"/>
  <c r="J333" i="23"/>
  <c r="J334" i="23"/>
  <c r="J335" i="23"/>
  <c r="J336" i="23"/>
  <c r="J337" i="23"/>
  <c r="J338" i="23"/>
  <c r="J339" i="23"/>
  <c r="J340" i="23"/>
  <c r="J341" i="23"/>
  <c r="J342" i="23"/>
  <c r="J343" i="23"/>
  <c r="J344" i="23"/>
  <c r="J345" i="23"/>
  <c r="J346" i="23"/>
  <c r="J347" i="23"/>
  <c r="J348" i="23"/>
  <c r="J349" i="23"/>
  <c r="J350" i="23"/>
  <c r="J351" i="23"/>
  <c r="J352" i="23"/>
  <c r="J353" i="23"/>
  <c r="J354" i="23"/>
  <c r="J355" i="23"/>
  <c r="J356" i="23"/>
  <c r="J357" i="23"/>
  <c r="J358" i="23"/>
  <c r="J359" i="23"/>
  <c r="J360" i="23"/>
  <c r="J361" i="23"/>
  <c r="J362" i="23"/>
  <c r="J363" i="23"/>
  <c r="J364" i="23"/>
  <c r="J365" i="23"/>
  <c r="J366" i="23"/>
  <c r="J367" i="23"/>
  <c r="J368" i="23"/>
  <c r="J369" i="23"/>
  <c r="J370" i="23"/>
  <c r="J371" i="23"/>
  <c r="J372" i="23"/>
  <c r="J373" i="23"/>
  <c r="J374" i="23"/>
  <c r="J375" i="23"/>
  <c r="J376" i="23"/>
  <c r="J377" i="23"/>
  <c r="J378" i="23"/>
  <c r="J379" i="23"/>
  <c r="J380" i="23"/>
  <c r="J381" i="23"/>
  <c r="J382" i="23"/>
  <c r="J383" i="23"/>
  <c r="J384" i="23"/>
  <c r="J385" i="23"/>
  <c r="J386" i="23"/>
  <c r="J387" i="23"/>
  <c r="J388" i="23"/>
  <c r="J389" i="23"/>
  <c r="J390" i="23"/>
  <c r="J391" i="23"/>
  <c r="J392" i="23"/>
  <c r="J393" i="23"/>
  <c r="J394" i="23"/>
  <c r="J395" i="23"/>
  <c r="J396" i="23"/>
  <c r="J397" i="23"/>
  <c r="J398" i="23"/>
  <c r="J399" i="23"/>
  <c r="J400" i="23"/>
  <c r="J401" i="23"/>
  <c r="J402" i="23"/>
  <c r="J403" i="23"/>
  <c r="J404" i="23"/>
  <c r="J405" i="23"/>
  <c r="J406" i="23"/>
  <c r="J407" i="23"/>
  <c r="J408" i="23"/>
  <c r="J409" i="23"/>
  <c r="J410" i="23"/>
  <c r="J411" i="23"/>
  <c r="J412" i="23"/>
  <c r="J413" i="23"/>
  <c r="J414" i="23"/>
  <c r="J415" i="23"/>
  <c r="J416" i="23"/>
  <c r="J417" i="23"/>
  <c r="J418" i="23"/>
  <c r="J419" i="23"/>
  <c r="J420" i="23"/>
  <c r="J421" i="23"/>
  <c r="J422" i="23"/>
  <c r="J423" i="23"/>
  <c r="J424" i="23"/>
  <c r="J425" i="23"/>
  <c r="J426" i="23"/>
  <c r="J427" i="23"/>
  <c r="J428" i="23"/>
  <c r="J429" i="23"/>
  <c r="J430" i="23"/>
  <c r="J431" i="23"/>
  <c r="J432" i="23"/>
  <c r="J433" i="23"/>
  <c r="J434" i="23"/>
  <c r="J435" i="23"/>
  <c r="J436" i="23"/>
  <c r="J437" i="23"/>
  <c r="J438" i="23"/>
  <c r="J439" i="23"/>
  <c r="J440" i="23"/>
  <c r="J441" i="23"/>
  <c r="J442" i="23"/>
  <c r="J443" i="23"/>
  <c r="J444" i="23"/>
  <c r="J445" i="23"/>
  <c r="J446" i="23"/>
  <c r="J447" i="23"/>
  <c r="J448" i="23"/>
  <c r="J449" i="23"/>
  <c r="J450" i="23"/>
  <c r="J451" i="23"/>
  <c r="J452" i="23"/>
  <c r="J453" i="23"/>
  <c r="J454" i="23"/>
  <c r="J455" i="23"/>
  <c r="J456" i="23"/>
  <c r="J457" i="23"/>
  <c r="J458" i="23"/>
  <c r="J459" i="23"/>
  <c r="J460" i="23"/>
  <c r="J461" i="23"/>
  <c r="J462" i="23"/>
  <c r="J463" i="23"/>
  <c r="J464" i="23"/>
  <c r="J465" i="23"/>
  <c r="J466" i="23"/>
  <c r="J467" i="23"/>
  <c r="J468" i="23"/>
  <c r="J469" i="23"/>
  <c r="J470" i="23"/>
  <c r="J471" i="23"/>
  <c r="J472" i="23"/>
  <c r="J473" i="23"/>
  <c r="J474" i="23"/>
  <c r="J475" i="23"/>
  <c r="J476" i="23"/>
  <c r="J477" i="23"/>
  <c r="J478" i="23"/>
  <c r="J479" i="23"/>
  <c r="J480" i="23"/>
  <c r="J481" i="23"/>
  <c r="J482" i="23"/>
  <c r="J483" i="23"/>
  <c r="J484" i="23"/>
  <c r="J485" i="23"/>
  <c r="J486" i="23"/>
  <c r="J487" i="23"/>
  <c r="J488" i="23"/>
  <c r="J489" i="23"/>
  <c r="J490" i="23"/>
  <c r="J491" i="23"/>
  <c r="J492" i="23"/>
  <c r="J493" i="23"/>
  <c r="J494" i="23"/>
  <c r="J495" i="23"/>
  <c r="J496" i="23"/>
  <c r="J497" i="23"/>
  <c r="J498" i="23"/>
  <c r="J499" i="23"/>
  <c r="J500" i="23"/>
  <c r="J501" i="23"/>
  <c r="J502" i="23"/>
  <c r="J503" i="23"/>
  <c r="J504" i="23"/>
  <c r="J505" i="23"/>
  <c r="J506" i="23"/>
  <c r="J507" i="23"/>
  <c r="J508" i="23"/>
  <c r="J509" i="23"/>
  <c r="J510" i="23"/>
  <c r="J511" i="23"/>
  <c r="J512" i="23"/>
  <c r="J513" i="23"/>
  <c r="J514" i="23"/>
  <c r="J515" i="23"/>
  <c r="J516" i="23"/>
  <c r="J517" i="23"/>
  <c r="J518" i="23"/>
  <c r="J519" i="23"/>
  <c r="J520" i="23"/>
  <c r="J521" i="23"/>
  <c r="J522" i="23"/>
  <c r="J523" i="23"/>
  <c r="J524" i="23"/>
  <c r="J525" i="23"/>
  <c r="J526" i="23"/>
  <c r="J527" i="23"/>
  <c r="J528" i="23"/>
  <c r="J529" i="23"/>
  <c r="J530" i="23"/>
  <c r="J531" i="23"/>
  <c r="J532" i="23"/>
  <c r="J533" i="23"/>
  <c r="J534" i="23"/>
  <c r="J535" i="23"/>
  <c r="J536" i="23"/>
  <c r="J537" i="23"/>
  <c r="J538" i="23"/>
  <c r="J539" i="23"/>
  <c r="J540" i="23"/>
  <c r="J541" i="23"/>
  <c r="J542" i="23"/>
  <c r="J543" i="23"/>
  <c r="J544" i="23"/>
  <c r="J545" i="23"/>
  <c r="J546" i="23"/>
  <c r="J547" i="23"/>
  <c r="J548" i="23"/>
  <c r="J549" i="23"/>
  <c r="J550" i="23"/>
  <c r="J551" i="23"/>
  <c r="J552" i="23"/>
  <c r="J553" i="23"/>
  <c r="J554" i="23"/>
  <c r="J555" i="23"/>
  <c r="J556" i="23"/>
  <c r="J557" i="23"/>
  <c r="J558" i="23"/>
  <c r="J559" i="23"/>
  <c r="J560" i="23"/>
  <c r="J561" i="23"/>
  <c r="J562" i="23"/>
  <c r="J563" i="23"/>
  <c r="J564" i="23"/>
  <c r="J565" i="23"/>
  <c r="J566" i="23"/>
  <c r="J567" i="23"/>
  <c r="J568" i="23"/>
  <c r="J569" i="23"/>
  <c r="J570" i="23"/>
  <c r="J571" i="23"/>
  <c r="J572" i="23"/>
  <c r="J573" i="23"/>
  <c r="J574" i="23"/>
  <c r="J575" i="23"/>
  <c r="J576" i="23"/>
  <c r="J577" i="23"/>
  <c r="J578" i="23"/>
  <c r="J579" i="23"/>
  <c r="J580" i="23"/>
  <c r="J581" i="23"/>
  <c r="J582" i="23"/>
  <c r="J583" i="23"/>
  <c r="J584" i="23"/>
  <c r="J585" i="23"/>
  <c r="J586" i="23"/>
  <c r="J587" i="23"/>
  <c r="J588" i="23"/>
  <c r="J589" i="23"/>
  <c r="J590" i="23"/>
  <c r="J591" i="23"/>
  <c r="J592" i="23"/>
  <c r="J593" i="23"/>
  <c r="J594" i="23"/>
  <c r="J595" i="23"/>
  <c r="J596" i="23"/>
  <c r="J597" i="23"/>
  <c r="J598" i="23"/>
  <c r="J599" i="23"/>
  <c r="J600" i="23"/>
  <c r="J601" i="23"/>
  <c r="J602" i="23"/>
  <c r="J603" i="23"/>
  <c r="J604" i="23"/>
  <c r="J605" i="23"/>
  <c r="J606" i="23"/>
  <c r="J607" i="23"/>
  <c r="J608" i="23"/>
  <c r="J609" i="23"/>
  <c r="J610" i="23"/>
  <c r="J611" i="23"/>
  <c r="J612" i="23"/>
  <c r="J613" i="23"/>
  <c r="J614" i="23"/>
  <c r="J615" i="23"/>
  <c r="J616" i="23"/>
  <c r="J617" i="23"/>
  <c r="J618" i="23"/>
  <c r="J619" i="23"/>
  <c r="J620" i="23"/>
  <c r="J621" i="23"/>
  <c r="J622" i="23"/>
  <c r="J623" i="23"/>
  <c r="J624" i="23"/>
  <c r="J625" i="23"/>
  <c r="J626" i="23"/>
  <c r="J627" i="23"/>
  <c r="J628" i="23"/>
  <c r="J629" i="23"/>
  <c r="J630" i="23"/>
  <c r="J631" i="23"/>
  <c r="J632" i="23"/>
  <c r="J633" i="23"/>
  <c r="J634" i="23"/>
  <c r="J635" i="23"/>
  <c r="J636" i="23"/>
  <c r="J637" i="23"/>
  <c r="J638" i="23"/>
  <c r="J639" i="23"/>
  <c r="J640" i="23"/>
  <c r="J2" i="23"/>
  <c r="I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I205" i="23"/>
  <c r="I206" i="23"/>
  <c r="I207" i="23"/>
  <c r="I208" i="23"/>
  <c r="I209" i="23"/>
  <c r="I210" i="23"/>
  <c r="I211" i="23"/>
  <c r="I212" i="23"/>
  <c r="I213" i="23"/>
  <c r="I214" i="23"/>
  <c r="I215" i="23"/>
  <c r="I216" i="23"/>
  <c r="I217" i="23"/>
  <c r="I218" i="23"/>
  <c r="I219" i="23"/>
  <c r="I220" i="23"/>
  <c r="I221" i="23"/>
  <c r="I222" i="23"/>
  <c r="I223" i="23"/>
  <c r="I224" i="23"/>
  <c r="I225" i="23"/>
  <c r="I226" i="23"/>
  <c r="I227" i="23"/>
  <c r="I228" i="23"/>
  <c r="I229" i="23"/>
  <c r="I230" i="23"/>
  <c r="I231" i="23"/>
  <c r="I232" i="23"/>
  <c r="I233" i="23"/>
  <c r="I234" i="23"/>
  <c r="I235" i="23"/>
  <c r="I236" i="23"/>
  <c r="I237" i="23"/>
  <c r="I238" i="23"/>
  <c r="I239" i="23"/>
  <c r="I240" i="23"/>
  <c r="I241" i="23"/>
  <c r="I242" i="23"/>
  <c r="I243" i="23"/>
  <c r="I244" i="23"/>
  <c r="I245" i="23"/>
  <c r="I246" i="23"/>
  <c r="I247" i="23"/>
  <c r="I248" i="23"/>
  <c r="I249" i="23"/>
  <c r="I250" i="23"/>
  <c r="I251" i="23"/>
  <c r="I252" i="23"/>
  <c r="I253" i="23"/>
  <c r="I254" i="23"/>
  <c r="I255" i="23"/>
  <c r="I256" i="23"/>
  <c r="I257" i="23"/>
  <c r="I258" i="23"/>
  <c r="I259" i="23"/>
  <c r="I260" i="23"/>
  <c r="I261" i="23"/>
  <c r="I262" i="23"/>
  <c r="I263" i="23"/>
  <c r="I264" i="23"/>
  <c r="I265" i="23"/>
  <c r="I266" i="23"/>
  <c r="I267" i="23"/>
  <c r="I268" i="23"/>
  <c r="I269" i="23"/>
  <c r="I270" i="23"/>
  <c r="I271" i="23"/>
  <c r="I272" i="23"/>
  <c r="I273" i="23"/>
  <c r="I274" i="23"/>
  <c r="I275" i="23"/>
  <c r="I276" i="23"/>
  <c r="I277" i="23"/>
  <c r="I278" i="23"/>
  <c r="I279" i="23"/>
  <c r="I280" i="23"/>
  <c r="I281" i="23"/>
  <c r="I282" i="23"/>
  <c r="I283" i="23"/>
  <c r="I284" i="23"/>
  <c r="I285" i="23"/>
  <c r="I286" i="23"/>
  <c r="I287" i="23"/>
  <c r="I288" i="23"/>
  <c r="I289" i="23"/>
  <c r="I290" i="23"/>
  <c r="I291" i="23"/>
  <c r="I292" i="23"/>
  <c r="I293" i="23"/>
  <c r="I294" i="23"/>
  <c r="I295" i="23"/>
  <c r="I296" i="23"/>
  <c r="I297" i="23"/>
  <c r="I298" i="23"/>
  <c r="I299" i="23"/>
  <c r="I300" i="23"/>
  <c r="I301" i="23"/>
  <c r="I302" i="23"/>
  <c r="I303" i="23"/>
  <c r="I304" i="23"/>
  <c r="I305" i="23"/>
  <c r="I306" i="23"/>
  <c r="I307" i="23"/>
  <c r="I308" i="23"/>
  <c r="I309" i="23"/>
  <c r="I310" i="23"/>
  <c r="I311" i="23"/>
  <c r="I312" i="23"/>
  <c r="I313" i="23"/>
  <c r="I314" i="23"/>
  <c r="I315" i="23"/>
  <c r="I316" i="23"/>
  <c r="I317" i="23"/>
  <c r="I318" i="23"/>
  <c r="I319" i="23"/>
  <c r="I320" i="23"/>
  <c r="I321" i="23"/>
  <c r="I322" i="23"/>
  <c r="I323" i="23"/>
  <c r="I324" i="23"/>
  <c r="I325" i="23"/>
  <c r="I326" i="23"/>
  <c r="I327" i="23"/>
  <c r="I328" i="23"/>
  <c r="I329" i="23"/>
  <c r="I330" i="23"/>
  <c r="I331" i="23"/>
  <c r="I332" i="23"/>
  <c r="I333" i="23"/>
  <c r="I334" i="23"/>
  <c r="I335" i="23"/>
  <c r="I336" i="23"/>
  <c r="I337" i="23"/>
  <c r="I338" i="23"/>
  <c r="I339" i="23"/>
  <c r="I340" i="23"/>
  <c r="I341" i="23"/>
  <c r="I342" i="23"/>
  <c r="I343" i="23"/>
  <c r="I344" i="23"/>
  <c r="I345" i="23"/>
  <c r="I346" i="23"/>
  <c r="I347" i="23"/>
  <c r="I348" i="23"/>
  <c r="I349" i="23"/>
  <c r="I350" i="23"/>
  <c r="I351" i="23"/>
  <c r="I352" i="23"/>
  <c r="I353" i="23"/>
  <c r="I354" i="23"/>
  <c r="I355" i="23"/>
  <c r="I356" i="23"/>
  <c r="I357" i="23"/>
  <c r="I358" i="23"/>
  <c r="I359" i="23"/>
  <c r="I360" i="23"/>
  <c r="I361" i="23"/>
  <c r="I362" i="23"/>
  <c r="I363" i="23"/>
  <c r="I364" i="23"/>
  <c r="I365" i="23"/>
  <c r="I366" i="23"/>
  <c r="I367" i="23"/>
  <c r="I368" i="23"/>
  <c r="I369" i="23"/>
  <c r="I370" i="23"/>
  <c r="I371" i="23"/>
  <c r="I372" i="23"/>
  <c r="I373" i="23"/>
  <c r="I374" i="23"/>
  <c r="I375" i="23"/>
  <c r="I376" i="23"/>
  <c r="I377" i="23"/>
  <c r="I378" i="23"/>
  <c r="I379" i="23"/>
  <c r="I380" i="23"/>
  <c r="I381" i="23"/>
  <c r="I382" i="23"/>
  <c r="I383" i="23"/>
  <c r="I384" i="23"/>
  <c r="I385" i="23"/>
  <c r="I386" i="23"/>
  <c r="I387" i="23"/>
  <c r="I388" i="23"/>
  <c r="I389" i="23"/>
  <c r="I390" i="23"/>
  <c r="I391" i="23"/>
  <c r="I392" i="23"/>
  <c r="I393" i="23"/>
  <c r="I394" i="23"/>
  <c r="I395" i="23"/>
  <c r="I396" i="23"/>
  <c r="I397" i="23"/>
  <c r="I398" i="23"/>
  <c r="I399" i="23"/>
  <c r="I400" i="23"/>
  <c r="I401" i="23"/>
  <c r="I402" i="23"/>
  <c r="I403" i="23"/>
  <c r="I404" i="23"/>
  <c r="I405" i="23"/>
  <c r="I406" i="23"/>
  <c r="I407" i="23"/>
  <c r="I408" i="23"/>
  <c r="I409" i="23"/>
  <c r="I410" i="23"/>
  <c r="I411" i="23"/>
  <c r="I412" i="23"/>
  <c r="I413" i="23"/>
  <c r="I414" i="23"/>
  <c r="I415" i="23"/>
  <c r="I416" i="23"/>
  <c r="I417" i="23"/>
  <c r="I418" i="23"/>
  <c r="I419" i="23"/>
  <c r="I420" i="23"/>
  <c r="I421" i="23"/>
  <c r="I422" i="23"/>
  <c r="I423" i="23"/>
  <c r="I424" i="23"/>
  <c r="I425" i="23"/>
  <c r="I426" i="23"/>
  <c r="I427" i="23"/>
  <c r="I428" i="23"/>
  <c r="I429" i="23"/>
  <c r="I430" i="23"/>
  <c r="I431" i="23"/>
  <c r="I432" i="23"/>
  <c r="I433" i="23"/>
  <c r="I434" i="23"/>
  <c r="I435" i="23"/>
  <c r="I436" i="23"/>
  <c r="I437" i="23"/>
  <c r="I438" i="23"/>
  <c r="I439" i="23"/>
  <c r="I440" i="23"/>
  <c r="I441" i="23"/>
  <c r="I442" i="23"/>
  <c r="I443" i="23"/>
  <c r="I444" i="23"/>
  <c r="I445" i="23"/>
  <c r="I446" i="23"/>
  <c r="I447" i="23"/>
  <c r="I448" i="23"/>
  <c r="I449" i="23"/>
  <c r="I450" i="23"/>
  <c r="I451" i="23"/>
  <c r="I452" i="23"/>
  <c r="I453" i="23"/>
  <c r="I454" i="23"/>
  <c r="I455" i="23"/>
  <c r="I456" i="23"/>
  <c r="I457" i="23"/>
  <c r="I458" i="23"/>
  <c r="I459" i="23"/>
  <c r="I460" i="23"/>
  <c r="I461" i="23"/>
  <c r="I462" i="23"/>
  <c r="I463" i="23"/>
  <c r="I464" i="23"/>
  <c r="I465" i="23"/>
  <c r="I466" i="23"/>
  <c r="I467" i="23"/>
  <c r="I468" i="23"/>
  <c r="I469" i="23"/>
  <c r="I470" i="23"/>
  <c r="I471" i="23"/>
  <c r="I472" i="23"/>
  <c r="I473" i="23"/>
  <c r="I474" i="23"/>
  <c r="I475" i="23"/>
  <c r="I476" i="23"/>
  <c r="I477" i="23"/>
  <c r="I478" i="23"/>
  <c r="I479" i="23"/>
  <c r="I480" i="23"/>
  <c r="I481" i="23"/>
  <c r="I482" i="23"/>
  <c r="I483" i="23"/>
  <c r="I484" i="23"/>
  <c r="I485" i="23"/>
  <c r="I486" i="23"/>
  <c r="I487" i="23"/>
  <c r="I488" i="23"/>
  <c r="I489" i="23"/>
  <c r="I490" i="23"/>
  <c r="I491" i="23"/>
  <c r="I492" i="23"/>
  <c r="I493" i="23"/>
  <c r="I494" i="23"/>
  <c r="I495" i="23"/>
  <c r="I496" i="23"/>
  <c r="I497" i="23"/>
  <c r="I498" i="23"/>
  <c r="I499" i="23"/>
  <c r="I500" i="23"/>
  <c r="I501" i="23"/>
  <c r="I502" i="23"/>
  <c r="I503" i="23"/>
  <c r="I504" i="23"/>
  <c r="I505" i="23"/>
  <c r="I506" i="23"/>
  <c r="I507" i="23"/>
  <c r="I508" i="23"/>
  <c r="I509" i="23"/>
  <c r="I510" i="23"/>
  <c r="I511" i="23"/>
  <c r="I512" i="23"/>
  <c r="I513" i="23"/>
  <c r="I514" i="23"/>
  <c r="I515" i="23"/>
  <c r="I516" i="23"/>
  <c r="I517" i="23"/>
  <c r="I518" i="23"/>
  <c r="I519" i="23"/>
  <c r="I520" i="23"/>
  <c r="I521" i="23"/>
  <c r="I522" i="23"/>
  <c r="I523" i="23"/>
  <c r="I524" i="23"/>
  <c r="I525" i="23"/>
  <c r="I526" i="23"/>
  <c r="I527" i="23"/>
  <c r="I528" i="23"/>
  <c r="I529" i="23"/>
  <c r="I530" i="23"/>
  <c r="I531" i="23"/>
  <c r="I532" i="23"/>
  <c r="I533" i="23"/>
  <c r="I534" i="23"/>
  <c r="I535" i="23"/>
  <c r="I536" i="23"/>
  <c r="I537" i="23"/>
  <c r="I538" i="23"/>
  <c r="I539" i="23"/>
  <c r="I540" i="23"/>
  <c r="I541" i="23"/>
  <c r="I542" i="23"/>
  <c r="I543" i="23"/>
  <c r="I544" i="23"/>
  <c r="I545" i="23"/>
  <c r="I546" i="23"/>
  <c r="I547" i="23"/>
  <c r="I548" i="23"/>
  <c r="I549" i="23"/>
  <c r="I550" i="23"/>
  <c r="I551" i="23"/>
  <c r="I552" i="23"/>
  <c r="I553" i="23"/>
  <c r="I554" i="23"/>
  <c r="I555" i="23"/>
  <c r="I556" i="23"/>
  <c r="I557" i="23"/>
  <c r="I558" i="23"/>
  <c r="I559" i="23"/>
  <c r="I560" i="23"/>
  <c r="I561" i="23"/>
  <c r="I562" i="23"/>
  <c r="I563" i="23"/>
  <c r="I564" i="23"/>
  <c r="I565" i="23"/>
  <c r="I566" i="23"/>
  <c r="I567" i="23"/>
  <c r="I568" i="23"/>
  <c r="I569" i="23"/>
  <c r="I570" i="23"/>
  <c r="I571" i="23"/>
  <c r="I572" i="23"/>
  <c r="I573" i="23"/>
  <c r="I574" i="23"/>
  <c r="I575" i="23"/>
  <c r="I576" i="23"/>
  <c r="I577" i="23"/>
  <c r="I578" i="23"/>
  <c r="I579" i="23"/>
  <c r="I580" i="23"/>
  <c r="I581" i="23"/>
  <c r="I582" i="23"/>
  <c r="I583" i="23"/>
  <c r="I584" i="23"/>
  <c r="I585" i="23"/>
  <c r="I586" i="23"/>
  <c r="I587" i="23"/>
  <c r="I588" i="23"/>
  <c r="I589" i="23"/>
  <c r="I590" i="23"/>
  <c r="I591" i="23"/>
  <c r="I592" i="23"/>
  <c r="I593" i="23"/>
  <c r="I594" i="23"/>
  <c r="I595" i="23"/>
  <c r="I596" i="23"/>
  <c r="I597" i="23"/>
  <c r="I598" i="23"/>
  <c r="I599" i="23"/>
  <c r="I600" i="23"/>
  <c r="I601" i="23"/>
  <c r="I602" i="23"/>
  <c r="I603" i="23"/>
  <c r="I604" i="23"/>
  <c r="I605" i="23"/>
  <c r="I606" i="23"/>
  <c r="I607" i="23"/>
  <c r="I608" i="23"/>
  <c r="I609" i="23"/>
  <c r="I610" i="23"/>
  <c r="I611" i="23"/>
  <c r="I612" i="23"/>
  <c r="I613" i="23"/>
  <c r="I614" i="23"/>
  <c r="I615" i="23"/>
  <c r="I616" i="23"/>
  <c r="I617" i="23"/>
  <c r="I618" i="23"/>
  <c r="I619" i="23"/>
  <c r="I620" i="23"/>
  <c r="I621" i="23"/>
  <c r="I622" i="23"/>
  <c r="I623" i="23"/>
  <c r="I624" i="23"/>
  <c r="I625" i="23"/>
  <c r="I626" i="23"/>
  <c r="I627" i="23"/>
  <c r="I628" i="23"/>
  <c r="I629" i="23"/>
  <c r="I630" i="23"/>
  <c r="I631" i="23"/>
  <c r="I632" i="23"/>
  <c r="I633" i="23"/>
  <c r="I634" i="23"/>
  <c r="I635" i="23"/>
  <c r="I636" i="23"/>
  <c r="I637" i="23"/>
  <c r="I638" i="23"/>
  <c r="I639" i="23"/>
  <c r="I640" i="23"/>
  <c r="I2" i="23"/>
  <c r="H2" i="23" l="1"/>
  <c r="D2" i="23" l="1"/>
  <c r="C641" i="23"/>
  <c r="C642" i="23"/>
  <c r="C643" i="23"/>
  <c r="C644" i="23"/>
  <c r="C645" i="23"/>
  <c r="C646" i="23"/>
  <c r="C647" i="23"/>
  <c r="C648" i="23"/>
  <c r="C649" i="23"/>
  <c r="C650" i="23"/>
  <c r="C651" i="23"/>
  <c r="C652" i="23"/>
  <c r="C653" i="23"/>
  <c r="C654" i="23"/>
  <c r="C655" i="23"/>
  <c r="C656" i="23"/>
  <c r="C657" i="23"/>
  <c r="C658" i="23"/>
  <c r="C659" i="23"/>
  <c r="C660" i="23"/>
  <c r="C661" i="23"/>
  <c r="C662" i="23"/>
  <c r="C663" i="23"/>
  <c r="C664" i="23"/>
  <c r="C665" i="23"/>
  <c r="C666" i="23"/>
  <c r="C667" i="23"/>
  <c r="C668" i="23"/>
  <c r="C669" i="23"/>
  <c r="C670" i="23"/>
  <c r="C671" i="23"/>
  <c r="C672" i="23"/>
  <c r="C673" i="23"/>
  <c r="C674" i="23"/>
  <c r="C675" i="23"/>
  <c r="C676" i="23"/>
  <c r="C677" i="23"/>
  <c r="C678" i="23"/>
  <c r="C679" i="23"/>
  <c r="C680" i="23"/>
  <c r="C681" i="23"/>
  <c r="C682" i="23"/>
  <c r="C683" i="23"/>
  <c r="C684" i="23"/>
  <c r="C685" i="23"/>
  <c r="C686" i="23"/>
  <c r="C687" i="23"/>
  <c r="C688" i="23"/>
  <c r="C689" i="23"/>
  <c r="C690" i="23"/>
  <c r="C691" i="23"/>
  <c r="C692" i="23"/>
  <c r="C693" i="23"/>
  <c r="C694" i="23"/>
  <c r="C695" i="23"/>
  <c r="C696" i="23"/>
  <c r="C697" i="23"/>
  <c r="C698" i="23"/>
  <c r="C699" i="23"/>
  <c r="C700" i="23"/>
  <c r="C701" i="23"/>
  <c r="C702" i="23"/>
  <c r="C703" i="23"/>
  <c r="C704" i="23"/>
  <c r="C705" i="23"/>
  <c r="C706" i="23"/>
  <c r="C707" i="23"/>
  <c r="C708" i="23"/>
  <c r="C709" i="23"/>
  <c r="C710" i="23"/>
  <c r="C711" i="23"/>
  <c r="C712" i="23"/>
  <c r="C713" i="23"/>
  <c r="C714" i="23"/>
  <c r="C715" i="23"/>
  <c r="C716" i="23"/>
  <c r="C717" i="23"/>
  <c r="C718" i="23"/>
  <c r="C719" i="23"/>
  <c r="C720" i="23"/>
  <c r="C721" i="23"/>
  <c r="C722" i="23"/>
  <c r="C723" i="23"/>
  <c r="C724" i="23"/>
  <c r="C725" i="23"/>
  <c r="C726" i="23"/>
  <c r="C727" i="23"/>
  <c r="C728" i="23"/>
  <c r="C729" i="23"/>
  <c r="C730" i="23"/>
  <c r="C731" i="23"/>
  <c r="C732" i="23"/>
  <c r="C733" i="23"/>
  <c r="C734" i="23"/>
  <c r="C735" i="23"/>
  <c r="C736" i="23"/>
  <c r="C737" i="23"/>
  <c r="C738" i="23"/>
  <c r="C739" i="23"/>
  <c r="C740" i="23"/>
  <c r="C741" i="23"/>
  <c r="C742" i="23"/>
  <c r="C743" i="23"/>
  <c r="C744" i="23"/>
  <c r="C745" i="23"/>
  <c r="C746" i="23"/>
  <c r="C747" i="23"/>
  <c r="C748" i="23"/>
  <c r="C749" i="23"/>
  <c r="C750" i="23"/>
  <c r="C751" i="23"/>
  <c r="C752" i="23"/>
  <c r="C753" i="23"/>
  <c r="C754" i="23"/>
  <c r="C755" i="23"/>
  <c r="C756" i="23"/>
  <c r="C757" i="23"/>
  <c r="C758" i="23"/>
  <c r="C759" i="23"/>
  <c r="C760" i="23"/>
  <c r="C761" i="23"/>
  <c r="C762" i="23"/>
  <c r="C763" i="23"/>
  <c r="C764" i="23"/>
  <c r="C765" i="23"/>
  <c r="C766" i="23"/>
  <c r="C767" i="23"/>
  <c r="C768" i="23"/>
  <c r="C769" i="23"/>
  <c r="C770" i="23"/>
  <c r="C771" i="23"/>
  <c r="C772" i="23"/>
  <c r="C773" i="23"/>
  <c r="C774" i="23"/>
  <c r="C775" i="23"/>
  <c r="C776" i="23"/>
  <c r="C777" i="23"/>
  <c r="C778" i="23"/>
  <c r="C779" i="23"/>
  <c r="C780" i="23"/>
  <c r="C781" i="23"/>
  <c r="C782" i="23"/>
  <c r="C783" i="23"/>
  <c r="C784" i="23"/>
  <c r="C785" i="23"/>
  <c r="C786" i="23"/>
  <c r="C787" i="23"/>
  <c r="C788" i="23"/>
  <c r="C789" i="23"/>
  <c r="C790" i="23"/>
  <c r="C791" i="23"/>
  <c r="C792" i="23"/>
  <c r="C793" i="23"/>
  <c r="C794" i="23"/>
  <c r="C795" i="23"/>
  <c r="C796" i="23"/>
  <c r="C797" i="23"/>
  <c r="C798" i="23"/>
  <c r="C799" i="23"/>
  <c r="C800" i="23"/>
  <c r="C801" i="23"/>
  <c r="C802" i="23"/>
  <c r="C803" i="23"/>
  <c r="C804" i="23"/>
  <c r="C805" i="23"/>
  <c r="C806" i="23"/>
  <c r="C807" i="23"/>
  <c r="C808" i="23"/>
  <c r="C809" i="23"/>
  <c r="C810" i="23"/>
  <c r="C811" i="23"/>
  <c r="C812" i="23"/>
  <c r="C813" i="23"/>
  <c r="C814" i="23"/>
  <c r="C815" i="23"/>
  <c r="C816" i="23"/>
  <c r="C817" i="23"/>
  <c r="C818" i="23"/>
  <c r="C819" i="23"/>
  <c r="C820" i="23"/>
  <c r="C821" i="23"/>
  <c r="C822" i="23"/>
  <c r="C823" i="23"/>
  <c r="C824" i="23"/>
  <c r="C825" i="23"/>
  <c r="C826" i="23"/>
  <c r="C827" i="23"/>
  <c r="C828" i="23"/>
  <c r="C829" i="23"/>
  <c r="C830" i="23"/>
  <c r="C831" i="23"/>
  <c r="C832" i="23"/>
  <c r="C833" i="23"/>
  <c r="C834" i="23"/>
  <c r="C835" i="23"/>
  <c r="C836" i="23"/>
  <c r="C837" i="23"/>
  <c r="C838" i="23"/>
  <c r="C839" i="23"/>
  <c r="C840" i="23"/>
  <c r="C841" i="23"/>
  <c r="C842" i="23"/>
  <c r="C843" i="23"/>
  <c r="C844" i="23"/>
  <c r="C845" i="23"/>
  <c r="C846" i="23"/>
  <c r="C847" i="23"/>
  <c r="C848" i="23"/>
  <c r="C849" i="23"/>
  <c r="C850" i="23"/>
  <c r="C851" i="23"/>
  <c r="C852" i="23"/>
  <c r="C853" i="23"/>
  <c r="C854" i="23"/>
  <c r="C855" i="23"/>
  <c r="C856" i="23"/>
  <c r="C857" i="23"/>
  <c r="C858" i="23"/>
  <c r="C859" i="23"/>
  <c r="C860" i="23"/>
  <c r="C861" i="23"/>
  <c r="C862" i="23"/>
  <c r="C863" i="23"/>
  <c r="C864" i="23"/>
  <c r="C865" i="23"/>
  <c r="C866" i="23"/>
  <c r="C867" i="23"/>
  <c r="C868" i="23"/>
  <c r="C869" i="23"/>
  <c r="C870" i="23"/>
  <c r="C871" i="23"/>
  <c r="C872" i="23"/>
  <c r="C873" i="23"/>
  <c r="C874" i="23"/>
  <c r="C875" i="23"/>
  <c r="C876" i="23"/>
  <c r="C877" i="23"/>
  <c r="C878" i="23"/>
  <c r="C879" i="23"/>
  <c r="C880" i="23"/>
  <c r="C881" i="23"/>
  <c r="C882" i="23"/>
  <c r="C883" i="23"/>
  <c r="C884" i="23"/>
  <c r="C885" i="23"/>
  <c r="C886" i="23"/>
  <c r="C887" i="23"/>
  <c r="C888" i="23"/>
  <c r="C889" i="23"/>
  <c r="C890" i="23"/>
  <c r="C891" i="23"/>
  <c r="C892" i="23"/>
  <c r="C893" i="23"/>
  <c r="C894" i="23"/>
  <c r="C895" i="23"/>
  <c r="C896" i="23"/>
  <c r="C897" i="23"/>
  <c r="C898" i="23"/>
  <c r="C899" i="23"/>
  <c r="C900" i="23"/>
  <c r="C901" i="23"/>
  <c r="C902" i="23"/>
  <c r="C903" i="23"/>
  <c r="C904" i="23"/>
  <c r="C905" i="23"/>
  <c r="C906" i="23"/>
  <c r="C907" i="23"/>
  <c r="C908" i="23"/>
  <c r="C909" i="23"/>
  <c r="C910" i="23"/>
  <c r="C911" i="23"/>
  <c r="C912" i="23"/>
  <c r="C913" i="23"/>
  <c r="C914" i="23"/>
  <c r="C915" i="23"/>
  <c r="C916" i="23"/>
  <c r="C917" i="23"/>
  <c r="C918" i="23"/>
  <c r="C919" i="23"/>
  <c r="C920" i="23"/>
  <c r="C921" i="23"/>
  <c r="C922" i="23"/>
  <c r="C923" i="23"/>
  <c r="C924" i="23"/>
  <c r="C925" i="23"/>
  <c r="C926" i="23"/>
  <c r="C927" i="23"/>
  <c r="C928" i="23"/>
  <c r="C929" i="23"/>
  <c r="C930" i="23"/>
  <c r="C931" i="23"/>
  <c r="C932" i="23"/>
  <c r="C933" i="23"/>
  <c r="C934" i="23"/>
  <c r="C935" i="23"/>
  <c r="C936" i="23"/>
  <c r="C937" i="23"/>
  <c r="C938" i="23"/>
  <c r="C939" i="23"/>
  <c r="C940" i="23"/>
  <c r="C941" i="23"/>
  <c r="C942" i="23"/>
  <c r="C943" i="23"/>
  <c r="C944" i="23"/>
  <c r="C945" i="23"/>
  <c r="C946" i="23"/>
  <c r="C947" i="23"/>
  <c r="C948" i="23"/>
  <c r="C949" i="23"/>
  <c r="C950" i="23"/>
  <c r="C951" i="23"/>
  <c r="C952" i="23"/>
  <c r="C953" i="23"/>
  <c r="C954" i="23"/>
  <c r="C955" i="23"/>
  <c r="C956" i="23"/>
  <c r="C957" i="23"/>
  <c r="C958" i="23"/>
  <c r="C959" i="23"/>
  <c r="C960" i="23"/>
  <c r="C961" i="23"/>
  <c r="C962" i="23"/>
  <c r="C963" i="23"/>
  <c r="C964" i="23"/>
  <c r="C965" i="23"/>
  <c r="C966" i="23"/>
  <c r="C967" i="23"/>
  <c r="C968" i="23"/>
  <c r="C969" i="23"/>
  <c r="C970" i="23"/>
  <c r="C971" i="23"/>
  <c r="C972" i="23"/>
  <c r="C973" i="23"/>
  <c r="C974" i="23"/>
  <c r="C975" i="23"/>
  <c r="C976" i="23"/>
  <c r="C977" i="23"/>
  <c r="C978" i="23"/>
  <c r="C979" i="23"/>
  <c r="C980" i="23"/>
  <c r="C981" i="23"/>
  <c r="C982" i="23"/>
  <c r="C983" i="23"/>
  <c r="C984" i="23"/>
  <c r="C985" i="23"/>
  <c r="C986" i="23"/>
  <c r="C987" i="23"/>
  <c r="C988" i="23"/>
  <c r="C989" i="23"/>
  <c r="C990" i="23"/>
  <c r="C991" i="23"/>
  <c r="C992" i="23"/>
  <c r="C993" i="23"/>
  <c r="C994" i="23"/>
  <c r="C995" i="23"/>
  <c r="C996" i="23"/>
  <c r="C997" i="23"/>
  <c r="C998" i="23"/>
  <c r="C999" i="23"/>
  <c r="C1000" i="23"/>
  <c r="C1001" i="23"/>
  <c r="C1002" i="23"/>
  <c r="C1003" i="23"/>
  <c r="C1004" i="23"/>
  <c r="C1005" i="23"/>
  <c r="C1006" i="23"/>
  <c r="C1007" i="23"/>
  <c r="C1008" i="23"/>
  <c r="C1009" i="23"/>
  <c r="C1010" i="23"/>
  <c r="C1011" i="23"/>
  <c r="C1012" i="23"/>
  <c r="C1013" i="23"/>
  <c r="C1014" i="23"/>
  <c r="C1015" i="23"/>
  <c r="C1016" i="23"/>
  <c r="C1017" i="23"/>
  <c r="C1018" i="23"/>
  <c r="C1019" i="23"/>
  <c r="C1020" i="23"/>
  <c r="C1021" i="23"/>
  <c r="C1022" i="23"/>
  <c r="C1023" i="23"/>
  <c r="C1024" i="23"/>
  <c r="C1025" i="23"/>
  <c r="C1026" i="23"/>
  <c r="C1027" i="23"/>
  <c r="C1028" i="23"/>
  <c r="C1029" i="23"/>
  <c r="C1030" i="23"/>
  <c r="C1031" i="23"/>
  <c r="C1032" i="23"/>
  <c r="C1033" i="23"/>
  <c r="C1034" i="23"/>
  <c r="C1035" i="23"/>
  <c r="C1036" i="23"/>
  <c r="C1037" i="23"/>
  <c r="C1038" i="23"/>
  <c r="C1039" i="23"/>
  <c r="C1040" i="23"/>
  <c r="C1041" i="23"/>
  <c r="C1042" i="23"/>
  <c r="C1043" i="23"/>
  <c r="C1044" i="23"/>
  <c r="C1045" i="23"/>
  <c r="C1046" i="23"/>
  <c r="C1047" i="23"/>
  <c r="C1048" i="23"/>
  <c r="C1049" i="23"/>
  <c r="C1050" i="23"/>
  <c r="C1051" i="23"/>
  <c r="C1052" i="23"/>
  <c r="C1053" i="23"/>
  <c r="C1054" i="23"/>
  <c r="C1055" i="23"/>
  <c r="C1056" i="23"/>
  <c r="C1057" i="23"/>
  <c r="C1058" i="23"/>
  <c r="C1059" i="23"/>
  <c r="C1060" i="23"/>
  <c r="C1061" i="23"/>
  <c r="C1062" i="23"/>
  <c r="C1063" i="23"/>
  <c r="C1064" i="23"/>
  <c r="C1065" i="23"/>
  <c r="C1066" i="23"/>
  <c r="C1067" i="23"/>
  <c r="C1068" i="23"/>
  <c r="C1069" i="23"/>
  <c r="C1070" i="23"/>
  <c r="C1071" i="23"/>
  <c r="C1072" i="23"/>
  <c r="C1073" i="23"/>
  <c r="C1074" i="23"/>
  <c r="C1075" i="23"/>
  <c r="C1076" i="23"/>
  <c r="C1077" i="23"/>
  <c r="C1078" i="23"/>
  <c r="C1079" i="23"/>
  <c r="C1080" i="23"/>
  <c r="C1081" i="23"/>
  <c r="C1082" i="23"/>
  <c r="C1083" i="23"/>
  <c r="C1084" i="23"/>
  <c r="C1085" i="23"/>
  <c r="C1086" i="23"/>
  <c r="C1087" i="23"/>
  <c r="C1088" i="23"/>
  <c r="C1089" i="23"/>
  <c r="C1090" i="23"/>
  <c r="C1091" i="23"/>
  <c r="C1092" i="23"/>
  <c r="C1093" i="23"/>
  <c r="C1094" i="23"/>
  <c r="C1095" i="23"/>
  <c r="C1096" i="23"/>
  <c r="C1097" i="23"/>
  <c r="C1098" i="23"/>
  <c r="C1099" i="23"/>
  <c r="C1100" i="23"/>
  <c r="C1101" i="23"/>
  <c r="C1102" i="23"/>
  <c r="C1103" i="23"/>
  <c r="C1104" i="23"/>
  <c r="C1105" i="23"/>
  <c r="C1106" i="23"/>
  <c r="C1107" i="23"/>
  <c r="C1108" i="23"/>
  <c r="C1109" i="23"/>
  <c r="C1110" i="23"/>
  <c r="C1111" i="23"/>
  <c r="C1112" i="23"/>
  <c r="C1113" i="23"/>
  <c r="C1114" i="23"/>
  <c r="C1115" i="23"/>
  <c r="C1116" i="23"/>
  <c r="C1117" i="23"/>
  <c r="C1118" i="23"/>
  <c r="C1119" i="23"/>
  <c r="C1120" i="23"/>
  <c r="C1121" i="23"/>
  <c r="C1122" i="23"/>
  <c r="C1123" i="23"/>
  <c r="C1124" i="23"/>
  <c r="C1125" i="23"/>
  <c r="C1126" i="23"/>
  <c r="C1127" i="23"/>
  <c r="C1128" i="23"/>
  <c r="C1129" i="23"/>
  <c r="C1130" i="23"/>
  <c r="C1131" i="23"/>
  <c r="C1132" i="23"/>
  <c r="C1133" i="23"/>
  <c r="C1134" i="23"/>
  <c r="C1135" i="23"/>
  <c r="C1136" i="23"/>
  <c r="C1137" i="23"/>
  <c r="C1138" i="23"/>
  <c r="C1139" i="23"/>
  <c r="C1140" i="23"/>
  <c r="C1141" i="23"/>
  <c r="C1142" i="23"/>
  <c r="C1143" i="23"/>
  <c r="C1144" i="23"/>
  <c r="C1145" i="23"/>
  <c r="C1146" i="23"/>
  <c r="C1147" i="23"/>
  <c r="C1148" i="23"/>
  <c r="C1149" i="23"/>
  <c r="C1150" i="23"/>
  <c r="C1151" i="23"/>
  <c r="C1152" i="23"/>
  <c r="C1153" i="23"/>
  <c r="C1154" i="23"/>
  <c r="C1155" i="23"/>
  <c r="C1156" i="23"/>
  <c r="C1157" i="23"/>
  <c r="C1158" i="23"/>
  <c r="C1159" i="23"/>
  <c r="C1160" i="23"/>
  <c r="C1161" i="23"/>
  <c r="C1162" i="23"/>
  <c r="C1163" i="23"/>
  <c r="C1164" i="23"/>
  <c r="C1165" i="23"/>
  <c r="C1166" i="23"/>
  <c r="C1167" i="23"/>
  <c r="C1168" i="23"/>
  <c r="C1169" i="23"/>
  <c r="C1170" i="23"/>
  <c r="C1171" i="23"/>
  <c r="C1172" i="23"/>
  <c r="C1173" i="23"/>
  <c r="C1174" i="23"/>
  <c r="C1175" i="23"/>
  <c r="C1176" i="23"/>
  <c r="C1177" i="23"/>
  <c r="C1178" i="23"/>
  <c r="C1179" i="23"/>
  <c r="C1180" i="23"/>
  <c r="C1181" i="23"/>
  <c r="C1182" i="23"/>
  <c r="C1183" i="23"/>
  <c r="C1184" i="23"/>
  <c r="C1185" i="23"/>
  <c r="C1186" i="23"/>
  <c r="C1187" i="23"/>
  <c r="C1188" i="23"/>
  <c r="C1189" i="23"/>
  <c r="C1190" i="23"/>
  <c r="C1191" i="23"/>
  <c r="C1192" i="23"/>
  <c r="C1193" i="23"/>
  <c r="C1194" i="23"/>
  <c r="C1195" i="23"/>
  <c r="C1196" i="23"/>
  <c r="C1197" i="23"/>
  <c r="C1198" i="23"/>
  <c r="C1199" i="23"/>
  <c r="C1200" i="23"/>
  <c r="C1201" i="23"/>
  <c r="C1202" i="23"/>
  <c r="C1203" i="23"/>
  <c r="C1204" i="23"/>
  <c r="C1205" i="23"/>
  <c r="C1206" i="23"/>
  <c r="C1207" i="23"/>
  <c r="C1208" i="23"/>
  <c r="C1209" i="23"/>
  <c r="C1210" i="23"/>
  <c r="C1211" i="23"/>
  <c r="C1212" i="23"/>
  <c r="C1213" i="23"/>
  <c r="C1214" i="23"/>
  <c r="C1215" i="23"/>
  <c r="C1216" i="23"/>
  <c r="C1217" i="23"/>
  <c r="C1218" i="23"/>
  <c r="C1219" i="23"/>
  <c r="C1220" i="23"/>
  <c r="C1221" i="23"/>
  <c r="C1222" i="23"/>
  <c r="C1223" i="23"/>
  <c r="C1224" i="23"/>
  <c r="C1225" i="23"/>
  <c r="C1226" i="23"/>
  <c r="C1227" i="23"/>
  <c r="C1228" i="23"/>
  <c r="C1229" i="23"/>
  <c r="C1230" i="23"/>
  <c r="C1231" i="23"/>
  <c r="C1232" i="23"/>
  <c r="C1233" i="23"/>
  <c r="C1234" i="23"/>
  <c r="C1235" i="23"/>
  <c r="C1236" i="23"/>
  <c r="C1237" i="23"/>
  <c r="C1238" i="23"/>
  <c r="C1239" i="23"/>
  <c r="C1240" i="23"/>
  <c r="C1241" i="23"/>
  <c r="C1242" i="23"/>
  <c r="C1243" i="23"/>
  <c r="C1244" i="23"/>
  <c r="C1245" i="23"/>
  <c r="C1246" i="23"/>
  <c r="C1247" i="23"/>
  <c r="C1248" i="23"/>
  <c r="C1249" i="23"/>
  <c r="C1250" i="23"/>
  <c r="C1251" i="23"/>
  <c r="C1252" i="23"/>
  <c r="C1253" i="23"/>
  <c r="C1254" i="23"/>
  <c r="C1255" i="23"/>
  <c r="C1256" i="23"/>
  <c r="C1257" i="23"/>
  <c r="C1258" i="23"/>
  <c r="C1259" i="23"/>
  <c r="C1260" i="23"/>
  <c r="C1261" i="23"/>
  <c r="C1262" i="23"/>
  <c r="C1263" i="23"/>
  <c r="C1264" i="23"/>
  <c r="C1265" i="23"/>
  <c r="C1266" i="23"/>
  <c r="C1267" i="23"/>
  <c r="C1268" i="23"/>
  <c r="C1269" i="23"/>
  <c r="C1270" i="23"/>
  <c r="C1271" i="23"/>
  <c r="C1272" i="23"/>
  <c r="C1273" i="23"/>
  <c r="C1274" i="23"/>
  <c r="C1275" i="23"/>
  <c r="C1276" i="23"/>
  <c r="C1277" i="23"/>
  <c r="C1278" i="23"/>
  <c r="C1279" i="23"/>
  <c r="C1280" i="23"/>
  <c r="C1281" i="23"/>
  <c r="C1282" i="23"/>
  <c r="C1283" i="23"/>
  <c r="C1284" i="23"/>
  <c r="C1285" i="23"/>
  <c r="C1286" i="23"/>
  <c r="C1287" i="23"/>
  <c r="C1288" i="23"/>
  <c r="C1289" i="23"/>
  <c r="C1290" i="23"/>
  <c r="C1291" i="23"/>
  <c r="C1292" i="23"/>
  <c r="C1293" i="23"/>
  <c r="C1294" i="23"/>
  <c r="C1295" i="23"/>
  <c r="C1296" i="23"/>
  <c r="C1297" i="23"/>
  <c r="C1298" i="23"/>
  <c r="C1299" i="23"/>
  <c r="C1300" i="23"/>
  <c r="C1301" i="23"/>
  <c r="C1302" i="23"/>
  <c r="C1303" i="23"/>
  <c r="C1304" i="23"/>
  <c r="C1305" i="23"/>
  <c r="C1306" i="23"/>
  <c r="C1307" i="23"/>
  <c r="C1308" i="23"/>
  <c r="C1309" i="23"/>
  <c r="C1310" i="23"/>
  <c r="C1311" i="23"/>
  <c r="C1312" i="23"/>
  <c r="C1313" i="23"/>
  <c r="C1314" i="23"/>
  <c r="C1315" i="23"/>
  <c r="C1316" i="23"/>
  <c r="C1317" i="23"/>
  <c r="C1318" i="23"/>
  <c r="C1319" i="23"/>
  <c r="C1320" i="23"/>
  <c r="C1321" i="23"/>
  <c r="C1322" i="23"/>
  <c r="C1323" i="23"/>
  <c r="C1324" i="23"/>
  <c r="C1325" i="23"/>
  <c r="C1326" i="23"/>
  <c r="C1327" i="23"/>
  <c r="C1328" i="23"/>
  <c r="C1329" i="23"/>
  <c r="C1330" i="23"/>
  <c r="C1331" i="23"/>
  <c r="C1332" i="23"/>
  <c r="C1333" i="23"/>
  <c r="C1334" i="23"/>
  <c r="C1335" i="23"/>
  <c r="C1336" i="23"/>
  <c r="C1337" i="23"/>
  <c r="C1338" i="23"/>
  <c r="C1339" i="23"/>
  <c r="C1340" i="23"/>
  <c r="C1341" i="23"/>
  <c r="C1342" i="23"/>
  <c r="D3" i="23" l="1"/>
  <c r="B3" i="23" s="1"/>
  <c r="C3" i="23" s="1"/>
  <c r="F3" i="23"/>
  <c r="G3" i="23"/>
  <c r="H3" i="23"/>
  <c r="K3" i="23"/>
  <c r="D4" i="23"/>
  <c r="B4" i="23" s="1"/>
  <c r="C4" i="23" s="1"/>
  <c r="F4" i="23"/>
  <c r="G4" i="23"/>
  <c r="H4" i="23"/>
  <c r="K4" i="23"/>
  <c r="D5" i="23"/>
  <c r="B5" i="23" s="1"/>
  <c r="C5" i="23" s="1"/>
  <c r="F5" i="23"/>
  <c r="G5" i="23"/>
  <c r="H5" i="23"/>
  <c r="K5" i="23"/>
  <c r="D6" i="23"/>
  <c r="B6" i="23" s="1"/>
  <c r="C6" i="23" s="1"/>
  <c r="F6" i="23"/>
  <c r="G6" i="23"/>
  <c r="H6" i="23"/>
  <c r="K6" i="23"/>
  <c r="D7" i="23"/>
  <c r="B7" i="23" s="1"/>
  <c r="C7" i="23" s="1"/>
  <c r="F7" i="23"/>
  <c r="G7" i="23"/>
  <c r="H7" i="23"/>
  <c r="K7" i="23"/>
  <c r="D8" i="23"/>
  <c r="B8" i="23" s="1"/>
  <c r="C8" i="23" s="1"/>
  <c r="F8" i="23"/>
  <c r="G8" i="23"/>
  <c r="H8" i="23"/>
  <c r="K8" i="23"/>
  <c r="D9" i="23"/>
  <c r="B9" i="23" s="1"/>
  <c r="C9" i="23" s="1"/>
  <c r="F9" i="23"/>
  <c r="G9" i="23"/>
  <c r="H9" i="23"/>
  <c r="K9" i="23"/>
  <c r="D10" i="23"/>
  <c r="B10" i="23" s="1"/>
  <c r="C10" i="23" s="1"/>
  <c r="F10" i="23"/>
  <c r="G10" i="23"/>
  <c r="H10" i="23"/>
  <c r="K10" i="23"/>
  <c r="D11" i="23"/>
  <c r="B11" i="23" s="1"/>
  <c r="C11" i="23" s="1"/>
  <c r="F11" i="23"/>
  <c r="G11" i="23"/>
  <c r="H11" i="23"/>
  <c r="K11" i="23"/>
  <c r="D12" i="23"/>
  <c r="B12" i="23" s="1"/>
  <c r="C12" i="23" s="1"/>
  <c r="F12" i="23"/>
  <c r="G12" i="23"/>
  <c r="H12" i="23"/>
  <c r="K12" i="23"/>
  <c r="D13" i="23"/>
  <c r="B13" i="23" s="1"/>
  <c r="C13" i="23" s="1"/>
  <c r="F13" i="23"/>
  <c r="G13" i="23"/>
  <c r="H13" i="23"/>
  <c r="K13" i="23"/>
  <c r="D14" i="23"/>
  <c r="B14" i="23" s="1"/>
  <c r="C14" i="23" s="1"/>
  <c r="F14" i="23"/>
  <c r="G14" i="23"/>
  <c r="H14" i="23"/>
  <c r="K14" i="23"/>
  <c r="D15" i="23"/>
  <c r="B15" i="23" s="1"/>
  <c r="C15" i="23" s="1"/>
  <c r="F15" i="23"/>
  <c r="G15" i="23"/>
  <c r="H15" i="23"/>
  <c r="K15" i="23"/>
  <c r="D16" i="23"/>
  <c r="B16" i="23" s="1"/>
  <c r="C16" i="23" s="1"/>
  <c r="F16" i="23"/>
  <c r="G16" i="23"/>
  <c r="H16" i="23"/>
  <c r="K16" i="23"/>
  <c r="D17" i="23"/>
  <c r="B17" i="23" s="1"/>
  <c r="C17" i="23" s="1"/>
  <c r="F17" i="23"/>
  <c r="G17" i="23"/>
  <c r="H17" i="23"/>
  <c r="K17" i="23"/>
  <c r="D18" i="23"/>
  <c r="B18" i="23" s="1"/>
  <c r="C18" i="23" s="1"/>
  <c r="F18" i="23"/>
  <c r="G18" i="23"/>
  <c r="H18" i="23"/>
  <c r="K18" i="23"/>
  <c r="D19" i="23"/>
  <c r="B19" i="23" s="1"/>
  <c r="C19" i="23" s="1"/>
  <c r="F19" i="23"/>
  <c r="G19" i="23"/>
  <c r="H19" i="23"/>
  <c r="K19" i="23"/>
  <c r="D20" i="23"/>
  <c r="B20" i="23" s="1"/>
  <c r="C20" i="23" s="1"/>
  <c r="F20" i="23"/>
  <c r="G20" i="23"/>
  <c r="H20" i="23"/>
  <c r="K20" i="23"/>
  <c r="D21" i="23"/>
  <c r="B21" i="23" s="1"/>
  <c r="C21" i="23" s="1"/>
  <c r="F21" i="23"/>
  <c r="G21" i="23"/>
  <c r="H21" i="23"/>
  <c r="K21" i="23"/>
  <c r="D22" i="23"/>
  <c r="B22" i="23" s="1"/>
  <c r="C22" i="23" s="1"/>
  <c r="F22" i="23"/>
  <c r="G22" i="23"/>
  <c r="H22" i="23"/>
  <c r="K22" i="23"/>
  <c r="D23" i="23"/>
  <c r="B23" i="23" s="1"/>
  <c r="C23" i="23" s="1"/>
  <c r="F23" i="23"/>
  <c r="G23" i="23"/>
  <c r="H23" i="23"/>
  <c r="K23" i="23"/>
  <c r="D24" i="23"/>
  <c r="B24" i="23" s="1"/>
  <c r="C24" i="23" s="1"/>
  <c r="F24" i="23"/>
  <c r="G24" i="23"/>
  <c r="H24" i="23"/>
  <c r="K24" i="23"/>
  <c r="D25" i="23"/>
  <c r="B25" i="23" s="1"/>
  <c r="C25" i="23" s="1"/>
  <c r="F25" i="23"/>
  <c r="G25" i="23"/>
  <c r="H25" i="23"/>
  <c r="K25" i="23"/>
  <c r="D26" i="23"/>
  <c r="B26" i="23" s="1"/>
  <c r="C26" i="23" s="1"/>
  <c r="F26" i="23"/>
  <c r="G26" i="23"/>
  <c r="H26" i="23"/>
  <c r="K26" i="23"/>
  <c r="D27" i="23"/>
  <c r="B27" i="23" s="1"/>
  <c r="C27" i="23" s="1"/>
  <c r="F27" i="23"/>
  <c r="G27" i="23"/>
  <c r="H27" i="23"/>
  <c r="K27" i="23"/>
  <c r="D28" i="23"/>
  <c r="B28" i="23" s="1"/>
  <c r="C28" i="23" s="1"/>
  <c r="F28" i="23"/>
  <c r="G28" i="23"/>
  <c r="H28" i="23"/>
  <c r="K28" i="23"/>
  <c r="D29" i="23"/>
  <c r="B29" i="23" s="1"/>
  <c r="C29" i="23" s="1"/>
  <c r="F29" i="23"/>
  <c r="G29" i="23"/>
  <c r="H29" i="23"/>
  <c r="K29" i="23"/>
  <c r="D30" i="23"/>
  <c r="B30" i="23" s="1"/>
  <c r="C30" i="23" s="1"/>
  <c r="F30" i="23"/>
  <c r="G30" i="23"/>
  <c r="H30" i="23"/>
  <c r="K30" i="23"/>
  <c r="D31" i="23"/>
  <c r="B31" i="23" s="1"/>
  <c r="C31" i="23" s="1"/>
  <c r="F31" i="23"/>
  <c r="G31" i="23"/>
  <c r="H31" i="23"/>
  <c r="K31" i="23"/>
  <c r="D32" i="23"/>
  <c r="B32" i="23" s="1"/>
  <c r="C32" i="23" s="1"/>
  <c r="F32" i="23"/>
  <c r="G32" i="23"/>
  <c r="H32" i="23"/>
  <c r="K32" i="23"/>
  <c r="D33" i="23"/>
  <c r="B33" i="23" s="1"/>
  <c r="C33" i="23" s="1"/>
  <c r="F33" i="23"/>
  <c r="G33" i="23"/>
  <c r="H33" i="23"/>
  <c r="K33" i="23"/>
  <c r="D34" i="23"/>
  <c r="B34" i="23" s="1"/>
  <c r="C34" i="23" s="1"/>
  <c r="F34" i="23"/>
  <c r="G34" i="23"/>
  <c r="H34" i="23"/>
  <c r="K34" i="23"/>
  <c r="D35" i="23"/>
  <c r="B35" i="23" s="1"/>
  <c r="C35" i="23" s="1"/>
  <c r="F35" i="23"/>
  <c r="G35" i="23"/>
  <c r="H35" i="23"/>
  <c r="K35" i="23"/>
  <c r="D36" i="23"/>
  <c r="B36" i="23" s="1"/>
  <c r="C36" i="23" s="1"/>
  <c r="F36" i="23"/>
  <c r="G36" i="23"/>
  <c r="H36" i="23"/>
  <c r="K36" i="23"/>
  <c r="D37" i="23"/>
  <c r="B37" i="23" s="1"/>
  <c r="C37" i="23" s="1"/>
  <c r="F37" i="23"/>
  <c r="G37" i="23"/>
  <c r="H37" i="23"/>
  <c r="K37" i="23"/>
  <c r="D38" i="23"/>
  <c r="B38" i="23" s="1"/>
  <c r="C38" i="23" s="1"/>
  <c r="F38" i="23"/>
  <c r="G38" i="23"/>
  <c r="H38" i="23"/>
  <c r="K38" i="23"/>
  <c r="D39" i="23"/>
  <c r="B39" i="23" s="1"/>
  <c r="C39" i="23" s="1"/>
  <c r="F39" i="23"/>
  <c r="G39" i="23"/>
  <c r="H39" i="23"/>
  <c r="K39" i="23"/>
  <c r="D40" i="23"/>
  <c r="B40" i="23" s="1"/>
  <c r="C40" i="23" s="1"/>
  <c r="F40" i="23"/>
  <c r="G40" i="23"/>
  <c r="H40" i="23"/>
  <c r="K40" i="23"/>
  <c r="D41" i="23"/>
  <c r="B41" i="23" s="1"/>
  <c r="C41" i="23" s="1"/>
  <c r="F41" i="23"/>
  <c r="G41" i="23"/>
  <c r="H41" i="23"/>
  <c r="K41" i="23"/>
  <c r="D42" i="23"/>
  <c r="B42" i="23" s="1"/>
  <c r="C42" i="23" s="1"/>
  <c r="F42" i="23"/>
  <c r="G42" i="23"/>
  <c r="H42" i="23"/>
  <c r="K42" i="23"/>
  <c r="D43" i="23"/>
  <c r="B43" i="23" s="1"/>
  <c r="C43" i="23" s="1"/>
  <c r="F43" i="23"/>
  <c r="G43" i="23"/>
  <c r="H43" i="23"/>
  <c r="K43" i="23"/>
  <c r="D44" i="23"/>
  <c r="B44" i="23" s="1"/>
  <c r="C44" i="23" s="1"/>
  <c r="F44" i="23"/>
  <c r="G44" i="23"/>
  <c r="H44" i="23"/>
  <c r="K44" i="23"/>
  <c r="D45" i="23"/>
  <c r="B45" i="23" s="1"/>
  <c r="C45" i="23" s="1"/>
  <c r="F45" i="23"/>
  <c r="G45" i="23"/>
  <c r="H45" i="23"/>
  <c r="K45" i="23"/>
  <c r="D46" i="23"/>
  <c r="B46" i="23" s="1"/>
  <c r="C46" i="23" s="1"/>
  <c r="F46" i="23"/>
  <c r="G46" i="23"/>
  <c r="H46" i="23"/>
  <c r="K46" i="23"/>
  <c r="D47" i="23"/>
  <c r="B47" i="23" s="1"/>
  <c r="C47" i="23" s="1"/>
  <c r="F47" i="23"/>
  <c r="G47" i="23"/>
  <c r="H47" i="23"/>
  <c r="K47" i="23"/>
  <c r="D48" i="23"/>
  <c r="B48" i="23" s="1"/>
  <c r="C48" i="23" s="1"/>
  <c r="F48" i="23"/>
  <c r="G48" i="23"/>
  <c r="H48" i="23"/>
  <c r="K48" i="23"/>
  <c r="D49" i="23"/>
  <c r="B49" i="23" s="1"/>
  <c r="C49" i="23" s="1"/>
  <c r="F49" i="23"/>
  <c r="G49" i="23"/>
  <c r="H49" i="23"/>
  <c r="K49" i="23"/>
  <c r="D50" i="23"/>
  <c r="B50" i="23" s="1"/>
  <c r="C50" i="23" s="1"/>
  <c r="F50" i="23"/>
  <c r="G50" i="23"/>
  <c r="H50" i="23"/>
  <c r="K50" i="23"/>
  <c r="D51" i="23"/>
  <c r="B51" i="23" s="1"/>
  <c r="C51" i="23" s="1"/>
  <c r="F51" i="23"/>
  <c r="G51" i="23"/>
  <c r="H51" i="23"/>
  <c r="K51" i="23"/>
  <c r="D52" i="23"/>
  <c r="B52" i="23" s="1"/>
  <c r="C52" i="23" s="1"/>
  <c r="F52" i="23"/>
  <c r="G52" i="23"/>
  <c r="H52" i="23"/>
  <c r="K52" i="23"/>
  <c r="D53" i="23"/>
  <c r="B53" i="23" s="1"/>
  <c r="C53" i="23" s="1"/>
  <c r="F53" i="23"/>
  <c r="G53" i="23"/>
  <c r="H53" i="23"/>
  <c r="K53" i="23"/>
  <c r="D54" i="23"/>
  <c r="B54" i="23" s="1"/>
  <c r="C54" i="23" s="1"/>
  <c r="F54" i="23"/>
  <c r="G54" i="23"/>
  <c r="H54" i="23"/>
  <c r="K54" i="23"/>
  <c r="D55" i="23"/>
  <c r="B55" i="23" s="1"/>
  <c r="C55" i="23" s="1"/>
  <c r="F55" i="23"/>
  <c r="G55" i="23"/>
  <c r="H55" i="23"/>
  <c r="K55" i="23"/>
  <c r="D56" i="23"/>
  <c r="B56" i="23" s="1"/>
  <c r="C56" i="23" s="1"/>
  <c r="F56" i="23"/>
  <c r="G56" i="23"/>
  <c r="H56" i="23"/>
  <c r="K56" i="23"/>
  <c r="D57" i="23"/>
  <c r="B57" i="23" s="1"/>
  <c r="C57" i="23" s="1"/>
  <c r="F57" i="23"/>
  <c r="G57" i="23"/>
  <c r="H57" i="23"/>
  <c r="K57" i="23"/>
  <c r="D58" i="23"/>
  <c r="B58" i="23" s="1"/>
  <c r="C58" i="23" s="1"/>
  <c r="F58" i="23"/>
  <c r="G58" i="23"/>
  <c r="H58" i="23"/>
  <c r="K58" i="23"/>
  <c r="D59" i="23"/>
  <c r="B59" i="23" s="1"/>
  <c r="C59" i="23" s="1"/>
  <c r="F59" i="23"/>
  <c r="G59" i="23"/>
  <c r="H59" i="23"/>
  <c r="K59" i="23"/>
  <c r="D60" i="23"/>
  <c r="B60" i="23" s="1"/>
  <c r="C60" i="23" s="1"/>
  <c r="F60" i="23"/>
  <c r="G60" i="23"/>
  <c r="H60" i="23"/>
  <c r="K60" i="23"/>
  <c r="D61" i="23"/>
  <c r="B61" i="23" s="1"/>
  <c r="C61" i="23" s="1"/>
  <c r="F61" i="23"/>
  <c r="G61" i="23"/>
  <c r="H61" i="23"/>
  <c r="K61" i="23"/>
  <c r="D62" i="23"/>
  <c r="B62" i="23" s="1"/>
  <c r="C62" i="23" s="1"/>
  <c r="F62" i="23"/>
  <c r="G62" i="23"/>
  <c r="H62" i="23"/>
  <c r="K62" i="23"/>
  <c r="D63" i="23"/>
  <c r="B63" i="23" s="1"/>
  <c r="C63" i="23" s="1"/>
  <c r="F63" i="23"/>
  <c r="G63" i="23"/>
  <c r="H63" i="23"/>
  <c r="K63" i="23"/>
  <c r="D64" i="23"/>
  <c r="B64" i="23" s="1"/>
  <c r="C64" i="23" s="1"/>
  <c r="F64" i="23"/>
  <c r="G64" i="23"/>
  <c r="H64" i="23"/>
  <c r="K64" i="23"/>
  <c r="D65" i="23"/>
  <c r="B65" i="23" s="1"/>
  <c r="C65" i="23" s="1"/>
  <c r="F65" i="23"/>
  <c r="G65" i="23"/>
  <c r="H65" i="23"/>
  <c r="K65" i="23"/>
  <c r="D66" i="23"/>
  <c r="B66" i="23" s="1"/>
  <c r="C66" i="23" s="1"/>
  <c r="F66" i="23"/>
  <c r="G66" i="23"/>
  <c r="H66" i="23"/>
  <c r="K66" i="23"/>
  <c r="D67" i="23"/>
  <c r="B67" i="23" s="1"/>
  <c r="C67" i="23" s="1"/>
  <c r="F67" i="23"/>
  <c r="G67" i="23"/>
  <c r="H67" i="23"/>
  <c r="K67" i="23"/>
  <c r="D68" i="23"/>
  <c r="B68" i="23" s="1"/>
  <c r="C68" i="23" s="1"/>
  <c r="F68" i="23"/>
  <c r="G68" i="23"/>
  <c r="H68" i="23"/>
  <c r="K68" i="23"/>
  <c r="D69" i="23"/>
  <c r="B69" i="23" s="1"/>
  <c r="C69" i="23" s="1"/>
  <c r="F69" i="23"/>
  <c r="G69" i="23"/>
  <c r="H69" i="23"/>
  <c r="K69" i="23"/>
  <c r="D70" i="23"/>
  <c r="B70" i="23" s="1"/>
  <c r="C70" i="23" s="1"/>
  <c r="F70" i="23"/>
  <c r="G70" i="23"/>
  <c r="H70" i="23"/>
  <c r="K70" i="23"/>
  <c r="D71" i="23"/>
  <c r="B71" i="23" s="1"/>
  <c r="C71" i="23" s="1"/>
  <c r="F71" i="23"/>
  <c r="G71" i="23"/>
  <c r="H71" i="23"/>
  <c r="K71" i="23"/>
  <c r="D72" i="23"/>
  <c r="B72" i="23" s="1"/>
  <c r="C72" i="23" s="1"/>
  <c r="F72" i="23"/>
  <c r="G72" i="23"/>
  <c r="H72" i="23"/>
  <c r="K72" i="23"/>
  <c r="D73" i="23"/>
  <c r="B73" i="23" s="1"/>
  <c r="C73" i="23" s="1"/>
  <c r="F73" i="23"/>
  <c r="G73" i="23"/>
  <c r="H73" i="23"/>
  <c r="K73" i="23"/>
  <c r="D74" i="23"/>
  <c r="B74" i="23" s="1"/>
  <c r="C74" i="23" s="1"/>
  <c r="F74" i="23"/>
  <c r="G74" i="23"/>
  <c r="H74" i="23"/>
  <c r="K74" i="23"/>
  <c r="D75" i="23"/>
  <c r="B75" i="23" s="1"/>
  <c r="C75" i="23" s="1"/>
  <c r="F75" i="23"/>
  <c r="G75" i="23"/>
  <c r="H75" i="23"/>
  <c r="K75" i="23"/>
  <c r="D76" i="23"/>
  <c r="B76" i="23" s="1"/>
  <c r="C76" i="23" s="1"/>
  <c r="F76" i="23"/>
  <c r="G76" i="23"/>
  <c r="H76" i="23"/>
  <c r="K76" i="23"/>
  <c r="D77" i="23"/>
  <c r="B77" i="23" s="1"/>
  <c r="C77" i="23" s="1"/>
  <c r="F77" i="23"/>
  <c r="G77" i="23"/>
  <c r="H77" i="23"/>
  <c r="K77" i="23"/>
  <c r="D78" i="23"/>
  <c r="B78" i="23" s="1"/>
  <c r="C78" i="23" s="1"/>
  <c r="F78" i="23"/>
  <c r="G78" i="23"/>
  <c r="H78" i="23"/>
  <c r="K78" i="23"/>
  <c r="D79" i="23"/>
  <c r="B79" i="23" s="1"/>
  <c r="C79" i="23" s="1"/>
  <c r="F79" i="23"/>
  <c r="G79" i="23"/>
  <c r="H79" i="23"/>
  <c r="K79" i="23"/>
  <c r="D80" i="23"/>
  <c r="B80" i="23" s="1"/>
  <c r="C80" i="23" s="1"/>
  <c r="F80" i="23"/>
  <c r="G80" i="23"/>
  <c r="H80" i="23"/>
  <c r="K80" i="23"/>
  <c r="D81" i="23"/>
  <c r="B81" i="23" s="1"/>
  <c r="C81" i="23" s="1"/>
  <c r="F81" i="23"/>
  <c r="G81" i="23"/>
  <c r="H81" i="23"/>
  <c r="K81" i="23"/>
  <c r="D82" i="23"/>
  <c r="B82" i="23" s="1"/>
  <c r="C82" i="23" s="1"/>
  <c r="F82" i="23"/>
  <c r="G82" i="23"/>
  <c r="H82" i="23"/>
  <c r="K82" i="23"/>
  <c r="D83" i="23"/>
  <c r="B83" i="23" s="1"/>
  <c r="C83" i="23" s="1"/>
  <c r="F83" i="23"/>
  <c r="G83" i="23"/>
  <c r="H83" i="23"/>
  <c r="K83" i="23"/>
  <c r="D84" i="23"/>
  <c r="B84" i="23" s="1"/>
  <c r="C84" i="23" s="1"/>
  <c r="F84" i="23"/>
  <c r="G84" i="23"/>
  <c r="H84" i="23"/>
  <c r="K84" i="23"/>
  <c r="D85" i="23"/>
  <c r="B85" i="23" s="1"/>
  <c r="C85" i="23" s="1"/>
  <c r="F85" i="23"/>
  <c r="G85" i="23"/>
  <c r="H85" i="23"/>
  <c r="K85" i="23"/>
  <c r="D86" i="23"/>
  <c r="B86" i="23" s="1"/>
  <c r="C86" i="23" s="1"/>
  <c r="F86" i="23"/>
  <c r="G86" i="23"/>
  <c r="H86" i="23"/>
  <c r="K86" i="23"/>
  <c r="D87" i="23"/>
  <c r="B87" i="23" s="1"/>
  <c r="C87" i="23" s="1"/>
  <c r="F87" i="23"/>
  <c r="G87" i="23"/>
  <c r="H87" i="23"/>
  <c r="K87" i="23"/>
  <c r="D88" i="23"/>
  <c r="B88" i="23" s="1"/>
  <c r="C88" i="23" s="1"/>
  <c r="F88" i="23"/>
  <c r="G88" i="23"/>
  <c r="H88" i="23"/>
  <c r="K88" i="23"/>
  <c r="D89" i="23"/>
  <c r="B89" i="23" s="1"/>
  <c r="C89" i="23" s="1"/>
  <c r="F89" i="23"/>
  <c r="G89" i="23"/>
  <c r="H89" i="23"/>
  <c r="K89" i="23"/>
  <c r="D90" i="23"/>
  <c r="B90" i="23" s="1"/>
  <c r="C90" i="23" s="1"/>
  <c r="F90" i="23"/>
  <c r="G90" i="23"/>
  <c r="H90" i="23"/>
  <c r="K90" i="23"/>
  <c r="D91" i="23"/>
  <c r="B91" i="23" s="1"/>
  <c r="C91" i="23" s="1"/>
  <c r="F91" i="23"/>
  <c r="G91" i="23"/>
  <c r="H91" i="23"/>
  <c r="K91" i="23"/>
  <c r="D92" i="23"/>
  <c r="B92" i="23" s="1"/>
  <c r="C92" i="23" s="1"/>
  <c r="F92" i="23"/>
  <c r="G92" i="23"/>
  <c r="H92" i="23"/>
  <c r="K92" i="23"/>
  <c r="D93" i="23"/>
  <c r="B93" i="23" s="1"/>
  <c r="C93" i="23" s="1"/>
  <c r="F93" i="23"/>
  <c r="G93" i="23"/>
  <c r="H93" i="23"/>
  <c r="K93" i="23"/>
  <c r="D94" i="23"/>
  <c r="B94" i="23" s="1"/>
  <c r="C94" i="23" s="1"/>
  <c r="F94" i="23"/>
  <c r="G94" i="23"/>
  <c r="H94" i="23"/>
  <c r="K94" i="23"/>
  <c r="D95" i="23"/>
  <c r="B95" i="23" s="1"/>
  <c r="C95" i="23" s="1"/>
  <c r="F95" i="23"/>
  <c r="G95" i="23"/>
  <c r="H95" i="23"/>
  <c r="K95" i="23"/>
  <c r="D96" i="23"/>
  <c r="B96" i="23" s="1"/>
  <c r="C96" i="23" s="1"/>
  <c r="F96" i="23"/>
  <c r="G96" i="23"/>
  <c r="H96" i="23"/>
  <c r="K96" i="23"/>
  <c r="D97" i="23"/>
  <c r="B97" i="23" s="1"/>
  <c r="C97" i="23" s="1"/>
  <c r="F97" i="23"/>
  <c r="G97" i="23"/>
  <c r="H97" i="23"/>
  <c r="K97" i="23"/>
  <c r="D98" i="23"/>
  <c r="B98" i="23" s="1"/>
  <c r="C98" i="23" s="1"/>
  <c r="F98" i="23"/>
  <c r="G98" i="23"/>
  <c r="H98" i="23"/>
  <c r="K98" i="23"/>
  <c r="D99" i="23"/>
  <c r="B99" i="23" s="1"/>
  <c r="C99" i="23" s="1"/>
  <c r="F99" i="23"/>
  <c r="G99" i="23"/>
  <c r="H99" i="23"/>
  <c r="K99" i="23"/>
  <c r="D100" i="23"/>
  <c r="B100" i="23" s="1"/>
  <c r="C100" i="23" s="1"/>
  <c r="F100" i="23"/>
  <c r="G100" i="23"/>
  <c r="H100" i="23"/>
  <c r="K100" i="23"/>
  <c r="D101" i="23"/>
  <c r="B101" i="23" s="1"/>
  <c r="C101" i="23" s="1"/>
  <c r="F101" i="23"/>
  <c r="G101" i="23"/>
  <c r="H101" i="23"/>
  <c r="K101" i="23"/>
  <c r="D102" i="23"/>
  <c r="B102" i="23" s="1"/>
  <c r="C102" i="23" s="1"/>
  <c r="F102" i="23"/>
  <c r="G102" i="23"/>
  <c r="H102" i="23"/>
  <c r="K102" i="23"/>
  <c r="D103" i="23"/>
  <c r="B103" i="23" s="1"/>
  <c r="C103" i="23" s="1"/>
  <c r="F103" i="23"/>
  <c r="G103" i="23"/>
  <c r="H103" i="23"/>
  <c r="K103" i="23"/>
  <c r="D104" i="23"/>
  <c r="B104" i="23" s="1"/>
  <c r="C104" i="23" s="1"/>
  <c r="F104" i="23"/>
  <c r="G104" i="23"/>
  <c r="H104" i="23"/>
  <c r="K104" i="23"/>
  <c r="D105" i="23"/>
  <c r="B105" i="23" s="1"/>
  <c r="C105" i="23" s="1"/>
  <c r="F105" i="23"/>
  <c r="G105" i="23"/>
  <c r="H105" i="23"/>
  <c r="K105" i="23"/>
  <c r="D106" i="23"/>
  <c r="B106" i="23" s="1"/>
  <c r="C106" i="23" s="1"/>
  <c r="F106" i="23"/>
  <c r="G106" i="23"/>
  <c r="H106" i="23"/>
  <c r="K106" i="23"/>
  <c r="D107" i="23"/>
  <c r="B107" i="23" s="1"/>
  <c r="C107" i="23" s="1"/>
  <c r="F107" i="23"/>
  <c r="G107" i="23"/>
  <c r="H107" i="23"/>
  <c r="K107" i="23"/>
  <c r="D108" i="23"/>
  <c r="B108" i="23" s="1"/>
  <c r="C108" i="23" s="1"/>
  <c r="F108" i="23"/>
  <c r="G108" i="23"/>
  <c r="H108" i="23"/>
  <c r="K108" i="23"/>
  <c r="D109" i="23"/>
  <c r="B109" i="23" s="1"/>
  <c r="C109" i="23" s="1"/>
  <c r="F109" i="23"/>
  <c r="G109" i="23"/>
  <c r="H109" i="23"/>
  <c r="K109" i="23"/>
  <c r="D110" i="23"/>
  <c r="B110" i="23" s="1"/>
  <c r="C110" i="23" s="1"/>
  <c r="F110" i="23"/>
  <c r="G110" i="23"/>
  <c r="H110" i="23"/>
  <c r="K110" i="23"/>
  <c r="D111" i="23"/>
  <c r="B111" i="23" s="1"/>
  <c r="C111" i="23" s="1"/>
  <c r="F111" i="23"/>
  <c r="G111" i="23"/>
  <c r="H111" i="23"/>
  <c r="K111" i="23"/>
  <c r="D112" i="23"/>
  <c r="B112" i="23" s="1"/>
  <c r="C112" i="23" s="1"/>
  <c r="F112" i="23"/>
  <c r="G112" i="23"/>
  <c r="H112" i="23"/>
  <c r="K112" i="23"/>
  <c r="D113" i="23"/>
  <c r="B113" i="23" s="1"/>
  <c r="C113" i="23" s="1"/>
  <c r="F113" i="23"/>
  <c r="G113" i="23"/>
  <c r="H113" i="23"/>
  <c r="K113" i="23"/>
  <c r="D114" i="23"/>
  <c r="B114" i="23" s="1"/>
  <c r="C114" i="23" s="1"/>
  <c r="F114" i="23"/>
  <c r="G114" i="23"/>
  <c r="H114" i="23"/>
  <c r="K114" i="23"/>
  <c r="D115" i="23"/>
  <c r="B115" i="23" s="1"/>
  <c r="C115" i="23" s="1"/>
  <c r="F115" i="23"/>
  <c r="G115" i="23"/>
  <c r="H115" i="23"/>
  <c r="K115" i="23"/>
  <c r="D116" i="23"/>
  <c r="B116" i="23" s="1"/>
  <c r="C116" i="23" s="1"/>
  <c r="F116" i="23"/>
  <c r="G116" i="23"/>
  <c r="H116" i="23"/>
  <c r="K116" i="23"/>
  <c r="D117" i="23"/>
  <c r="B117" i="23" s="1"/>
  <c r="C117" i="23" s="1"/>
  <c r="F117" i="23"/>
  <c r="G117" i="23"/>
  <c r="H117" i="23"/>
  <c r="K117" i="23"/>
  <c r="D118" i="23"/>
  <c r="B118" i="23" s="1"/>
  <c r="C118" i="23" s="1"/>
  <c r="F118" i="23"/>
  <c r="G118" i="23"/>
  <c r="H118" i="23"/>
  <c r="K118" i="23"/>
  <c r="D119" i="23"/>
  <c r="B119" i="23" s="1"/>
  <c r="C119" i="23" s="1"/>
  <c r="F119" i="23"/>
  <c r="G119" i="23"/>
  <c r="H119" i="23"/>
  <c r="K119" i="23"/>
  <c r="D120" i="23"/>
  <c r="B120" i="23" s="1"/>
  <c r="C120" i="23" s="1"/>
  <c r="F120" i="23"/>
  <c r="G120" i="23"/>
  <c r="H120" i="23"/>
  <c r="K120" i="23"/>
  <c r="D121" i="23"/>
  <c r="B121" i="23" s="1"/>
  <c r="C121" i="23" s="1"/>
  <c r="F121" i="23"/>
  <c r="G121" i="23"/>
  <c r="H121" i="23"/>
  <c r="K121" i="23"/>
  <c r="D122" i="23"/>
  <c r="B122" i="23" s="1"/>
  <c r="C122" i="23" s="1"/>
  <c r="F122" i="23"/>
  <c r="G122" i="23"/>
  <c r="H122" i="23"/>
  <c r="K122" i="23"/>
  <c r="D123" i="23"/>
  <c r="B123" i="23" s="1"/>
  <c r="C123" i="23" s="1"/>
  <c r="F123" i="23"/>
  <c r="G123" i="23"/>
  <c r="H123" i="23"/>
  <c r="K123" i="23"/>
  <c r="D124" i="23"/>
  <c r="B124" i="23" s="1"/>
  <c r="C124" i="23" s="1"/>
  <c r="F124" i="23"/>
  <c r="G124" i="23"/>
  <c r="H124" i="23"/>
  <c r="K124" i="23"/>
  <c r="D125" i="23"/>
  <c r="B125" i="23" s="1"/>
  <c r="C125" i="23" s="1"/>
  <c r="F125" i="23"/>
  <c r="G125" i="23"/>
  <c r="H125" i="23"/>
  <c r="K125" i="23"/>
  <c r="D126" i="23"/>
  <c r="B126" i="23" s="1"/>
  <c r="C126" i="23" s="1"/>
  <c r="F126" i="23"/>
  <c r="G126" i="23"/>
  <c r="H126" i="23"/>
  <c r="K126" i="23"/>
  <c r="D127" i="23"/>
  <c r="B127" i="23" s="1"/>
  <c r="C127" i="23" s="1"/>
  <c r="F127" i="23"/>
  <c r="G127" i="23"/>
  <c r="H127" i="23"/>
  <c r="K127" i="23"/>
  <c r="D128" i="23"/>
  <c r="B128" i="23" s="1"/>
  <c r="C128" i="23" s="1"/>
  <c r="F128" i="23"/>
  <c r="G128" i="23"/>
  <c r="H128" i="23"/>
  <c r="K128" i="23"/>
  <c r="D129" i="23"/>
  <c r="B129" i="23" s="1"/>
  <c r="C129" i="23" s="1"/>
  <c r="F129" i="23"/>
  <c r="G129" i="23"/>
  <c r="H129" i="23"/>
  <c r="K129" i="23"/>
  <c r="D130" i="23"/>
  <c r="B130" i="23" s="1"/>
  <c r="C130" i="23" s="1"/>
  <c r="F130" i="23"/>
  <c r="G130" i="23"/>
  <c r="H130" i="23"/>
  <c r="K130" i="23"/>
  <c r="D131" i="23"/>
  <c r="B131" i="23" s="1"/>
  <c r="C131" i="23" s="1"/>
  <c r="F131" i="23"/>
  <c r="G131" i="23"/>
  <c r="H131" i="23"/>
  <c r="K131" i="23"/>
  <c r="D132" i="23"/>
  <c r="B132" i="23" s="1"/>
  <c r="C132" i="23" s="1"/>
  <c r="F132" i="23"/>
  <c r="G132" i="23"/>
  <c r="H132" i="23"/>
  <c r="K132" i="23"/>
  <c r="D133" i="23"/>
  <c r="B133" i="23" s="1"/>
  <c r="C133" i="23" s="1"/>
  <c r="F133" i="23"/>
  <c r="G133" i="23"/>
  <c r="H133" i="23"/>
  <c r="K133" i="23"/>
  <c r="D134" i="23"/>
  <c r="B134" i="23" s="1"/>
  <c r="C134" i="23" s="1"/>
  <c r="F134" i="23"/>
  <c r="G134" i="23"/>
  <c r="H134" i="23"/>
  <c r="K134" i="23"/>
  <c r="D135" i="23"/>
  <c r="B135" i="23" s="1"/>
  <c r="C135" i="23" s="1"/>
  <c r="F135" i="23"/>
  <c r="G135" i="23"/>
  <c r="H135" i="23"/>
  <c r="K135" i="23"/>
  <c r="D136" i="23"/>
  <c r="B136" i="23" s="1"/>
  <c r="C136" i="23" s="1"/>
  <c r="F136" i="23"/>
  <c r="G136" i="23"/>
  <c r="H136" i="23"/>
  <c r="K136" i="23"/>
  <c r="D137" i="23"/>
  <c r="B137" i="23" s="1"/>
  <c r="C137" i="23" s="1"/>
  <c r="F137" i="23"/>
  <c r="G137" i="23"/>
  <c r="H137" i="23"/>
  <c r="K137" i="23"/>
  <c r="D138" i="23"/>
  <c r="B138" i="23" s="1"/>
  <c r="C138" i="23" s="1"/>
  <c r="F138" i="23"/>
  <c r="G138" i="23"/>
  <c r="H138" i="23"/>
  <c r="K138" i="23"/>
  <c r="D139" i="23"/>
  <c r="B139" i="23" s="1"/>
  <c r="C139" i="23" s="1"/>
  <c r="F139" i="23"/>
  <c r="G139" i="23"/>
  <c r="H139" i="23"/>
  <c r="K139" i="23"/>
  <c r="D140" i="23"/>
  <c r="B140" i="23" s="1"/>
  <c r="C140" i="23" s="1"/>
  <c r="F140" i="23"/>
  <c r="G140" i="23"/>
  <c r="H140" i="23"/>
  <c r="K140" i="23"/>
  <c r="D141" i="23"/>
  <c r="B141" i="23" s="1"/>
  <c r="C141" i="23" s="1"/>
  <c r="F141" i="23"/>
  <c r="G141" i="23"/>
  <c r="H141" i="23"/>
  <c r="K141" i="23"/>
  <c r="D142" i="23"/>
  <c r="B142" i="23" s="1"/>
  <c r="C142" i="23" s="1"/>
  <c r="F142" i="23"/>
  <c r="G142" i="23"/>
  <c r="H142" i="23"/>
  <c r="K142" i="23"/>
  <c r="D143" i="23"/>
  <c r="B143" i="23" s="1"/>
  <c r="C143" i="23" s="1"/>
  <c r="F143" i="23"/>
  <c r="G143" i="23"/>
  <c r="H143" i="23"/>
  <c r="K143" i="23"/>
  <c r="D144" i="23"/>
  <c r="B144" i="23" s="1"/>
  <c r="C144" i="23" s="1"/>
  <c r="F144" i="23"/>
  <c r="G144" i="23"/>
  <c r="H144" i="23"/>
  <c r="K144" i="23"/>
  <c r="D145" i="23"/>
  <c r="B145" i="23" s="1"/>
  <c r="C145" i="23" s="1"/>
  <c r="F145" i="23"/>
  <c r="G145" i="23"/>
  <c r="H145" i="23"/>
  <c r="K145" i="23"/>
  <c r="D146" i="23"/>
  <c r="B146" i="23" s="1"/>
  <c r="C146" i="23" s="1"/>
  <c r="F146" i="23"/>
  <c r="G146" i="23"/>
  <c r="H146" i="23"/>
  <c r="K146" i="23"/>
  <c r="D147" i="23"/>
  <c r="B147" i="23" s="1"/>
  <c r="C147" i="23" s="1"/>
  <c r="F147" i="23"/>
  <c r="G147" i="23"/>
  <c r="H147" i="23"/>
  <c r="K147" i="23"/>
  <c r="D148" i="23"/>
  <c r="B148" i="23" s="1"/>
  <c r="C148" i="23" s="1"/>
  <c r="F148" i="23"/>
  <c r="G148" i="23"/>
  <c r="H148" i="23"/>
  <c r="K148" i="23"/>
  <c r="D149" i="23"/>
  <c r="B149" i="23" s="1"/>
  <c r="C149" i="23" s="1"/>
  <c r="F149" i="23"/>
  <c r="G149" i="23"/>
  <c r="H149" i="23"/>
  <c r="K149" i="23"/>
  <c r="D150" i="23"/>
  <c r="B150" i="23" s="1"/>
  <c r="C150" i="23" s="1"/>
  <c r="F150" i="23"/>
  <c r="G150" i="23"/>
  <c r="H150" i="23"/>
  <c r="K150" i="23"/>
  <c r="D151" i="23"/>
  <c r="B151" i="23" s="1"/>
  <c r="C151" i="23" s="1"/>
  <c r="F151" i="23"/>
  <c r="G151" i="23"/>
  <c r="H151" i="23"/>
  <c r="K151" i="23"/>
  <c r="D152" i="23"/>
  <c r="B152" i="23" s="1"/>
  <c r="C152" i="23" s="1"/>
  <c r="F152" i="23"/>
  <c r="G152" i="23"/>
  <c r="H152" i="23"/>
  <c r="K152" i="23"/>
  <c r="D153" i="23"/>
  <c r="B153" i="23" s="1"/>
  <c r="C153" i="23" s="1"/>
  <c r="F153" i="23"/>
  <c r="G153" i="23"/>
  <c r="H153" i="23"/>
  <c r="K153" i="23"/>
  <c r="D154" i="23"/>
  <c r="B154" i="23" s="1"/>
  <c r="C154" i="23" s="1"/>
  <c r="F154" i="23"/>
  <c r="G154" i="23"/>
  <c r="H154" i="23"/>
  <c r="K154" i="23"/>
  <c r="D155" i="23"/>
  <c r="B155" i="23" s="1"/>
  <c r="C155" i="23" s="1"/>
  <c r="F155" i="23"/>
  <c r="G155" i="23"/>
  <c r="H155" i="23"/>
  <c r="K155" i="23"/>
  <c r="D156" i="23"/>
  <c r="B156" i="23" s="1"/>
  <c r="C156" i="23" s="1"/>
  <c r="F156" i="23"/>
  <c r="G156" i="23"/>
  <c r="H156" i="23"/>
  <c r="K156" i="23"/>
  <c r="D157" i="23"/>
  <c r="B157" i="23" s="1"/>
  <c r="C157" i="23" s="1"/>
  <c r="F157" i="23"/>
  <c r="G157" i="23"/>
  <c r="H157" i="23"/>
  <c r="K157" i="23"/>
  <c r="D158" i="23"/>
  <c r="B158" i="23" s="1"/>
  <c r="C158" i="23" s="1"/>
  <c r="F158" i="23"/>
  <c r="G158" i="23"/>
  <c r="H158" i="23"/>
  <c r="K158" i="23"/>
  <c r="D159" i="23"/>
  <c r="B159" i="23" s="1"/>
  <c r="C159" i="23" s="1"/>
  <c r="F159" i="23"/>
  <c r="G159" i="23"/>
  <c r="H159" i="23"/>
  <c r="K159" i="23"/>
  <c r="D160" i="23"/>
  <c r="B160" i="23" s="1"/>
  <c r="C160" i="23" s="1"/>
  <c r="F160" i="23"/>
  <c r="G160" i="23"/>
  <c r="H160" i="23"/>
  <c r="K160" i="23"/>
  <c r="D161" i="23"/>
  <c r="B161" i="23" s="1"/>
  <c r="C161" i="23" s="1"/>
  <c r="F161" i="23"/>
  <c r="G161" i="23"/>
  <c r="H161" i="23"/>
  <c r="K161" i="23"/>
  <c r="D162" i="23"/>
  <c r="B162" i="23" s="1"/>
  <c r="C162" i="23" s="1"/>
  <c r="F162" i="23"/>
  <c r="G162" i="23"/>
  <c r="H162" i="23"/>
  <c r="K162" i="23"/>
  <c r="D163" i="23"/>
  <c r="B163" i="23" s="1"/>
  <c r="C163" i="23" s="1"/>
  <c r="F163" i="23"/>
  <c r="G163" i="23"/>
  <c r="H163" i="23"/>
  <c r="K163" i="23"/>
  <c r="D164" i="23"/>
  <c r="B164" i="23" s="1"/>
  <c r="C164" i="23" s="1"/>
  <c r="F164" i="23"/>
  <c r="G164" i="23"/>
  <c r="H164" i="23"/>
  <c r="K164" i="23"/>
  <c r="D165" i="23"/>
  <c r="B165" i="23" s="1"/>
  <c r="C165" i="23" s="1"/>
  <c r="F165" i="23"/>
  <c r="G165" i="23"/>
  <c r="H165" i="23"/>
  <c r="K165" i="23"/>
  <c r="D166" i="23"/>
  <c r="B166" i="23" s="1"/>
  <c r="C166" i="23" s="1"/>
  <c r="F166" i="23"/>
  <c r="G166" i="23"/>
  <c r="H166" i="23"/>
  <c r="K166" i="23"/>
  <c r="D167" i="23"/>
  <c r="B167" i="23" s="1"/>
  <c r="C167" i="23" s="1"/>
  <c r="F167" i="23"/>
  <c r="G167" i="23"/>
  <c r="H167" i="23"/>
  <c r="K167" i="23"/>
  <c r="D168" i="23"/>
  <c r="B168" i="23" s="1"/>
  <c r="C168" i="23" s="1"/>
  <c r="F168" i="23"/>
  <c r="G168" i="23"/>
  <c r="H168" i="23"/>
  <c r="K168" i="23"/>
  <c r="D169" i="23"/>
  <c r="B169" i="23" s="1"/>
  <c r="C169" i="23" s="1"/>
  <c r="F169" i="23"/>
  <c r="G169" i="23"/>
  <c r="H169" i="23"/>
  <c r="K169" i="23"/>
  <c r="D170" i="23"/>
  <c r="B170" i="23" s="1"/>
  <c r="C170" i="23" s="1"/>
  <c r="F170" i="23"/>
  <c r="G170" i="23"/>
  <c r="H170" i="23"/>
  <c r="K170" i="23"/>
  <c r="D171" i="23"/>
  <c r="B171" i="23" s="1"/>
  <c r="C171" i="23" s="1"/>
  <c r="F171" i="23"/>
  <c r="G171" i="23"/>
  <c r="H171" i="23"/>
  <c r="K171" i="23"/>
  <c r="D172" i="23"/>
  <c r="B172" i="23" s="1"/>
  <c r="C172" i="23" s="1"/>
  <c r="F172" i="23"/>
  <c r="G172" i="23"/>
  <c r="H172" i="23"/>
  <c r="K172" i="23"/>
  <c r="D173" i="23"/>
  <c r="B173" i="23" s="1"/>
  <c r="C173" i="23" s="1"/>
  <c r="F173" i="23"/>
  <c r="G173" i="23"/>
  <c r="H173" i="23"/>
  <c r="K173" i="23"/>
  <c r="D174" i="23"/>
  <c r="B174" i="23" s="1"/>
  <c r="C174" i="23" s="1"/>
  <c r="F174" i="23"/>
  <c r="G174" i="23"/>
  <c r="H174" i="23"/>
  <c r="K174" i="23"/>
  <c r="D175" i="23"/>
  <c r="B175" i="23" s="1"/>
  <c r="C175" i="23" s="1"/>
  <c r="F175" i="23"/>
  <c r="G175" i="23"/>
  <c r="H175" i="23"/>
  <c r="K175" i="23"/>
  <c r="D176" i="23"/>
  <c r="B176" i="23" s="1"/>
  <c r="C176" i="23" s="1"/>
  <c r="F176" i="23"/>
  <c r="G176" i="23"/>
  <c r="H176" i="23"/>
  <c r="K176" i="23"/>
  <c r="D177" i="23"/>
  <c r="B177" i="23" s="1"/>
  <c r="C177" i="23" s="1"/>
  <c r="F177" i="23"/>
  <c r="G177" i="23"/>
  <c r="H177" i="23"/>
  <c r="K177" i="23"/>
  <c r="D178" i="23"/>
  <c r="B178" i="23" s="1"/>
  <c r="C178" i="23" s="1"/>
  <c r="F178" i="23"/>
  <c r="G178" i="23"/>
  <c r="H178" i="23"/>
  <c r="K178" i="23"/>
  <c r="D179" i="23"/>
  <c r="B179" i="23" s="1"/>
  <c r="C179" i="23" s="1"/>
  <c r="F179" i="23"/>
  <c r="G179" i="23"/>
  <c r="H179" i="23"/>
  <c r="K179" i="23"/>
  <c r="D180" i="23"/>
  <c r="B180" i="23" s="1"/>
  <c r="C180" i="23" s="1"/>
  <c r="F180" i="23"/>
  <c r="G180" i="23"/>
  <c r="H180" i="23"/>
  <c r="K180" i="23"/>
  <c r="D181" i="23"/>
  <c r="B181" i="23" s="1"/>
  <c r="C181" i="23" s="1"/>
  <c r="F181" i="23"/>
  <c r="G181" i="23"/>
  <c r="H181" i="23"/>
  <c r="K181" i="23"/>
  <c r="D182" i="23"/>
  <c r="B182" i="23" s="1"/>
  <c r="C182" i="23" s="1"/>
  <c r="F182" i="23"/>
  <c r="G182" i="23"/>
  <c r="H182" i="23"/>
  <c r="K182" i="23"/>
  <c r="D183" i="23"/>
  <c r="B183" i="23" s="1"/>
  <c r="C183" i="23" s="1"/>
  <c r="F183" i="23"/>
  <c r="G183" i="23"/>
  <c r="H183" i="23"/>
  <c r="K183" i="23"/>
  <c r="D184" i="23"/>
  <c r="B184" i="23" s="1"/>
  <c r="C184" i="23" s="1"/>
  <c r="F184" i="23"/>
  <c r="G184" i="23"/>
  <c r="H184" i="23"/>
  <c r="K184" i="23"/>
  <c r="D185" i="23"/>
  <c r="B185" i="23" s="1"/>
  <c r="C185" i="23" s="1"/>
  <c r="F185" i="23"/>
  <c r="G185" i="23"/>
  <c r="H185" i="23"/>
  <c r="K185" i="23"/>
  <c r="D186" i="23"/>
  <c r="B186" i="23" s="1"/>
  <c r="C186" i="23" s="1"/>
  <c r="F186" i="23"/>
  <c r="G186" i="23"/>
  <c r="H186" i="23"/>
  <c r="K186" i="23"/>
  <c r="D187" i="23"/>
  <c r="B187" i="23" s="1"/>
  <c r="C187" i="23" s="1"/>
  <c r="F187" i="23"/>
  <c r="G187" i="23"/>
  <c r="H187" i="23"/>
  <c r="K187" i="23"/>
  <c r="D188" i="23"/>
  <c r="B188" i="23" s="1"/>
  <c r="C188" i="23" s="1"/>
  <c r="F188" i="23"/>
  <c r="G188" i="23"/>
  <c r="H188" i="23"/>
  <c r="K188" i="23"/>
  <c r="D189" i="23"/>
  <c r="B189" i="23" s="1"/>
  <c r="C189" i="23" s="1"/>
  <c r="F189" i="23"/>
  <c r="G189" i="23"/>
  <c r="H189" i="23"/>
  <c r="K189" i="23"/>
  <c r="D190" i="23"/>
  <c r="B190" i="23" s="1"/>
  <c r="C190" i="23" s="1"/>
  <c r="F190" i="23"/>
  <c r="G190" i="23"/>
  <c r="H190" i="23"/>
  <c r="K190" i="23"/>
  <c r="D191" i="23"/>
  <c r="B191" i="23" s="1"/>
  <c r="C191" i="23" s="1"/>
  <c r="F191" i="23"/>
  <c r="G191" i="23"/>
  <c r="H191" i="23"/>
  <c r="K191" i="23"/>
  <c r="D192" i="23"/>
  <c r="B192" i="23" s="1"/>
  <c r="C192" i="23" s="1"/>
  <c r="F192" i="23"/>
  <c r="G192" i="23"/>
  <c r="H192" i="23"/>
  <c r="K192" i="23"/>
  <c r="D193" i="23"/>
  <c r="B193" i="23" s="1"/>
  <c r="C193" i="23" s="1"/>
  <c r="F193" i="23"/>
  <c r="G193" i="23"/>
  <c r="H193" i="23"/>
  <c r="K193" i="23"/>
  <c r="D194" i="23"/>
  <c r="B194" i="23" s="1"/>
  <c r="C194" i="23" s="1"/>
  <c r="F194" i="23"/>
  <c r="G194" i="23"/>
  <c r="H194" i="23"/>
  <c r="K194" i="23"/>
  <c r="D195" i="23"/>
  <c r="B195" i="23" s="1"/>
  <c r="C195" i="23" s="1"/>
  <c r="F195" i="23"/>
  <c r="G195" i="23"/>
  <c r="H195" i="23"/>
  <c r="K195" i="23"/>
  <c r="D196" i="23"/>
  <c r="B196" i="23" s="1"/>
  <c r="C196" i="23" s="1"/>
  <c r="F196" i="23"/>
  <c r="G196" i="23"/>
  <c r="H196" i="23"/>
  <c r="K196" i="23"/>
  <c r="D197" i="23"/>
  <c r="B197" i="23" s="1"/>
  <c r="C197" i="23" s="1"/>
  <c r="F197" i="23"/>
  <c r="G197" i="23"/>
  <c r="H197" i="23"/>
  <c r="K197" i="23"/>
  <c r="D198" i="23"/>
  <c r="B198" i="23" s="1"/>
  <c r="C198" i="23" s="1"/>
  <c r="F198" i="23"/>
  <c r="G198" i="23"/>
  <c r="H198" i="23"/>
  <c r="K198" i="23"/>
  <c r="D199" i="23"/>
  <c r="B199" i="23" s="1"/>
  <c r="C199" i="23" s="1"/>
  <c r="F199" i="23"/>
  <c r="G199" i="23"/>
  <c r="H199" i="23"/>
  <c r="K199" i="23"/>
  <c r="D200" i="23"/>
  <c r="B200" i="23" s="1"/>
  <c r="C200" i="23" s="1"/>
  <c r="F200" i="23"/>
  <c r="G200" i="23"/>
  <c r="H200" i="23"/>
  <c r="K200" i="23"/>
  <c r="D201" i="23"/>
  <c r="B201" i="23" s="1"/>
  <c r="C201" i="23" s="1"/>
  <c r="F201" i="23"/>
  <c r="G201" i="23"/>
  <c r="H201" i="23"/>
  <c r="K201" i="23"/>
  <c r="D202" i="23"/>
  <c r="B202" i="23" s="1"/>
  <c r="C202" i="23" s="1"/>
  <c r="F202" i="23"/>
  <c r="G202" i="23"/>
  <c r="H202" i="23"/>
  <c r="K202" i="23"/>
  <c r="D203" i="23"/>
  <c r="B203" i="23" s="1"/>
  <c r="C203" i="23" s="1"/>
  <c r="F203" i="23"/>
  <c r="G203" i="23"/>
  <c r="H203" i="23"/>
  <c r="K203" i="23"/>
  <c r="D204" i="23"/>
  <c r="B204" i="23" s="1"/>
  <c r="C204" i="23" s="1"/>
  <c r="F204" i="23"/>
  <c r="G204" i="23"/>
  <c r="H204" i="23"/>
  <c r="K204" i="23"/>
  <c r="D205" i="23"/>
  <c r="B205" i="23" s="1"/>
  <c r="C205" i="23" s="1"/>
  <c r="F205" i="23"/>
  <c r="G205" i="23"/>
  <c r="H205" i="23"/>
  <c r="K205" i="23"/>
  <c r="D206" i="23"/>
  <c r="B206" i="23" s="1"/>
  <c r="C206" i="23" s="1"/>
  <c r="F206" i="23"/>
  <c r="G206" i="23"/>
  <c r="H206" i="23"/>
  <c r="K206" i="23"/>
  <c r="D207" i="23"/>
  <c r="B207" i="23" s="1"/>
  <c r="C207" i="23" s="1"/>
  <c r="F207" i="23"/>
  <c r="G207" i="23"/>
  <c r="H207" i="23"/>
  <c r="K207" i="23"/>
  <c r="D208" i="23"/>
  <c r="B208" i="23" s="1"/>
  <c r="C208" i="23" s="1"/>
  <c r="F208" i="23"/>
  <c r="G208" i="23"/>
  <c r="H208" i="23"/>
  <c r="K208" i="23"/>
  <c r="D209" i="23"/>
  <c r="B209" i="23" s="1"/>
  <c r="C209" i="23" s="1"/>
  <c r="F209" i="23"/>
  <c r="G209" i="23"/>
  <c r="H209" i="23"/>
  <c r="K209" i="23"/>
  <c r="D210" i="23"/>
  <c r="B210" i="23" s="1"/>
  <c r="C210" i="23" s="1"/>
  <c r="F210" i="23"/>
  <c r="G210" i="23"/>
  <c r="H210" i="23"/>
  <c r="K210" i="23"/>
  <c r="D211" i="23"/>
  <c r="B211" i="23" s="1"/>
  <c r="C211" i="23" s="1"/>
  <c r="F211" i="23"/>
  <c r="G211" i="23"/>
  <c r="H211" i="23"/>
  <c r="K211" i="23"/>
  <c r="D212" i="23"/>
  <c r="B212" i="23" s="1"/>
  <c r="C212" i="23" s="1"/>
  <c r="F212" i="23"/>
  <c r="G212" i="23"/>
  <c r="H212" i="23"/>
  <c r="K212" i="23"/>
  <c r="D213" i="23"/>
  <c r="B213" i="23" s="1"/>
  <c r="C213" i="23" s="1"/>
  <c r="F213" i="23"/>
  <c r="G213" i="23"/>
  <c r="H213" i="23"/>
  <c r="K213" i="23"/>
  <c r="D214" i="23"/>
  <c r="B214" i="23" s="1"/>
  <c r="C214" i="23" s="1"/>
  <c r="F214" i="23"/>
  <c r="G214" i="23"/>
  <c r="H214" i="23"/>
  <c r="K214" i="23"/>
  <c r="D215" i="23"/>
  <c r="B215" i="23" s="1"/>
  <c r="C215" i="23" s="1"/>
  <c r="F215" i="23"/>
  <c r="G215" i="23"/>
  <c r="H215" i="23"/>
  <c r="K215" i="23"/>
  <c r="D216" i="23"/>
  <c r="B216" i="23" s="1"/>
  <c r="C216" i="23" s="1"/>
  <c r="F216" i="23"/>
  <c r="G216" i="23"/>
  <c r="H216" i="23"/>
  <c r="K216" i="23"/>
  <c r="D217" i="23"/>
  <c r="B217" i="23" s="1"/>
  <c r="C217" i="23" s="1"/>
  <c r="F217" i="23"/>
  <c r="G217" i="23"/>
  <c r="H217" i="23"/>
  <c r="K217" i="23"/>
  <c r="D218" i="23"/>
  <c r="B218" i="23" s="1"/>
  <c r="C218" i="23" s="1"/>
  <c r="F218" i="23"/>
  <c r="G218" i="23"/>
  <c r="H218" i="23"/>
  <c r="K218" i="23"/>
  <c r="D219" i="23"/>
  <c r="B219" i="23" s="1"/>
  <c r="C219" i="23" s="1"/>
  <c r="F219" i="23"/>
  <c r="G219" i="23"/>
  <c r="H219" i="23"/>
  <c r="K219" i="23"/>
  <c r="D220" i="23"/>
  <c r="B220" i="23" s="1"/>
  <c r="C220" i="23" s="1"/>
  <c r="F220" i="23"/>
  <c r="G220" i="23"/>
  <c r="H220" i="23"/>
  <c r="K220" i="23"/>
  <c r="D221" i="23"/>
  <c r="B221" i="23" s="1"/>
  <c r="C221" i="23" s="1"/>
  <c r="F221" i="23"/>
  <c r="G221" i="23"/>
  <c r="H221" i="23"/>
  <c r="K221" i="23"/>
  <c r="D222" i="23"/>
  <c r="B222" i="23" s="1"/>
  <c r="C222" i="23" s="1"/>
  <c r="F222" i="23"/>
  <c r="G222" i="23"/>
  <c r="H222" i="23"/>
  <c r="K222" i="23"/>
  <c r="D223" i="23"/>
  <c r="B223" i="23" s="1"/>
  <c r="C223" i="23" s="1"/>
  <c r="F223" i="23"/>
  <c r="G223" i="23"/>
  <c r="H223" i="23"/>
  <c r="K223" i="23"/>
  <c r="D224" i="23"/>
  <c r="B224" i="23" s="1"/>
  <c r="C224" i="23" s="1"/>
  <c r="F224" i="23"/>
  <c r="G224" i="23"/>
  <c r="H224" i="23"/>
  <c r="K224" i="23"/>
  <c r="D225" i="23"/>
  <c r="B225" i="23" s="1"/>
  <c r="C225" i="23" s="1"/>
  <c r="F225" i="23"/>
  <c r="G225" i="23"/>
  <c r="H225" i="23"/>
  <c r="K225" i="23"/>
  <c r="D226" i="23"/>
  <c r="B226" i="23" s="1"/>
  <c r="C226" i="23" s="1"/>
  <c r="F226" i="23"/>
  <c r="G226" i="23"/>
  <c r="H226" i="23"/>
  <c r="K226" i="23"/>
  <c r="D227" i="23"/>
  <c r="B227" i="23" s="1"/>
  <c r="C227" i="23" s="1"/>
  <c r="F227" i="23"/>
  <c r="G227" i="23"/>
  <c r="H227" i="23"/>
  <c r="K227" i="23"/>
  <c r="D228" i="23"/>
  <c r="B228" i="23" s="1"/>
  <c r="C228" i="23" s="1"/>
  <c r="F228" i="23"/>
  <c r="G228" i="23"/>
  <c r="H228" i="23"/>
  <c r="K228" i="23"/>
  <c r="D229" i="23"/>
  <c r="B229" i="23" s="1"/>
  <c r="C229" i="23" s="1"/>
  <c r="F229" i="23"/>
  <c r="G229" i="23"/>
  <c r="H229" i="23"/>
  <c r="K229" i="23"/>
  <c r="D230" i="23"/>
  <c r="B230" i="23" s="1"/>
  <c r="C230" i="23" s="1"/>
  <c r="F230" i="23"/>
  <c r="G230" i="23"/>
  <c r="H230" i="23"/>
  <c r="K230" i="23"/>
  <c r="D231" i="23"/>
  <c r="B231" i="23" s="1"/>
  <c r="C231" i="23" s="1"/>
  <c r="F231" i="23"/>
  <c r="G231" i="23"/>
  <c r="H231" i="23"/>
  <c r="K231" i="23"/>
  <c r="D232" i="23"/>
  <c r="B232" i="23" s="1"/>
  <c r="C232" i="23" s="1"/>
  <c r="F232" i="23"/>
  <c r="G232" i="23"/>
  <c r="H232" i="23"/>
  <c r="K232" i="23"/>
  <c r="D233" i="23"/>
  <c r="B233" i="23" s="1"/>
  <c r="C233" i="23" s="1"/>
  <c r="F233" i="23"/>
  <c r="G233" i="23"/>
  <c r="H233" i="23"/>
  <c r="K233" i="23"/>
  <c r="D234" i="23"/>
  <c r="B234" i="23" s="1"/>
  <c r="C234" i="23" s="1"/>
  <c r="F234" i="23"/>
  <c r="G234" i="23"/>
  <c r="H234" i="23"/>
  <c r="K234" i="23"/>
  <c r="D235" i="23"/>
  <c r="B235" i="23" s="1"/>
  <c r="C235" i="23" s="1"/>
  <c r="F235" i="23"/>
  <c r="G235" i="23"/>
  <c r="H235" i="23"/>
  <c r="K235" i="23"/>
  <c r="D236" i="23"/>
  <c r="B236" i="23" s="1"/>
  <c r="C236" i="23" s="1"/>
  <c r="F236" i="23"/>
  <c r="G236" i="23"/>
  <c r="H236" i="23"/>
  <c r="K236" i="23"/>
  <c r="D237" i="23"/>
  <c r="B237" i="23" s="1"/>
  <c r="C237" i="23" s="1"/>
  <c r="F237" i="23"/>
  <c r="G237" i="23"/>
  <c r="H237" i="23"/>
  <c r="K237" i="23"/>
  <c r="D238" i="23"/>
  <c r="B238" i="23" s="1"/>
  <c r="C238" i="23" s="1"/>
  <c r="F238" i="23"/>
  <c r="G238" i="23"/>
  <c r="H238" i="23"/>
  <c r="K238" i="23"/>
  <c r="D239" i="23"/>
  <c r="B239" i="23" s="1"/>
  <c r="C239" i="23" s="1"/>
  <c r="F239" i="23"/>
  <c r="G239" i="23"/>
  <c r="H239" i="23"/>
  <c r="K239" i="23"/>
  <c r="D240" i="23"/>
  <c r="B240" i="23" s="1"/>
  <c r="C240" i="23" s="1"/>
  <c r="F240" i="23"/>
  <c r="G240" i="23"/>
  <c r="H240" i="23"/>
  <c r="K240" i="23"/>
  <c r="D241" i="23"/>
  <c r="B241" i="23" s="1"/>
  <c r="C241" i="23" s="1"/>
  <c r="F241" i="23"/>
  <c r="G241" i="23"/>
  <c r="H241" i="23"/>
  <c r="K241" i="23"/>
  <c r="D242" i="23"/>
  <c r="B242" i="23" s="1"/>
  <c r="C242" i="23" s="1"/>
  <c r="F242" i="23"/>
  <c r="G242" i="23"/>
  <c r="H242" i="23"/>
  <c r="K242" i="23"/>
  <c r="D243" i="23"/>
  <c r="B243" i="23" s="1"/>
  <c r="C243" i="23" s="1"/>
  <c r="F243" i="23"/>
  <c r="G243" i="23"/>
  <c r="H243" i="23"/>
  <c r="K243" i="23"/>
  <c r="D244" i="23"/>
  <c r="B244" i="23" s="1"/>
  <c r="C244" i="23" s="1"/>
  <c r="F244" i="23"/>
  <c r="G244" i="23"/>
  <c r="H244" i="23"/>
  <c r="K244" i="23"/>
  <c r="D245" i="23"/>
  <c r="B245" i="23" s="1"/>
  <c r="C245" i="23" s="1"/>
  <c r="F245" i="23"/>
  <c r="G245" i="23"/>
  <c r="H245" i="23"/>
  <c r="K245" i="23"/>
  <c r="D246" i="23"/>
  <c r="B246" i="23" s="1"/>
  <c r="C246" i="23" s="1"/>
  <c r="F246" i="23"/>
  <c r="G246" i="23"/>
  <c r="H246" i="23"/>
  <c r="K246" i="23"/>
  <c r="D247" i="23"/>
  <c r="B247" i="23" s="1"/>
  <c r="C247" i="23" s="1"/>
  <c r="F247" i="23"/>
  <c r="G247" i="23"/>
  <c r="H247" i="23"/>
  <c r="K247" i="23"/>
  <c r="D248" i="23"/>
  <c r="B248" i="23" s="1"/>
  <c r="C248" i="23" s="1"/>
  <c r="F248" i="23"/>
  <c r="G248" i="23"/>
  <c r="H248" i="23"/>
  <c r="K248" i="23"/>
  <c r="D249" i="23"/>
  <c r="B249" i="23" s="1"/>
  <c r="C249" i="23" s="1"/>
  <c r="F249" i="23"/>
  <c r="G249" i="23"/>
  <c r="H249" i="23"/>
  <c r="K249" i="23"/>
  <c r="D250" i="23"/>
  <c r="B250" i="23" s="1"/>
  <c r="C250" i="23" s="1"/>
  <c r="F250" i="23"/>
  <c r="G250" i="23"/>
  <c r="H250" i="23"/>
  <c r="K250" i="23"/>
  <c r="D251" i="23"/>
  <c r="B251" i="23" s="1"/>
  <c r="C251" i="23" s="1"/>
  <c r="F251" i="23"/>
  <c r="G251" i="23"/>
  <c r="H251" i="23"/>
  <c r="K251" i="23"/>
  <c r="D252" i="23"/>
  <c r="B252" i="23" s="1"/>
  <c r="C252" i="23" s="1"/>
  <c r="F252" i="23"/>
  <c r="G252" i="23"/>
  <c r="H252" i="23"/>
  <c r="K252" i="23"/>
  <c r="D253" i="23"/>
  <c r="B253" i="23" s="1"/>
  <c r="C253" i="23" s="1"/>
  <c r="F253" i="23"/>
  <c r="G253" i="23"/>
  <c r="H253" i="23"/>
  <c r="K253" i="23"/>
  <c r="D254" i="23"/>
  <c r="B254" i="23" s="1"/>
  <c r="C254" i="23" s="1"/>
  <c r="F254" i="23"/>
  <c r="G254" i="23"/>
  <c r="H254" i="23"/>
  <c r="K254" i="23"/>
  <c r="D255" i="23"/>
  <c r="B255" i="23" s="1"/>
  <c r="C255" i="23" s="1"/>
  <c r="F255" i="23"/>
  <c r="G255" i="23"/>
  <c r="H255" i="23"/>
  <c r="K255" i="23"/>
  <c r="D256" i="23"/>
  <c r="B256" i="23" s="1"/>
  <c r="C256" i="23" s="1"/>
  <c r="F256" i="23"/>
  <c r="G256" i="23"/>
  <c r="H256" i="23"/>
  <c r="K256" i="23"/>
  <c r="D257" i="23"/>
  <c r="B257" i="23" s="1"/>
  <c r="C257" i="23" s="1"/>
  <c r="F257" i="23"/>
  <c r="G257" i="23"/>
  <c r="H257" i="23"/>
  <c r="K257" i="23"/>
  <c r="D258" i="23"/>
  <c r="B258" i="23" s="1"/>
  <c r="C258" i="23" s="1"/>
  <c r="F258" i="23"/>
  <c r="G258" i="23"/>
  <c r="H258" i="23"/>
  <c r="K258" i="23"/>
  <c r="D259" i="23"/>
  <c r="B259" i="23" s="1"/>
  <c r="C259" i="23" s="1"/>
  <c r="F259" i="23"/>
  <c r="G259" i="23"/>
  <c r="H259" i="23"/>
  <c r="K259" i="23"/>
  <c r="D260" i="23"/>
  <c r="B260" i="23" s="1"/>
  <c r="C260" i="23" s="1"/>
  <c r="F260" i="23"/>
  <c r="G260" i="23"/>
  <c r="H260" i="23"/>
  <c r="K260" i="23"/>
  <c r="D261" i="23"/>
  <c r="B261" i="23" s="1"/>
  <c r="C261" i="23" s="1"/>
  <c r="F261" i="23"/>
  <c r="G261" i="23"/>
  <c r="H261" i="23"/>
  <c r="K261" i="23"/>
  <c r="D262" i="23"/>
  <c r="B262" i="23" s="1"/>
  <c r="C262" i="23" s="1"/>
  <c r="F262" i="23"/>
  <c r="G262" i="23"/>
  <c r="H262" i="23"/>
  <c r="K262" i="23"/>
  <c r="D263" i="23"/>
  <c r="B263" i="23" s="1"/>
  <c r="C263" i="23" s="1"/>
  <c r="F263" i="23"/>
  <c r="G263" i="23"/>
  <c r="H263" i="23"/>
  <c r="K263" i="23"/>
  <c r="D264" i="23"/>
  <c r="B264" i="23" s="1"/>
  <c r="C264" i="23" s="1"/>
  <c r="F264" i="23"/>
  <c r="G264" i="23"/>
  <c r="H264" i="23"/>
  <c r="K264" i="23"/>
  <c r="D265" i="23"/>
  <c r="B265" i="23" s="1"/>
  <c r="C265" i="23" s="1"/>
  <c r="F265" i="23"/>
  <c r="G265" i="23"/>
  <c r="H265" i="23"/>
  <c r="K265" i="23"/>
  <c r="D266" i="23"/>
  <c r="B266" i="23" s="1"/>
  <c r="C266" i="23" s="1"/>
  <c r="F266" i="23"/>
  <c r="G266" i="23"/>
  <c r="H266" i="23"/>
  <c r="K266" i="23"/>
  <c r="D267" i="23"/>
  <c r="B267" i="23" s="1"/>
  <c r="C267" i="23" s="1"/>
  <c r="F267" i="23"/>
  <c r="G267" i="23"/>
  <c r="H267" i="23"/>
  <c r="K267" i="23"/>
  <c r="D268" i="23"/>
  <c r="B268" i="23" s="1"/>
  <c r="C268" i="23" s="1"/>
  <c r="F268" i="23"/>
  <c r="G268" i="23"/>
  <c r="H268" i="23"/>
  <c r="K268" i="23"/>
  <c r="D269" i="23"/>
  <c r="B269" i="23" s="1"/>
  <c r="C269" i="23" s="1"/>
  <c r="F269" i="23"/>
  <c r="G269" i="23"/>
  <c r="H269" i="23"/>
  <c r="K269" i="23"/>
  <c r="D270" i="23"/>
  <c r="B270" i="23" s="1"/>
  <c r="C270" i="23" s="1"/>
  <c r="F270" i="23"/>
  <c r="G270" i="23"/>
  <c r="H270" i="23"/>
  <c r="K270" i="23"/>
  <c r="D271" i="23"/>
  <c r="B271" i="23" s="1"/>
  <c r="C271" i="23" s="1"/>
  <c r="F271" i="23"/>
  <c r="G271" i="23"/>
  <c r="H271" i="23"/>
  <c r="K271" i="23"/>
  <c r="D272" i="23"/>
  <c r="B272" i="23" s="1"/>
  <c r="C272" i="23" s="1"/>
  <c r="F272" i="23"/>
  <c r="G272" i="23"/>
  <c r="H272" i="23"/>
  <c r="K272" i="23"/>
  <c r="D273" i="23"/>
  <c r="B273" i="23" s="1"/>
  <c r="C273" i="23" s="1"/>
  <c r="F273" i="23"/>
  <c r="G273" i="23"/>
  <c r="H273" i="23"/>
  <c r="K273" i="23"/>
  <c r="D274" i="23"/>
  <c r="B274" i="23" s="1"/>
  <c r="C274" i="23" s="1"/>
  <c r="F274" i="23"/>
  <c r="G274" i="23"/>
  <c r="H274" i="23"/>
  <c r="K274" i="23"/>
  <c r="D275" i="23"/>
  <c r="B275" i="23" s="1"/>
  <c r="C275" i="23" s="1"/>
  <c r="F275" i="23"/>
  <c r="G275" i="23"/>
  <c r="H275" i="23"/>
  <c r="K275" i="23"/>
  <c r="D276" i="23"/>
  <c r="B276" i="23" s="1"/>
  <c r="C276" i="23" s="1"/>
  <c r="F276" i="23"/>
  <c r="G276" i="23"/>
  <c r="H276" i="23"/>
  <c r="K276" i="23"/>
  <c r="D277" i="23"/>
  <c r="B277" i="23" s="1"/>
  <c r="C277" i="23" s="1"/>
  <c r="F277" i="23"/>
  <c r="G277" i="23"/>
  <c r="H277" i="23"/>
  <c r="K277" i="23"/>
  <c r="D278" i="23"/>
  <c r="B278" i="23" s="1"/>
  <c r="C278" i="23" s="1"/>
  <c r="F278" i="23"/>
  <c r="G278" i="23"/>
  <c r="H278" i="23"/>
  <c r="K278" i="23"/>
  <c r="D279" i="23"/>
  <c r="B279" i="23" s="1"/>
  <c r="C279" i="23" s="1"/>
  <c r="F279" i="23"/>
  <c r="G279" i="23"/>
  <c r="H279" i="23"/>
  <c r="K279" i="23"/>
  <c r="D280" i="23"/>
  <c r="B280" i="23" s="1"/>
  <c r="C280" i="23" s="1"/>
  <c r="F280" i="23"/>
  <c r="G280" i="23"/>
  <c r="H280" i="23"/>
  <c r="K280" i="23"/>
  <c r="D281" i="23"/>
  <c r="B281" i="23" s="1"/>
  <c r="C281" i="23" s="1"/>
  <c r="F281" i="23"/>
  <c r="G281" i="23"/>
  <c r="H281" i="23"/>
  <c r="K281" i="23"/>
  <c r="D282" i="23"/>
  <c r="B282" i="23" s="1"/>
  <c r="C282" i="23" s="1"/>
  <c r="F282" i="23"/>
  <c r="G282" i="23"/>
  <c r="H282" i="23"/>
  <c r="K282" i="23"/>
  <c r="D283" i="23"/>
  <c r="B283" i="23" s="1"/>
  <c r="C283" i="23" s="1"/>
  <c r="F283" i="23"/>
  <c r="G283" i="23"/>
  <c r="H283" i="23"/>
  <c r="K283" i="23"/>
  <c r="D284" i="23"/>
  <c r="B284" i="23" s="1"/>
  <c r="C284" i="23" s="1"/>
  <c r="F284" i="23"/>
  <c r="G284" i="23"/>
  <c r="H284" i="23"/>
  <c r="K284" i="23"/>
  <c r="D285" i="23"/>
  <c r="B285" i="23" s="1"/>
  <c r="C285" i="23" s="1"/>
  <c r="F285" i="23"/>
  <c r="G285" i="23"/>
  <c r="H285" i="23"/>
  <c r="K285" i="23"/>
  <c r="D286" i="23"/>
  <c r="B286" i="23" s="1"/>
  <c r="C286" i="23" s="1"/>
  <c r="F286" i="23"/>
  <c r="G286" i="23"/>
  <c r="H286" i="23"/>
  <c r="K286" i="23"/>
  <c r="D287" i="23"/>
  <c r="B287" i="23" s="1"/>
  <c r="C287" i="23" s="1"/>
  <c r="F287" i="23"/>
  <c r="G287" i="23"/>
  <c r="H287" i="23"/>
  <c r="K287" i="23"/>
  <c r="D288" i="23"/>
  <c r="B288" i="23" s="1"/>
  <c r="C288" i="23" s="1"/>
  <c r="F288" i="23"/>
  <c r="G288" i="23"/>
  <c r="H288" i="23"/>
  <c r="K288" i="23"/>
  <c r="D289" i="23"/>
  <c r="B289" i="23" s="1"/>
  <c r="C289" i="23" s="1"/>
  <c r="F289" i="23"/>
  <c r="G289" i="23"/>
  <c r="H289" i="23"/>
  <c r="K289" i="23"/>
  <c r="D290" i="23"/>
  <c r="B290" i="23" s="1"/>
  <c r="C290" i="23" s="1"/>
  <c r="F290" i="23"/>
  <c r="G290" i="23"/>
  <c r="H290" i="23"/>
  <c r="K290" i="23"/>
  <c r="D291" i="23"/>
  <c r="B291" i="23" s="1"/>
  <c r="C291" i="23" s="1"/>
  <c r="F291" i="23"/>
  <c r="G291" i="23"/>
  <c r="H291" i="23"/>
  <c r="K291" i="23"/>
  <c r="D292" i="23"/>
  <c r="B292" i="23" s="1"/>
  <c r="C292" i="23" s="1"/>
  <c r="F292" i="23"/>
  <c r="G292" i="23"/>
  <c r="H292" i="23"/>
  <c r="K292" i="23"/>
  <c r="D293" i="23"/>
  <c r="B293" i="23" s="1"/>
  <c r="C293" i="23" s="1"/>
  <c r="F293" i="23"/>
  <c r="G293" i="23"/>
  <c r="H293" i="23"/>
  <c r="K293" i="23"/>
  <c r="D294" i="23"/>
  <c r="B294" i="23" s="1"/>
  <c r="C294" i="23" s="1"/>
  <c r="F294" i="23"/>
  <c r="G294" i="23"/>
  <c r="H294" i="23"/>
  <c r="K294" i="23"/>
  <c r="D295" i="23"/>
  <c r="B295" i="23" s="1"/>
  <c r="C295" i="23" s="1"/>
  <c r="F295" i="23"/>
  <c r="G295" i="23"/>
  <c r="H295" i="23"/>
  <c r="K295" i="23"/>
  <c r="D296" i="23"/>
  <c r="B296" i="23" s="1"/>
  <c r="C296" i="23" s="1"/>
  <c r="F296" i="23"/>
  <c r="G296" i="23"/>
  <c r="H296" i="23"/>
  <c r="K296" i="23"/>
  <c r="D297" i="23"/>
  <c r="B297" i="23" s="1"/>
  <c r="C297" i="23" s="1"/>
  <c r="F297" i="23"/>
  <c r="G297" i="23"/>
  <c r="H297" i="23"/>
  <c r="K297" i="23"/>
  <c r="D298" i="23"/>
  <c r="B298" i="23" s="1"/>
  <c r="C298" i="23" s="1"/>
  <c r="F298" i="23"/>
  <c r="G298" i="23"/>
  <c r="H298" i="23"/>
  <c r="K298" i="23"/>
  <c r="D299" i="23"/>
  <c r="B299" i="23" s="1"/>
  <c r="C299" i="23" s="1"/>
  <c r="F299" i="23"/>
  <c r="G299" i="23"/>
  <c r="H299" i="23"/>
  <c r="K299" i="23"/>
  <c r="D300" i="23"/>
  <c r="B300" i="23" s="1"/>
  <c r="C300" i="23" s="1"/>
  <c r="F300" i="23"/>
  <c r="G300" i="23"/>
  <c r="H300" i="23"/>
  <c r="K300" i="23"/>
  <c r="D301" i="23"/>
  <c r="B301" i="23" s="1"/>
  <c r="C301" i="23" s="1"/>
  <c r="F301" i="23"/>
  <c r="G301" i="23"/>
  <c r="H301" i="23"/>
  <c r="K301" i="23"/>
  <c r="D302" i="23"/>
  <c r="B302" i="23" s="1"/>
  <c r="C302" i="23" s="1"/>
  <c r="F302" i="23"/>
  <c r="G302" i="23"/>
  <c r="H302" i="23"/>
  <c r="K302" i="23"/>
  <c r="D303" i="23"/>
  <c r="B303" i="23" s="1"/>
  <c r="C303" i="23" s="1"/>
  <c r="F303" i="23"/>
  <c r="G303" i="23"/>
  <c r="H303" i="23"/>
  <c r="K303" i="23"/>
  <c r="D304" i="23"/>
  <c r="B304" i="23" s="1"/>
  <c r="C304" i="23" s="1"/>
  <c r="F304" i="23"/>
  <c r="G304" i="23"/>
  <c r="H304" i="23"/>
  <c r="K304" i="23"/>
  <c r="D305" i="23"/>
  <c r="B305" i="23" s="1"/>
  <c r="C305" i="23" s="1"/>
  <c r="F305" i="23"/>
  <c r="G305" i="23"/>
  <c r="H305" i="23"/>
  <c r="K305" i="23"/>
  <c r="D306" i="23"/>
  <c r="B306" i="23" s="1"/>
  <c r="C306" i="23" s="1"/>
  <c r="F306" i="23"/>
  <c r="G306" i="23"/>
  <c r="H306" i="23"/>
  <c r="K306" i="23"/>
  <c r="D307" i="23"/>
  <c r="B307" i="23" s="1"/>
  <c r="C307" i="23" s="1"/>
  <c r="F307" i="23"/>
  <c r="G307" i="23"/>
  <c r="H307" i="23"/>
  <c r="K307" i="23"/>
  <c r="D308" i="23"/>
  <c r="B308" i="23" s="1"/>
  <c r="C308" i="23" s="1"/>
  <c r="F308" i="23"/>
  <c r="G308" i="23"/>
  <c r="H308" i="23"/>
  <c r="K308" i="23"/>
  <c r="D309" i="23"/>
  <c r="B309" i="23" s="1"/>
  <c r="C309" i="23" s="1"/>
  <c r="F309" i="23"/>
  <c r="G309" i="23"/>
  <c r="H309" i="23"/>
  <c r="K309" i="23"/>
  <c r="D310" i="23"/>
  <c r="B310" i="23" s="1"/>
  <c r="C310" i="23" s="1"/>
  <c r="F310" i="23"/>
  <c r="G310" i="23"/>
  <c r="H310" i="23"/>
  <c r="K310" i="23"/>
  <c r="D311" i="23"/>
  <c r="B311" i="23" s="1"/>
  <c r="C311" i="23" s="1"/>
  <c r="F311" i="23"/>
  <c r="G311" i="23"/>
  <c r="H311" i="23"/>
  <c r="K311" i="23"/>
  <c r="D312" i="23"/>
  <c r="B312" i="23" s="1"/>
  <c r="C312" i="23" s="1"/>
  <c r="F312" i="23"/>
  <c r="G312" i="23"/>
  <c r="H312" i="23"/>
  <c r="K312" i="23"/>
  <c r="D313" i="23"/>
  <c r="B313" i="23" s="1"/>
  <c r="C313" i="23" s="1"/>
  <c r="F313" i="23"/>
  <c r="G313" i="23"/>
  <c r="H313" i="23"/>
  <c r="K313" i="23"/>
  <c r="D314" i="23"/>
  <c r="B314" i="23" s="1"/>
  <c r="C314" i="23" s="1"/>
  <c r="F314" i="23"/>
  <c r="G314" i="23"/>
  <c r="H314" i="23"/>
  <c r="K314" i="23"/>
  <c r="D315" i="23"/>
  <c r="B315" i="23" s="1"/>
  <c r="C315" i="23" s="1"/>
  <c r="F315" i="23"/>
  <c r="G315" i="23"/>
  <c r="H315" i="23"/>
  <c r="K315" i="23"/>
  <c r="D316" i="23"/>
  <c r="B316" i="23" s="1"/>
  <c r="C316" i="23" s="1"/>
  <c r="F316" i="23"/>
  <c r="G316" i="23"/>
  <c r="H316" i="23"/>
  <c r="K316" i="23"/>
  <c r="D317" i="23"/>
  <c r="B317" i="23" s="1"/>
  <c r="C317" i="23" s="1"/>
  <c r="F317" i="23"/>
  <c r="G317" i="23"/>
  <c r="H317" i="23"/>
  <c r="K317" i="23"/>
  <c r="D318" i="23"/>
  <c r="B318" i="23" s="1"/>
  <c r="C318" i="23" s="1"/>
  <c r="F318" i="23"/>
  <c r="G318" i="23"/>
  <c r="H318" i="23"/>
  <c r="K318" i="23"/>
  <c r="D319" i="23"/>
  <c r="B319" i="23" s="1"/>
  <c r="C319" i="23" s="1"/>
  <c r="F319" i="23"/>
  <c r="G319" i="23"/>
  <c r="H319" i="23"/>
  <c r="K319" i="23"/>
  <c r="D320" i="23"/>
  <c r="B320" i="23" s="1"/>
  <c r="C320" i="23" s="1"/>
  <c r="F320" i="23"/>
  <c r="G320" i="23"/>
  <c r="H320" i="23"/>
  <c r="K320" i="23"/>
  <c r="D321" i="23"/>
  <c r="B321" i="23" s="1"/>
  <c r="C321" i="23" s="1"/>
  <c r="F321" i="23"/>
  <c r="G321" i="23"/>
  <c r="H321" i="23"/>
  <c r="K321" i="23"/>
  <c r="D322" i="23"/>
  <c r="B322" i="23" s="1"/>
  <c r="C322" i="23" s="1"/>
  <c r="F322" i="23"/>
  <c r="G322" i="23"/>
  <c r="H322" i="23"/>
  <c r="K322" i="23"/>
  <c r="D323" i="23"/>
  <c r="B323" i="23" s="1"/>
  <c r="C323" i="23" s="1"/>
  <c r="F323" i="23"/>
  <c r="G323" i="23"/>
  <c r="H323" i="23"/>
  <c r="K323" i="23"/>
  <c r="D324" i="23"/>
  <c r="B324" i="23" s="1"/>
  <c r="C324" i="23" s="1"/>
  <c r="F324" i="23"/>
  <c r="G324" i="23"/>
  <c r="H324" i="23"/>
  <c r="K324" i="23"/>
  <c r="D325" i="23"/>
  <c r="B325" i="23" s="1"/>
  <c r="C325" i="23" s="1"/>
  <c r="F325" i="23"/>
  <c r="G325" i="23"/>
  <c r="H325" i="23"/>
  <c r="K325" i="23"/>
  <c r="D326" i="23"/>
  <c r="B326" i="23" s="1"/>
  <c r="C326" i="23" s="1"/>
  <c r="F326" i="23"/>
  <c r="G326" i="23"/>
  <c r="H326" i="23"/>
  <c r="K326" i="23"/>
  <c r="D327" i="23"/>
  <c r="B327" i="23" s="1"/>
  <c r="C327" i="23" s="1"/>
  <c r="F327" i="23"/>
  <c r="G327" i="23"/>
  <c r="H327" i="23"/>
  <c r="K327" i="23"/>
  <c r="D328" i="23"/>
  <c r="B328" i="23" s="1"/>
  <c r="C328" i="23" s="1"/>
  <c r="F328" i="23"/>
  <c r="G328" i="23"/>
  <c r="H328" i="23"/>
  <c r="K328" i="23"/>
  <c r="D329" i="23"/>
  <c r="B329" i="23" s="1"/>
  <c r="C329" i="23" s="1"/>
  <c r="F329" i="23"/>
  <c r="G329" i="23"/>
  <c r="H329" i="23"/>
  <c r="K329" i="23"/>
  <c r="D330" i="23"/>
  <c r="B330" i="23" s="1"/>
  <c r="C330" i="23" s="1"/>
  <c r="F330" i="23"/>
  <c r="G330" i="23"/>
  <c r="H330" i="23"/>
  <c r="K330" i="23"/>
  <c r="D331" i="23"/>
  <c r="B331" i="23" s="1"/>
  <c r="C331" i="23" s="1"/>
  <c r="F331" i="23"/>
  <c r="G331" i="23"/>
  <c r="H331" i="23"/>
  <c r="K331" i="23"/>
  <c r="D332" i="23"/>
  <c r="B332" i="23" s="1"/>
  <c r="C332" i="23" s="1"/>
  <c r="F332" i="23"/>
  <c r="G332" i="23"/>
  <c r="H332" i="23"/>
  <c r="K332" i="23"/>
  <c r="D333" i="23"/>
  <c r="B333" i="23" s="1"/>
  <c r="C333" i="23" s="1"/>
  <c r="F333" i="23"/>
  <c r="G333" i="23"/>
  <c r="H333" i="23"/>
  <c r="K333" i="23"/>
  <c r="D334" i="23"/>
  <c r="B334" i="23" s="1"/>
  <c r="C334" i="23" s="1"/>
  <c r="F334" i="23"/>
  <c r="G334" i="23"/>
  <c r="H334" i="23"/>
  <c r="K334" i="23"/>
  <c r="D335" i="23"/>
  <c r="B335" i="23" s="1"/>
  <c r="C335" i="23" s="1"/>
  <c r="F335" i="23"/>
  <c r="G335" i="23"/>
  <c r="H335" i="23"/>
  <c r="K335" i="23"/>
  <c r="D336" i="23"/>
  <c r="B336" i="23" s="1"/>
  <c r="C336" i="23" s="1"/>
  <c r="F336" i="23"/>
  <c r="G336" i="23"/>
  <c r="H336" i="23"/>
  <c r="K336" i="23"/>
  <c r="D337" i="23"/>
  <c r="B337" i="23" s="1"/>
  <c r="C337" i="23" s="1"/>
  <c r="F337" i="23"/>
  <c r="G337" i="23"/>
  <c r="H337" i="23"/>
  <c r="K337" i="23"/>
  <c r="D338" i="23"/>
  <c r="B338" i="23" s="1"/>
  <c r="C338" i="23" s="1"/>
  <c r="F338" i="23"/>
  <c r="G338" i="23"/>
  <c r="H338" i="23"/>
  <c r="K338" i="23"/>
  <c r="D339" i="23"/>
  <c r="B339" i="23" s="1"/>
  <c r="C339" i="23" s="1"/>
  <c r="F339" i="23"/>
  <c r="G339" i="23"/>
  <c r="H339" i="23"/>
  <c r="K339" i="23"/>
  <c r="D340" i="23"/>
  <c r="B340" i="23" s="1"/>
  <c r="C340" i="23" s="1"/>
  <c r="F340" i="23"/>
  <c r="G340" i="23"/>
  <c r="H340" i="23"/>
  <c r="K340" i="23"/>
  <c r="D341" i="23"/>
  <c r="B341" i="23" s="1"/>
  <c r="C341" i="23" s="1"/>
  <c r="F341" i="23"/>
  <c r="G341" i="23"/>
  <c r="H341" i="23"/>
  <c r="K341" i="23"/>
  <c r="D342" i="23"/>
  <c r="B342" i="23" s="1"/>
  <c r="C342" i="23" s="1"/>
  <c r="F342" i="23"/>
  <c r="G342" i="23"/>
  <c r="H342" i="23"/>
  <c r="K342" i="23"/>
  <c r="D343" i="23"/>
  <c r="B343" i="23" s="1"/>
  <c r="C343" i="23" s="1"/>
  <c r="F343" i="23"/>
  <c r="G343" i="23"/>
  <c r="H343" i="23"/>
  <c r="K343" i="23"/>
  <c r="D344" i="23"/>
  <c r="B344" i="23" s="1"/>
  <c r="C344" i="23" s="1"/>
  <c r="F344" i="23"/>
  <c r="G344" i="23"/>
  <c r="H344" i="23"/>
  <c r="K344" i="23"/>
  <c r="D345" i="23"/>
  <c r="B345" i="23" s="1"/>
  <c r="C345" i="23" s="1"/>
  <c r="F345" i="23"/>
  <c r="G345" i="23"/>
  <c r="H345" i="23"/>
  <c r="K345" i="23"/>
  <c r="D346" i="23"/>
  <c r="B346" i="23" s="1"/>
  <c r="C346" i="23" s="1"/>
  <c r="F346" i="23"/>
  <c r="G346" i="23"/>
  <c r="H346" i="23"/>
  <c r="K346" i="23"/>
  <c r="D347" i="23"/>
  <c r="B347" i="23" s="1"/>
  <c r="C347" i="23" s="1"/>
  <c r="F347" i="23"/>
  <c r="G347" i="23"/>
  <c r="H347" i="23"/>
  <c r="K347" i="23"/>
  <c r="D348" i="23"/>
  <c r="B348" i="23" s="1"/>
  <c r="C348" i="23" s="1"/>
  <c r="F348" i="23"/>
  <c r="G348" i="23"/>
  <c r="H348" i="23"/>
  <c r="K348" i="23"/>
  <c r="D349" i="23"/>
  <c r="B349" i="23" s="1"/>
  <c r="C349" i="23" s="1"/>
  <c r="F349" i="23"/>
  <c r="G349" i="23"/>
  <c r="H349" i="23"/>
  <c r="K349" i="23"/>
  <c r="D350" i="23"/>
  <c r="B350" i="23" s="1"/>
  <c r="C350" i="23" s="1"/>
  <c r="F350" i="23"/>
  <c r="G350" i="23"/>
  <c r="H350" i="23"/>
  <c r="K350" i="23"/>
  <c r="D351" i="23"/>
  <c r="B351" i="23" s="1"/>
  <c r="C351" i="23" s="1"/>
  <c r="F351" i="23"/>
  <c r="G351" i="23"/>
  <c r="H351" i="23"/>
  <c r="K351" i="23"/>
  <c r="D352" i="23"/>
  <c r="B352" i="23" s="1"/>
  <c r="C352" i="23" s="1"/>
  <c r="F352" i="23"/>
  <c r="G352" i="23"/>
  <c r="H352" i="23"/>
  <c r="K352" i="23"/>
  <c r="D353" i="23"/>
  <c r="B353" i="23" s="1"/>
  <c r="C353" i="23" s="1"/>
  <c r="F353" i="23"/>
  <c r="G353" i="23"/>
  <c r="H353" i="23"/>
  <c r="K353" i="23"/>
  <c r="D354" i="23"/>
  <c r="B354" i="23" s="1"/>
  <c r="C354" i="23" s="1"/>
  <c r="F354" i="23"/>
  <c r="G354" i="23"/>
  <c r="H354" i="23"/>
  <c r="K354" i="23"/>
  <c r="D355" i="23"/>
  <c r="B355" i="23" s="1"/>
  <c r="C355" i="23" s="1"/>
  <c r="F355" i="23"/>
  <c r="G355" i="23"/>
  <c r="H355" i="23"/>
  <c r="K355" i="23"/>
  <c r="D356" i="23"/>
  <c r="B356" i="23" s="1"/>
  <c r="C356" i="23" s="1"/>
  <c r="F356" i="23"/>
  <c r="G356" i="23"/>
  <c r="H356" i="23"/>
  <c r="K356" i="23"/>
  <c r="D357" i="23"/>
  <c r="B357" i="23" s="1"/>
  <c r="C357" i="23" s="1"/>
  <c r="F357" i="23"/>
  <c r="G357" i="23"/>
  <c r="H357" i="23"/>
  <c r="K357" i="23"/>
  <c r="D358" i="23"/>
  <c r="B358" i="23" s="1"/>
  <c r="C358" i="23" s="1"/>
  <c r="F358" i="23"/>
  <c r="G358" i="23"/>
  <c r="H358" i="23"/>
  <c r="K358" i="23"/>
  <c r="D359" i="23"/>
  <c r="B359" i="23" s="1"/>
  <c r="C359" i="23" s="1"/>
  <c r="F359" i="23"/>
  <c r="G359" i="23"/>
  <c r="H359" i="23"/>
  <c r="K359" i="23"/>
  <c r="D360" i="23"/>
  <c r="B360" i="23" s="1"/>
  <c r="C360" i="23" s="1"/>
  <c r="F360" i="23"/>
  <c r="G360" i="23"/>
  <c r="H360" i="23"/>
  <c r="K360" i="23"/>
  <c r="D361" i="23"/>
  <c r="B361" i="23" s="1"/>
  <c r="C361" i="23" s="1"/>
  <c r="F361" i="23"/>
  <c r="G361" i="23"/>
  <c r="H361" i="23"/>
  <c r="K361" i="23"/>
  <c r="D362" i="23"/>
  <c r="B362" i="23" s="1"/>
  <c r="C362" i="23" s="1"/>
  <c r="F362" i="23"/>
  <c r="G362" i="23"/>
  <c r="H362" i="23"/>
  <c r="K362" i="23"/>
  <c r="D363" i="23"/>
  <c r="B363" i="23" s="1"/>
  <c r="C363" i="23" s="1"/>
  <c r="F363" i="23"/>
  <c r="G363" i="23"/>
  <c r="H363" i="23"/>
  <c r="K363" i="23"/>
  <c r="D364" i="23"/>
  <c r="B364" i="23" s="1"/>
  <c r="C364" i="23" s="1"/>
  <c r="F364" i="23"/>
  <c r="G364" i="23"/>
  <c r="H364" i="23"/>
  <c r="K364" i="23"/>
  <c r="D365" i="23"/>
  <c r="B365" i="23" s="1"/>
  <c r="C365" i="23" s="1"/>
  <c r="F365" i="23"/>
  <c r="G365" i="23"/>
  <c r="H365" i="23"/>
  <c r="K365" i="23"/>
  <c r="D366" i="23"/>
  <c r="B366" i="23" s="1"/>
  <c r="C366" i="23" s="1"/>
  <c r="F366" i="23"/>
  <c r="G366" i="23"/>
  <c r="H366" i="23"/>
  <c r="K366" i="23"/>
  <c r="D367" i="23"/>
  <c r="B367" i="23" s="1"/>
  <c r="C367" i="23" s="1"/>
  <c r="F367" i="23"/>
  <c r="G367" i="23"/>
  <c r="H367" i="23"/>
  <c r="K367" i="23"/>
  <c r="D368" i="23"/>
  <c r="B368" i="23" s="1"/>
  <c r="C368" i="23" s="1"/>
  <c r="F368" i="23"/>
  <c r="G368" i="23"/>
  <c r="H368" i="23"/>
  <c r="K368" i="23"/>
  <c r="D369" i="23"/>
  <c r="B369" i="23" s="1"/>
  <c r="C369" i="23" s="1"/>
  <c r="F369" i="23"/>
  <c r="G369" i="23"/>
  <c r="H369" i="23"/>
  <c r="K369" i="23"/>
  <c r="D370" i="23"/>
  <c r="B370" i="23" s="1"/>
  <c r="C370" i="23" s="1"/>
  <c r="F370" i="23"/>
  <c r="G370" i="23"/>
  <c r="H370" i="23"/>
  <c r="K370" i="23"/>
  <c r="D371" i="23"/>
  <c r="B371" i="23" s="1"/>
  <c r="C371" i="23" s="1"/>
  <c r="F371" i="23"/>
  <c r="G371" i="23"/>
  <c r="H371" i="23"/>
  <c r="K371" i="23"/>
  <c r="D372" i="23"/>
  <c r="B372" i="23" s="1"/>
  <c r="C372" i="23" s="1"/>
  <c r="F372" i="23"/>
  <c r="G372" i="23"/>
  <c r="H372" i="23"/>
  <c r="K372" i="23"/>
  <c r="D373" i="23"/>
  <c r="B373" i="23" s="1"/>
  <c r="C373" i="23" s="1"/>
  <c r="F373" i="23"/>
  <c r="G373" i="23"/>
  <c r="H373" i="23"/>
  <c r="K373" i="23"/>
  <c r="D374" i="23"/>
  <c r="B374" i="23" s="1"/>
  <c r="C374" i="23" s="1"/>
  <c r="F374" i="23"/>
  <c r="G374" i="23"/>
  <c r="H374" i="23"/>
  <c r="K374" i="23"/>
  <c r="D375" i="23"/>
  <c r="B375" i="23" s="1"/>
  <c r="C375" i="23" s="1"/>
  <c r="F375" i="23"/>
  <c r="G375" i="23"/>
  <c r="H375" i="23"/>
  <c r="K375" i="23"/>
  <c r="D376" i="23"/>
  <c r="B376" i="23" s="1"/>
  <c r="C376" i="23" s="1"/>
  <c r="F376" i="23"/>
  <c r="G376" i="23"/>
  <c r="H376" i="23"/>
  <c r="K376" i="23"/>
  <c r="D377" i="23"/>
  <c r="B377" i="23" s="1"/>
  <c r="C377" i="23" s="1"/>
  <c r="F377" i="23"/>
  <c r="G377" i="23"/>
  <c r="H377" i="23"/>
  <c r="K377" i="23"/>
  <c r="D378" i="23"/>
  <c r="B378" i="23" s="1"/>
  <c r="C378" i="23" s="1"/>
  <c r="F378" i="23"/>
  <c r="G378" i="23"/>
  <c r="H378" i="23"/>
  <c r="K378" i="23"/>
  <c r="D379" i="23"/>
  <c r="B379" i="23" s="1"/>
  <c r="C379" i="23" s="1"/>
  <c r="F379" i="23"/>
  <c r="G379" i="23"/>
  <c r="H379" i="23"/>
  <c r="K379" i="23"/>
  <c r="D380" i="23"/>
  <c r="B380" i="23" s="1"/>
  <c r="C380" i="23" s="1"/>
  <c r="F380" i="23"/>
  <c r="G380" i="23"/>
  <c r="H380" i="23"/>
  <c r="K380" i="23"/>
  <c r="D381" i="23"/>
  <c r="B381" i="23" s="1"/>
  <c r="C381" i="23" s="1"/>
  <c r="F381" i="23"/>
  <c r="G381" i="23"/>
  <c r="H381" i="23"/>
  <c r="K381" i="23"/>
  <c r="D382" i="23"/>
  <c r="B382" i="23" s="1"/>
  <c r="C382" i="23" s="1"/>
  <c r="F382" i="23"/>
  <c r="G382" i="23"/>
  <c r="H382" i="23"/>
  <c r="K382" i="23"/>
  <c r="D383" i="23"/>
  <c r="B383" i="23" s="1"/>
  <c r="C383" i="23" s="1"/>
  <c r="F383" i="23"/>
  <c r="G383" i="23"/>
  <c r="H383" i="23"/>
  <c r="K383" i="23"/>
  <c r="D384" i="23"/>
  <c r="B384" i="23" s="1"/>
  <c r="C384" i="23" s="1"/>
  <c r="F384" i="23"/>
  <c r="G384" i="23"/>
  <c r="H384" i="23"/>
  <c r="K384" i="23"/>
  <c r="D385" i="23"/>
  <c r="B385" i="23" s="1"/>
  <c r="C385" i="23" s="1"/>
  <c r="F385" i="23"/>
  <c r="G385" i="23"/>
  <c r="H385" i="23"/>
  <c r="K385" i="23"/>
  <c r="D386" i="23"/>
  <c r="B386" i="23" s="1"/>
  <c r="C386" i="23" s="1"/>
  <c r="F386" i="23"/>
  <c r="G386" i="23"/>
  <c r="H386" i="23"/>
  <c r="K386" i="23"/>
  <c r="D387" i="23"/>
  <c r="B387" i="23" s="1"/>
  <c r="C387" i="23" s="1"/>
  <c r="F387" i="23"/>
  <c r="G387" i="23"/>
  <c r="H387" i="23"/>
  <c r="K387" i="23"/>
  <c r="D388" i="23"/>
  <c r="B388" i="23" s="1"/>
  <c r="C388" i="23" s="1"/>
  <c r="F388" i="23"/>
  <c r="G388" i="23"/>
  <c r="H388" i="23"/>
  <c r="K388" i="23"/>
  <c r="D389" i="23"/>
  <c r="B389" i="23" s="1"/>
  <c r="C389" i="23" s="1"/>
  <c r="F389" i="23"/>
  <c r="G389" i="23"/>
  <c r="H389" i="23"/>
  <c r="K389" i="23"/>
  <c r="D390" i="23"/>
  <c r="B390" i="23" s="1"/>
  <c r="C390" i="23" s="1"/>
  <c r="F390" i="23"/>
  <c r="G390" i="23"/>
  <c r="H390" i="23"/>
  <c r="K390" i="23"/>
  <c r="D391" i="23"/>
  <c r="B391" i="23" s="1"/>
  <c r="C391" i="23" s="1"/>
  <c r="F391" i="23"/>
  <c r="G391" i="23"/>
  <c r="H391" i="23"/>
  <c r="K391" i="23"/>
  <c r="D392" i="23"/>
  <c r="B392" i="23" s="1"/>
  <c r="C392" i="23" s="1"/>
  <c r="F392" i="23"/>
  <c r="G392" i="23"/>
  <c r="H392" i="23"/>
  <c r="K392" i="23"/>
  <c r="D393" i="23"/>
  <c r="B393" i="23" s="1"/>
  <c r="C393" i="23" s="1"/>
  <c r="F393" i="23"/>
  <c r="G393" i="23"/>
  <c r="H393" i="23"/>
  <c r="K393" i="23"/>
  <c r="D394" i="23"/>
  <c r="B394" i="23" s="1"/>
  <c r="C394" i="23" s="1"/>
  <c r="F394" i="23"/>
  <c r="G394" i="23"/>
  <c r="H394" i="23"/>
  <c r="K394" i="23"/>
  <c r="D395" i="23"/>
  <c r="B395" i="23" s="1"/>
  <c r="C395" i="23" s="1"/>
  <c r="F395" i="23"/>
  <c r="G395" i="23"/>
  <c r="H395" i="23"/>
  <c r="K395" i="23"/>
  <c r="D396" i="23"/>
  <c r="B396" i="23" s="1"/>
  <c r="C396" i="23" s="1"/>
  <c r="F396" i="23"/>
  <c r="G396" i="23"/>
  <c r="H396" i="23"/>
  <c r="K396" i="23"/>
  <c r="D397" i="23"/>
  <c r="B397" i="23" s="1"/>
  <c r="C397" i="23" s="1"/>
  <c r="F397" i="23"/>
  <c r="G397" i="23"/>
  <c r="H397" i="23"/>
  <c r="K397" i="23"/>
  <c r="D398" i="23"/>
  <c r="B398" i="23" s="1"/>
  <c r="C398" i="23" s="1"/>
  <c r="F398" i="23"/>
  <c r="G398" i="23"/>
  <c r="H398" i="23"/>
  <c r="K398" i="23"/>
  <c r="D399" i="23"/>
  <c r="B399" i="23" s="1"/>
  <c r="C399" i="23" s="1"/>
  <c r="F399" i="23"/>
  <c r="G399" i="23"/>
  <c r="H399" i="23"/>
  <c r="K399" i="23"/>
  <c r="D400" i="23"/>
  <c r="B400" i="23" s="1"/>
  <c r="C400" i="23" s="1"/>
  <c r="F400" i="23"/>
  <c r="G400" i="23"/>
  <c r="H400" i="23"/>
  <c r="K400" i="23"/>
  <c r="D401" i="23"/>
  <c r="B401" i="23" s="1"/>
  <c r="C401" i="23" s="1"/>
  <c r="F401" i="23"/>
  <c r="G401" i="23"/>
  <c r="H401" i="23"/>
  <c r="K401" i="23"/>
  <c r="D402" i="23"/>
  <c r="B402" i="23" s="1"/>
  <c r="C402" i="23" s="1"/>
  <c r="F402" i="23"/>
  <c r="G402" i="23"/>
  <c r="H402" i="23"/>
  <c r="K402" i="23"/>
  <c r="D403" i="23"/>
  <c r="B403" i="23" s="1"/>
  <c r="C403" i="23" s="1"/>
  <c r="F403" i="23"/>
  <c r="G403" i="23"/>
  <c r="H403" i="23"/>
  <c r="K403" i="23"/>
  <c r="D404" i="23"/>
  <c r="B404" i="23" s="1"/>
  <c r="C404" i="23" s="1"/>
  <c r="F404" i="23"/>
  <c r="G404" i="23"/>
  <c r="H404" i="23"/>
  <c r="K404" i="23"/>
  <c r="D405" i="23"/>
  <c r="B405" i="23" s="1"/>
  <c r="C405" i="23" s="1"/>
  <c r="F405" i="23"/>
  <c r="G405" i="23"/>
  <c r="H405" i="23"/>
  <c r="K405" i="23"/>
  <c r="D406" i="23"/>
  <c r="B406" i="23" s="1"/>
  <c r="C406" i="23" s="1"/>
  <c r="F406" i="23"/>
  <c r="G406" i="23"/>
  <c r="H406" i="23"/>
  <c r="K406" i="23"/>
  <c r="D407" i="23"/>
  <c r="B407" i="23" s="1"/>
  <c r="C407" i="23" s="1"/>
  <c r="F407" i="23"/>
  <c r="G407" i="23"/>
  <c r="H407" i="23"/>
  <c r="K407" i="23"/>
  <c r="D408" i="23"/>
  <c r="B408" i="23" s="1"/>
  <c r="C408" i="23" s="1"/>
  <c r="F408" i="23"/>
  <c r="G408" i="23"/>
  <c r="H408" i="23"/>
  <c r="K408" i="23"/>
  <c r="D409" i="23"/>
  <c r="B409" i="23" s="1"/>
  <c r="C409" i="23" s="1"/>
  <c r="F409" i="23"/>
  <c r="G409" i="23"/>
  <c r="H409" i="23"/>
  <c r="K409" i="23"/>
  <c r="D410" i="23"/>
  <c r="B410" i="23" s="1"/>
  <c r="C410" i="23" s="1"/>
  <c r="F410" i="23"/>
  <c r="G410" i="23"/>
  <c r="H410" i="23"/>
  <c r="K410" i="23"/>
  <c r="D411" i="23"/>
  <c r="B411" i="23" s="1"/>
  <c r="C411" i="23" s="1"/>
  <c r="F411" i="23"/>
  <c r="G411" i="23"/>
  <c r="H411" i="23"/>
  <c r="K411" i="23"/>
  <c r="D412" i="23"/>
  <c r="B412" i="23" s="1"/>
  <c r="C412" i="23" s="1"/>
  <c r="F412" i="23"/>
  <c r="G412" i="23"/>
  <c r="H412" i="23"/>
  <c r="K412" i="23"/>
  <c r="D413" i="23"/>
  <c r="B413" i="23" s="1"/>
  <c r="C413" i="23" s="1"/>
  <c r="F413" i="23"/>
  <c r="G413" i="23"/>
  <c r="H413" i="23"/>
  <c r="K413" i="23"/>
  <c r="D414" i="23"/>
  <c r="B414" i="23" s="1"/>
  <c r="C414" i="23" s="1"/>
  <c r="F414" i="23"/>
  <c r="G414" i="23"/>
  <c r="H414" i="23"/>
  <c r="K414" i="23"/>
  <c r="D415" i="23"/>
  <c r="B415" i="23" s="1"/>
  <c r="C415" i="23" s="1"/>
  <c r="F415" i="23"/>
  <c r="G415" i="23"/>
  <c r="H415" i="23"/>
  <c r="K415" i="23"/>
  <c r="D416" i="23"/>
  <c r="B416" i="23" s="1"/>
  <c r="C416" i="23" s="1"/>
  <c r="F416" i="23"/>
  <c r="G416" i="23"/>
  <c r="H416" i="23"/>
  <c r="K416" i="23"/>
  <c r="D417" i="23"/>
  <c r="B417" i="23" s="1"/>
  <c r="C417" i="23" s="1"/>
  <c r="F417" i="23"/>
  <c r="G417" i="23"/>
  <c r="H417" i="23"/>
  <c r="K417" i="23"/>
  <c r="D418" i="23"/>
  <c r="B418" i="23" s="1"/>
  <c r="C418" i="23" s="1"/>
  <c r="F418" i="23"/>
  <c r="G418" i="23"/>
  <c r="H418" i="23"/>
  <c r="K418" i="23"/>
  <c r="D419" i="23"/>
  <c r="B419" i="23" s="1"/>
  <c r="C419" i="23" s="1"/>
  <c r="F419" i="23"/>
  <c r="G419" i="23"/>
  <c r="H419" i="23"/>
  <c r="K419" i="23"/>
  <c r="D420" i="23"/>
  <c r="B420" i="23" s="1"/>
  <c r="C420" i="23" s="1"/>
  <c r="F420" i="23"/>
  <c r="G420" i="23"/>
  <c r="H420" i="23"/>
  <c r="K420" i="23"/>
  <c r="D421" i="23"/>
  <c r="B421" i="23" s="1"/>
  <c r="C421" i="23" s="1"/>
  <c r="F421" i="23"/>
  <c r="G421" i="23"/>
  <c r="H421" i="23"/>
  <c r="K421" i="23"/>
  <c r="D422" i="23"/>
  <c r="B422" i="23" s="1"/>
  <c r="C422" i="23" s="1"/>
  <c r="F422" i="23"/>
  <c r="G422" i="23"/>
  <c r="H422" i="23"/>
  <c r="K422" i="23"/>
  <c r="D423" i="23"/>
  <c r="B423" i="23" s="1"/>
  <c r="C423" i="23" s="1"/>
  <c r="F423" i="23"/>
  <c r="G423" i="23"/>
  <c r="H423" i="23"/>
  <c r="K423" i="23"/>
  <c r="D424" i="23"/>
  <c r="B424" i="23" s="1"/>
  <c r="C424" i="23" s="1"/>
  <c r="F424" i="23"/>
  <c r="G424" i="23"/>
  <c r="H424" i="23"/>
  <c r="K424" i="23"/>
  <c r="D425" i="23"/>
  <c r="B425" i="23" s="1"/>
  <c r="C425" i="23" s="1"/>
  <c r="F425" i="23"/>
  <c r="G425" i="23"/>
  <c r="H425" i="23"/>
  <c r="K425" i="23"/>
  <c r="D426" i="23"/>
  <c r="B426" i="23" s="1"/>
  <c r="C426" i="23" s="1"/>
  <c r="F426" i="23"/>
  <c r="G426" i="23"/>
  <c r="H426" i="23"/>
  <c r="K426" i="23"/>
  <c r="D427" i="23"/>
  <c r="B427" i="23" s="1"/>
  <c r="C427" i="23" s="1"/>
  <c r="F427" i="23"/>
  <c r="G427" i="23"/>
  <c r="H427" i="23"/>
  <c r="K427" i="23"/>
  <c r="D428" i="23"/>
  <c r="B428" i="23" s="1"/>
  <c r="C428" i="23" s="1"/>
  <c r="F428" i="23"/>
  <c r="G428" i="23"/>
  <c r="H428" i="23"/>
  <c r="K428" i="23"/>
  <c r="D429" i="23"/>
  <c r="B429" i="23" s="1"/>
  <c r="C429" i="23" s="1"/>
  <c r="F429" i="23"/>
  <c r="G429" i="23"/>
  <c r="H429" i="23"/>
  <c r="K429" i="23"/>
  <c r="D430" i="23"/>
  <c r="B430" i="23" s="1"/>
  <c r="C430" i="23" s="1"/>
  <c r="F430" i="23"/>
  <c r="G430" i="23"/>
  <c r="H430" i="23"/>
  <c r="K430" i="23"/>
  <c r="D431" i="23"/>
  <c r="B431" i="23" s="1"/>
  <c r="C431" i="23" s="1"/>
  <c r="F431" i="23"/>
  <c r="G431" i="23"/>
  <c r="H431" i="23"/>
  <c r="K431" i="23"/>
  <c r="D432" i="23"/>
  <c r="B432" i="23" s="1"/>
  <c r="C432" i="23" s="1"/>
  <c r="F432" i="23"/>
  <c r="G432" i="23"/>
  <c r="H432" i="23"/>
  <c r="K432" i="23"/>
  <c r="D433" i="23"/>
  <c r="B433" i="23" s="1"/>
  <c r="C433" i="23" s="1"/>
  <c r="F433" i="23"/>
  <c r="G433" i="23"/>
  <c r="H433" i="23"/>
  <c r="K433" i="23"/>
  <c r="D434" i="23"/>
  <c r="B434" i="23" s="1"/>
  <c r="C434" i="23" s="1"/>
  <c r="F434" i="23"/>
  <c r="G434" i="23"/>
  <c r="H434" i="23"/>
  <c r="K434" i="23"/>
  <c r="D435" i="23"/>
  <c r="B435" i="23" s="1"/>
  <c r="C435" i="23" s="1"/>
  <c r="F435" i="23"/>
  <c r="G435" i="23"/>
  <c r="H435" i="23"/>
  <c r="K435" i="23"/>
  <c r="D436" i="23"/>
  <c r="B436" i="23" s="1"/>
  <c r="C436" i="23" s="1"/>
  <c r="F436" i="23"/>
  <c r="G436" i="23"/>
  <c r="H436" i="23"/>
  <c r="K436" i="23"/>
  <c r="D437" i="23"/>
  <c r="B437" i="23" s="1"/>
  <c r="C437" i="23" s="1"/>
  <c r="F437" i="23"/>
  <c r="G437" i="23"/>
  <c r="H437" i="23"/>
  <c r="K437" i="23"/>
  <c r="D438" i="23"/>
  <c r="B438" i="23" s="1"/>
  <c r="C438" i="23" s="1"/>
  <c r="F438" i="23"/>
  <c r="G438" i="23"/>
  <c r="H438" i="23"/>
  <c r="K438" i="23"/>
  <c r="D439" i="23"/>
  <c r="B439" i="23" s="1"/>
  <c r="C439" i="23" s="1"/>
  <c r="F439" i="23"/>
  <c r="G439" i="23"/>
  <c r="H439" i="23"/>
  <c r="K439" i="23"/>
  <c r="D440" i="23"/>
  <c r="B440" i="23" s="1"/>
  <c r="C440" i="23" s="1"/>
  <c r="F440" i="23"/>
  <c r="G440" i="23"/>
  <c r="H440" i="23"/>
  <c r="K440" i="23"/>
  <c r="D441" i="23"/>
  <c r="B441" i="23" s="1"/>
  <c r="C441" i="23" s="1"/>
  <c r="F441" i="23"/>
  <c r="G441" i="23"/>
  <c r="H441" i="23"/>
  <c r="K441" i="23"/>
  <c r="D442" i="23"/>
  <c r="B442" i="23" s="1"/>
  <c r="C442" i="23" s="1"/>
  <c r="F442" i="23"/>
  <c r="G442" i="23"/>
  <c r="H442" i="23"/>
  <c r="K442" i="23"/>
  <c r="D443" i="23"/>
  <c r="B443" i="23" s="1"/>
  <c r="C443" i="23" s="1"/>
  <c r="F443" i="23"/>
  <c r="G443" i="23"/>
  <c r="H443" i="23"/>
  <c r="K443" i="23"/>
  <c r="D444" i="23"/>
  <c r="B444" i="23" s="1"/>
  <c r="C444" i="23" s="1"/>
  <c r="F444" i="23"/>
  <c r="G444" i="23"/>
  <c r="H444" i="23"/>
  <c r="K444" i="23"/>
  <c r="D445" i="23"/>
  <c r="B445" i="23" s="1"/>
  <c r="C445" i="23" s="1"/>
  <c r="F445" i="23"/>
  <c r="G445" i="23"/>
  <c r="H445" i="23"/>
  <c r="K445" i="23"/>
  <c r="D446" i="23"/>
  <c r="B446" i="23" s="1"/>
  <c r="C446" i="23" s="1"/>
  <c r="F446" i="23"/>
  <c r="G446" i="23"/>
  <c r="H446" i="23"/>
  <c r="K446" i="23"/>
  <c r="D447" i="23"/>
  <c r="B447" i="23" s="1"/>
  <c r="C447" i="23" s="1"/>
  <c r="F447" i="23"/>
  <c r="G447" i="23"/>
  <c r="H447" i="23"/>
  <c r="K447" i="23"/>
  <c r="D448" i="23"/>
  <c r="B448" i="23" s="1"/>
  <c r="C448" i="23" s="1"/>
  <c r="F448" i="23"/>
  <c r="G448" i="23"/>
  <c r="H448" i="23"/>
  <c r="K448" i="23"/>
  <c r="D449" i="23"/>
  <c r="B449" i="23" s="1"/>
  <c r="C449" i="23" s="1"/>
  <c r="F449" i="23"/>
  <c r="G449" i="23"/>
  <c r="H449" i="23"/>
  <c r="K449" i="23"/>
  <c r="D450" i="23"/>
  <c r="B450" i="23" s="1"/>
  <c r="C450" i="23" s="1"/>
  <c r="F450" i="23"/>
  <c r="G450" i="23"/>
  <c r="H450" i="23"/>
  <c r="K450" i="23"/>
  <c r="D451" i="23"/>
  <c r="B451" i="23" s="1"/>
  <c r="C451" i="23" s="1"/>
  <c r="F451" i="23"/>
  <c r="G451" i="23"/>
  <c r="H451" i="23"/>
  <c r="K451" i="23"/>
  <c r="D452" i="23"/>
  <c r="B452" i="23" s="1"/>
  <c r="C452" i="23" s="1"/>
  <c r="F452" i="23"/>
  <c r="G452" i="23"/>
  <c r="H452" i="23"/>
  <c r="K452" i="23"/>
  <c r="D453" i="23"/>
  <c r="B453" i="23" s="1"/>
  <c r="C453" i="23" s="1"/>
  <c r="F453" i="23"/>
  <c r="G453" i="23"/>
  <c r="H453" i="23"/>
  <c r="K453" i="23"/>
  <c r="D454" i="23"/>
  <c r="B454" i="23" s="1"/>
  <c r="C454" i="23" s="1"/>
  <c r="F454" i="23"/>
  <c r="G454" i="23"/>
  <c r="H454" i="23"/>
  <c r="K454" i="23"/>
  <c r="D455" i="23"/>
  <c r="B455" i="23" s="1"/>
  <c r="C455" i="23" s="1"/>
  <c r="F455" i="23"/>
  <c r="G455" i="23"/>
  <c r="H455" i="23"/>
  <c r="K455" i="23"/>
  <c r="D456" i="23"/>
  <c r="B456" i="23" s="1"/>
  <c r="C456" i="23" s="1"/>
  <c r="F456" i="23"/>
  <c r="G456" i="23"/>
  <c r="H456" i="23"/>
  <c r="K456" i="23"/>
  <c r="D457" i="23"/>
  <c r="B457" i="23" s="1"/>
  <c r="C457" i="23" s="1"/>
  <c r="F457" i="23"/>
  <c r="G457" i="23"/>
  <c r="H457" i="23"/>
  <c r="K457" i="23"/>
  <c r="D458" i="23"/>
  <c r="B458" i="23" s="1"/>
  <c r="C458" i="23" s="1"/>
  <c r="F458" i="23"/>
  <c r="G458" i="23"/>
  <c r="H458" i="23"/>
  <c r="K458" i="23"/>
  <c r="D459" i="23"/>
  <c r="B459" i="23" s="1"/>
  <c r="C459" i="23" s="1"/>
  <c r="F459" i="23"/>
  <c r="G459" i="23"/>
  <c r="H459" i="23"/>
  <c r="K459" i="23"/>
  <c r="D460" i="23"/>
  <c r="B460" i="23" s="1"/>
  <c r="C460" i="23" s="1"/>
  <c r="F460" i="23"/>
  <c r="G460" i="23"/>
  <c r="H460" i="23"/>
  <c r="K460" i="23"/>
  <c r="D461" i="23"/>
  <c r="B461" i="23" s="1"/>
  <c r="C461" i="23" s="1"/>
  <c r="F461" i="23"/>
  <c r="G461" i="23"/>
  <c r="H461" i="23"/>
  <c r="K461" i="23"/>
  <c r="D462" i="23"/>
  <c r="B462" i="23" s="1"/>
  <c r="C462" i="23" s="1"/>
  <c r="F462" i="23"/>
  <c r="G462" i="23"/>
  <c r="H462" i="23"/>
  <c r="K462" i="23"/>
  <c r="D463" i="23"/>
  <c r="B463" i="23" s="1"/>
  <c r="C463" i="23" s="1"/>
  <c r="F463" i="23"/>
  <c r="G463" i="23"/>
  <c r="H463" i="23"/>
  <c r="K463" i="23"/>
  <c r="D464" i="23"/>
  <c r="B464" i="23" s="1"/>
  <c r="C464" i="23" s="1"/>
  <c r="F464" i="23"/>
  <c r="G464" i="23"/>
  <c r="H464" i="23"/>
  <c r="K464" i="23"/>
  <c r="D465" i="23"/>
  <c r="B465" i="23" s="1"/>
  <c r="C465" i="23" s="1"/>
  <c r="F465" i="23"/>
  <c r="G465" i="23"/>
  <c r="H465" i="23"/>
  <c r="K465" i="23"/>
  <c r="D466" i="23"/>
  <c r="B466" i="23" s="1"/>
  <c r="C466" i="23" s="1"/>
  <c r="F466" i="23"/>
  <c r="G466" i="23"/>
  <c r="H466" i="23"/>
  <c r="K466" i="23"/>
  <c r="D467" i="23"/>
  <c r="B467" i="23" s="1"/>
  <c r="C467" i="23" s="1"/>
  <c r="F467" i="23"/>
  <c r="G467" i="23"/>
  <c r="H467" i="23"/>
  <c r="K467" i="23"/>
  <c r="D468" i="23"/>
  <c r="B468" i="23" s="1"/>
  <c r="C468" i="23" s="1"/>
  <c r="F468" i="23"/>
  <c r="G468" i="23"/>
  <c r="H468" i="23"/>
  <c r="K468" i="23"/>
  <c r="D469" i="23"/>
  <c r="B469" i="23" s="1"/>
  <c r="C469" i="23" s="1"/>
  <c r="F469" i="23"/>
  <c r="G469" i="23"/>
  <c r="H469" i="23"/>
  <c r="K469" i="23"/>
  <c r="D470" i="23"/>
  <c r="B470" i="23" s="1"/>
  <c r="C470" i="23" s="1"/>
  <c r="F470" i="23"/>
  <c r="G470" i="23"/>
  <c r="H470" i="23"/>
  <c r="K470" i="23"/>
  <c r="D471" i="23"/>
  <c r="B471" i="23" s="1"/>
  <c r="C471" i="23" s="1"/>
  <c r="F471" i="23"/>
  <c r="G471" i="23"/>
  <c r="H471" i="23"/>
  <c r="K471" i="23"/>
  <c r="D472" i="23"/>
  <c r="B472" i="23" s="1"/>
  <c r="C472" i="23" s="1"/>
  <c r="F472" i="23"/>
  <c r="G472" i="23"/>
  <c r="H472" i="23"/>
  <c r="K472" i="23"/>
  <c r="D473" i="23"/>
  <c r="B473" i="23" s="1"/>
  <c r="C473" i="23" s="1"/>
  <c r="F473" i="23"/>
  <c r="G473" i="23"/>
  <c r="H473" i="23"/>
  <c r="K473" i="23"/>
  <c r="D474" i="23"/>
  <c r="B474" i="23" s="1"/>
  <c r="C474" i="23" s="1"/>
  <c r="F474" i="23"/>
  <c r="G474" i="23"/>
  <c r="H474" i="23"/>
  <c r="K474" i="23"/>
  <c r="D475" i="23"/>
  <c r="B475" i="23" s="1"/>
  <c r="C475" i="23" s="1"/>
  <c r="F475" i="23"/>
  <c r="G475" i="23"/>
  <c r="H475" i="23"/>
  <c r="K475" i="23"/>
  <c r="D476" i="23"/>
  <c r="B476" i="23" s="1"/>
  <c r="C476" i="23" s="1"/>
  <c r="F476" i="23"/>
  <c r="G476" i="23"/>
  <c r="H476" i="23"/>
  <c r="K476" i="23"/>
  <c r="D477" i="23"/>
  <c r="B477" i="23" s="1"/>
  <c r="C477" i="23" s="1"/>
  <c r="F477" i="23"/>
  <c r="G477" i="23"/>
  <c r="H477" i="23"/>
  <c r="K477" i="23"/>
  <c r="D478" i="23"/>
  <c r="B478" i="23" s="1"/>
  <c r="C478" i="23" s="1"/>
  <c r="F478" i="23"/>
  <c r="G478" i="23"/>
  <c r="H478" i="23"/>
  <c r="K478" i="23"/>
  <c r="D479" i="23"/>
  <c r="B479" i="23" s="1"/>
  <c r="C479" i="23" s="1"/>
  <c r="F479" i="23"/>
  <c r="G479" i="23"/>
  <c r="H479" i="23"/>
  <c r="K479" i="23"/>
  <c r="D480" i="23"/>
  <c r="B480" i="23" s="1"/>
  <c r="C480" i="23" s="1"/>
  <c r="F480" i="23"/>
  <c r="G480" i="23"/>
  <c r="H480" i="23"/>
  <c r="K480" i="23"/>
  <c r="D481" i="23"/>
  <c r="B481" i="23" s="1"/>
  <c r="C481" i="23" s="1"/>
  <c r="F481" i="23"/>
  <c r="G481" i="23"/>
  <c r="H481" i="23"/>
  <c r="K481" i="23"/>
  <c r="D482" i="23"/>
  <c r="B482" i="23" s="1"/>
  <c r="C482" i="23" s="1"/>
  <c r="F482" i="23"/>
  <c r="G482" i="23"/>
  <c r="H482" i="23"/>
  <c r="K482" i="23"/>
  <c r="D483" i="23"/>
  <c r="B483" i="23" s="1"/>
  <c r="C483" i="23" s="1"/>
  <c r="F483" i="23"/>
  <c r="G483" i="23"/>
  <c r="H483" i="23"/>
  <c r="K483" i="23"/>
  <c r="D484" i="23"/>
  <c r="B484" i="23" s="1"/>
  <c r="C484" i="23" s="1"/>
  <c r="F484" i="23"/>
  <c r="G484" i="23"/>
  <c r="H484" i="23"/>
  <c r="K484" i="23"/>
  <c r="D485" i="23"/>
  <c r="B485" i="23" s="1"/>
  <c r="C485" i="23" s="1"/>
  <c r="F485" i="23"/>
  <c r="G485" i="23"/>
  <c r="H485" i="23"/>
  <c r="K485" i="23"/>
  <c r="D486" i="23"/>
  <c r="B486" i="23" s="1"/>
  <c r="C486" i="23" s="1"/>
  <c r="F486" i="23"/>
  <c r="G486" i="23"/>
  <c r="H486" i="23"/>
  <c r="K486" i="23"/>
  <c r="D487" i="23"/>
  <c r="B487" i="23" s="1"/>
  <c r="C487" i="23" s="1"/>
  <c r="F487" i="23"/>
  <c r="G487" i="23"/>
  <c r="H487" i="23"/>
  <c r="K487" i="23"/>
  <c r="D488" i="23"/>
  <c r="B488" i="23" s="1"/>
  <c r="C488" i="23" s="1"/>
  <c r="F488" i="23"/>
  <c r="G488" i="23"/>
  <c r="H488" i="23"/>
  <c r="K488" i="23"/>
  <c r="D489" i="23"/>
  <c r="B489" i="23" s="1"/>
  <c r="C489" i="23" s="1"/>
  <c r="F489" i="23"/>
  <c r="G489" i="23"/>
  <c r="H489" i="23"/>
  <c r="K489" i="23"/>
  <c r="D490" i="23"/>
  <c r="B490" i="23" s="1"/>
  <c r="C490" i="23" s="1"/>
  <c r="F490" i="23"/>
  <c r="G490" i="23"/>
  <c r="H490" i="23"/>
  <c r="K490" i="23"/>
  <c r="D491" i="23"/>
  <c r="B491" i="23" s="1"/>
  <c r="C491" i="23" s="1"/>
  <c r="F491" i="23"/>
  <c r="G491" i="23"/>
  <c r="H491" i="23"/>
  <c r="K491" i="23"/>
  <c r="D492" i="23"/>
  <c r="B492" i="23" s="1"/>
  <c r="C492" i="23" s="1"/>
  <c r="F492" i="23"/>
  <c r="G492" i="23"/>
  <c r="H492" i="23"/>
  <c r="K492" i="23"/>
  <c r="D493" i="23"/>
  <c r="B493" i="23" s="1"/>
  <c r="C493" i="23" s="1"/>
  <c r="F493" i="23"/>
  <c r="G493" i="23"/>
  <c r="H493" i="23"/>
  <c r="K493" i="23"/>
  <c r="D494" i="23"/>
  <c r="B494" i="23" s="1"/>
  <c r="C494" i="23" s="1"/>
  <c r="F494" i="23"/>
  <c r="G494" i="23"/>
  <c r="H494" i="23"/>
  <c r="K494" i="23"/>
  <c r="D495" i="23"/>
  <c r="B495" i="23" s="1"/>
  <c r="C495" i="23" s="1"/>
  <c r="F495" i="23"/>
  <c r="G495" i="23"/>
  <c r="H495" i="23"/>
  <c r="K495" i="23"/>
  <c r="D496" i="23"/>
  <c r="B496" i="23" s="1"/>
  <c r="C496" i="23" s="1"/>
  <c r="F496" i="23"/>
  <c r="G496" i="23"/>
  <c r="H496" i="23"/>
  <c r="K496" i="23"/>
  <c r="D497" i="23"/>
  <c r="B497" i="23" s="1"/>
  <c r="C497" i="23" s="1"/>
  <c r="F497" i="23"/>
  <c r="G497" i="23"/>
  <c r="H497" i="23"/>
  <c r="K497" i="23"/>
  <c r="D498" i="23"/>
  <c r="B498" i="23" s="1"/>
  <c r="C498" i="23" s="1"/>
  <c r="F498" i="23"/>
  <c r="G498" i="23"/>
  <c r="H498" i="23"/>
  <c r="K498" i="23"/>
  <c r="D499" i="23"/>
  <c r="B499" i="23" s="1"/>
  <c r="C499" i="23" s="1"/>
  <c r="F499" i="23"/>
  <c r="G499" i="23"/>
  <c r="H499" i="23"/>
  <c r="K499" i="23"/>
  <c r="D500" i="23"/>
  <c r="B500" i="23" s="1"/>
  <c r="C500" i="23" s="1"/>
  <c r="F500" i="23"/>
  <c r="G500" i="23"/>
  <c r="H500" i="23"/>
  <c r="K500" i="23"/>
  <c r="D501" i="23"/>
  <c r="B501" i="23" s="1"/>
  <c r="C501" i="23" s="1"/>
  <c r="F501" i="23"/>
  <c r="G501" i="23"/>
  <c r="H501" i="23"/>
  <c r="K501" i="23"/>
  <c r="D502" i="23"/>
  <c r="B502" i="23" s="1"/>
  <c r="C502" i="23" s="1"/>
  <c r="F502" i="23"/>
  <c r="G502" i="23"/>
  <c r="H502" i="23"/>
  <c r="K502" i="23"/>
  <c r="D503" i="23"/>
  <c r="B503" i="23" s="1"/>
  <c r="C503" i="23" s="1"/>
  <c r="F503" i="23"/>
  <c r="G503" i="23"/>
  <c r="H503" i="23"/>
  <c r="K503" i="23"/>
  <c r="D504" i="23"/>
  <c r="B504" i="23" s="1"/>
  <c r="C504" i="23" s="1"/>
  <c r="F504" i="23"/>
  <c r="G504" i="23"/>
  <c r="H504" i="23"/>
  <c r="K504" i="23"/>
  <c r="D505" i="23"/>
  <c r="B505" i="23" s="1"/>
  <c r="C505" i="23" s="1"/>
  <c r="F505" i="23"/>
  <c r="G505" i="23"/>
  <c r="H505" i="23"/>
  <c r="K505" i="23"/>
  <c r="D506" i="23"/>
  <c r="B506" i="23" s="1"/>
  <c r="C506" i="23" s="1"/>
  <c r="F506" i="23"/>
  <c r="G506" i="23"/>
  <c r="H506" i="23"/>
  <c r="K506" i="23"/>
  <c r="D507" i="23"/>
  <c r="B507" i="23" s="1"/>
  <c r="C507" i="23" s="1"/>
  <c r="F507" i="23"/>
  <c r="G507" i="23"/>
  <c r="H507" i="23"/>
  <c r="K507" i="23"/>
  <c r="D508" i="23"/>
  <c r="B508" i="23" s="1"/>
  <c r="C508" i="23" s="1"/>
  <c r="F508" i="23"/>
  <c r="G508" i="23"/>
  <c r="H508" i="23"/>
  <c r="K508" i="23"/>
  <c r="D509" i="23"/>
  <c r="B509" i="23" s="1"/>
  <c r="C509" i="23" s="1"/>
  <c r="F509" i="23"/>
  <c r="G509" i="23"/>
  <c r="H509" i="23"/>
  <c r="K509" i="23"/>
  <c r="D510" i="23"/>
  <c r="B510" i="23" s="1"/>
  <c r="C510" i="23" s="1"/>
  <c r="F510" i="23"/>
  <c r="G510" i="23"/>
  <c r="H510" i="23"/>
  <c r="K510" i="23"/>
  <c r="D511" i="23"/>
  <c r="B511" i="23" s="1"/>
  <c r="C511" i="23" s="1"/>
  <c r="F511" i="23"/>
  <c r="G511" i="23"/>
  <c r="H511" i="23"/>
  <c r="K511" i="23"/>
  <c r="D512" i="23"/>
  <c r="B512" i="23" s="1"/>
  <c r="C512" i="23" s="1"/>
  <c r="F512" i="23"/>
  <c r="G512" i="23"/>
  <c r="H512" i="23"/>
  <c r="K512" i="23"/>
  <c r="D513" i="23"/>
  <c r="B513" i="23" s="1"/>
  <c r="C513" i="23" s="1"/>
  <c r="F513" i="23"/>
  <c r="G513" i="23"/>
  <c r="H513" i="23"/>
  <c r="K513" i="23"/>
  <c r="D514" i="23"/>
  <c r="B514" i="23" s="1"/>
  <c r="C514" i="23" s="1"/>
  <c r="F514" i="23"/>
  <c r="G514" i="23"/>
  <c r="H514" i="23"/>
  <c r="K514" i="23"/>
  <c r="D515" i="23"/>
  <c r="B515" i="23" s="1"/>
  <c r="C515" i="23" s="1"/>
  <c r="F515" i="23"/>
  <c r="G515" i="23"/>
  <c r="H515" i="23"/>
  <c r="K515" i="23"/>
  <c r="D516" i="23"/>
  <c r="B516" i="23" s="1"/>
  <c r="C516" i="23" s="1"/>
  <c r="F516" i="23"/>
  <c r="G516" i="23"/>
  <c r="H516" i="23"/>
  <c r="K516" i="23"/>
  <c r="D517" i="23"/>
  <c r="B517" i="23" s="1"/>
  <c r="C517" i="23" s="1"/>
  <c r="F517" i="23"/>
  <c r="G517" i="23"/>
  <c r="H517" i="23"/>
  <c r="K517" i="23"/>
  <c r="D518" i="23"/>
  <c r="B518" i="23" s="1"/>
  <c r="C518" i="23" s="1"/>
  <c r="F518" i="23"/>
  <c r="G518" i="23"/>
  <c r="H518" i="23"/>
  <c r="K518" i="23"/>
  <c r="D519" i="23"/>
  <c r="B519" i="23" s="1"/>
  <c r="C519" i="23" s="1"/>
  <c r="F519" i="23"/>
  <c r="G519" i="23"/>
  <c r="H519" i="23"/>
  <c r="K519" i="23"/>
  <c r="D520" i="23"/>
  <c r="B520" i="23" s="1"/>
  <c r="C520" i="23" s="1"/>
  <c r="F520" i="23"/>
  <c r="G520" i="23"/>
  <c r="H520" i="23"/>
  <c r="K520" i="23"/>
  <c r="D521" i="23"/>
  <c r="B521" i="23" s="1"/>
  <c r="C521" i="23" s="1"/>
  <c r="F521" i="23"/>
  <c r="G521" i="23"/>
  <c r="H521" i="23"/>
  <c r="K521" i="23"/>
  <c r="D522" i="23"/>
  <c r="B522" i="23" s="1"/>
  <c r="C522" i="23" s="1"/>
  <c r="F522" i="23"/>
  <c r="G522" i="23"/>
  <c r="H522" i="23"/>
  <c r="K522" i="23"/>
  <c r="D523" i="23"/>
  <c r="B523" i="23" s="1"/>
  <c r="C523" i="23" s="1"/>
  <c r="F523" i="23"/>
  <c r="G523" i="23"/>
  <c r="H523" i="23"/>
  <c r="K523" i="23"/>
  <c r="D524" i="23"/>
  <c r="B524" i="23" s="1"/>
  <c r="C524" i="23" s="1"/>
  <c r="F524" i="23"/>
  <c r="G524" i="23"/>
  <c r="H524" i="23"/>
  <c r="K524" i="23"/>
  <c r="D525" i="23"/>
  <c r="B525" i="23" s="1"/>
  <c r="C525" i="23" s="1"/>
  <c r="F525" i="23"/>
  <c r="G525" i="23"/>
  <c r="H525" i="23"/>
  <c r="K525" i="23"/>
  <c r="D526" i="23"/>
  <c r="B526" i="23" s="1"/>
  <c r="C526" i="23" s="1"/>
  <c r="F526" i="23"/>
  <c r="G526" i="23"/>
  <c r="H526" i="23"/>
  <c r="K526" i="23"/>
  <c r="D527" i="23"/>
  <c r="B527" i="23" s="1"/>
  <c r="C527" i="23" s="1"/>
  <c r="F527" i="23"/>
  <c r="G527" i="23"/>
  <c r="H527" i="23"/>
  <c r="K527" i="23"/>
  <c r="D528" i="23"/>
  <c r="B528" i="23" s="1"/>
  <c r="C528" i="23" s="1"/>
  <c r="F528" i="23"/>
  <c r="G528" i="23"/>
  <c r="H528" i="23"/>
  <c r="K528" i="23"/>
  <c r="D529" i="23"/>
  <c r="B529" i="23" s="1"/>
  <c r="C529" i="23" s="1"/>
  <c r="F529" i="23"/>
  <c r="G529" i="23"/>
  <c r="H529" i="23"/>
  <c r="K529" i="23"/>
  <c r="D530" i="23"/>
  <c r="B530" i="23" s="1"/>
  <c r="C530" i="23" s="1"/>
  <c r="F530" i="23"/>
  <c r="G530" i="23"/>
  <c r="H530" i="23"/>
  <c r="K530" i="23"/>
  <c r="D531" i="23"/>
  <c r="B531" i="23" s="1"/>
  <c r="C531" i="23" s="1"/>
  <c r="F531" i="23"/>
  <c r="G531" i="23"/>
  <c r="H531" i="23"/>
  <c r="K531" i="23"/>
  <c r="D532" i="23"/>
  <c r="B532" i="23" s="1"/>
  <c r="C532" i="23" s="1"/>
  <c r="F532" i="23"/>
  <c r="G532" i="23"/>
  <c r="H532" i="23"/>
  <c r="K532" i="23"/>
  <c r="D533" i="23"/>
  <c r="B533" i="23" s="1"/>
  <c r="C533" i="23" s="1"/>
  <c r="F533" i="23"/>
  <c r="G533" i="23"/>
  <c r="H533" i="23"/>
  <c r="K533" i="23"/>
  <c r="D534" i="23"/>
  <c r="B534" i="23" s="1"/>
  <c r="C534" i="23" s="1"/>
  <c r="F534" i="23"/>
  <c r="G534" i="23"/>
  <c r="H534" i="23"/>
  <c r="K534" i="23"/>
  <c r="D535" i="23"/>
  <c r="B535" i="23" s="1"/>
  <c r="C535" i="23" s="1"/>
  <c r="F535" i="23"/>
  <c r="G535" i="23"/>
  <c r="H535" i="23"/>
  <c r="K535" i="23"/>
  <c r="D536" i="23"/>
  <c r="B536" i="23" s="1"/>
  <c r="C536" i="23" s="1"/>
  <c r="F536" i="23"/>
  <c r="G536" i="23"/>
  <c r="H536" i="23"/>
  <c r="K536" i="23"/>
  <c r="D537" i="23"/>
  <c r="B537" i="23" s="1"/>
  <c r="C537" i="23" s="1"/>
  <c r="F537" i="23"/>
  <c r="G537" i="23"/>
  <c r="H537" i="23"/>
  <c r="K537" i="23"/>
  <c r="D538" i="23"/>
  <c r="B538" i="23" s="1"/>
  <c r="C538" i="23" s="1"/>
  <c r="F538" i="23"/>
  <c r="G538" i="23"/>
  <c r="H538" i="23"/>
  <c r="K538" i="23"/>
  <c r="D539" i="23"/>
  <c r="B539" i="23" s="1"/>
  <c r="C539" i="23" s="1"/>
  <c r="F539" i="23"/>
  <c r="G539" i="23"/>
  <c r="H539" i="23"/>
  <c r="K539" i="23"/>
  <c r="D540" i="23"/>
  <c r="B540" i="23" s="1"/>
  <c r="C540" i="23" s="1"/>
  <c r="F540" i="23"/>
  <c r="G540" i="23"/>
  <c r="H540" i="23"/>
  <c r="K540" i="23"/>
  <c r="D541" i="23"/>
  <c r="B541" i="23" s="1"/>
  <c r="C541" i="23" s="1"/>
  <c r="F541" i="23"/>
  <c r="G541" i="23"/>
  <c r="H541" i="23"/>
  <c r="K541" i="23"/>
  <c r="D542" i="23"/>
  <c r="B542" i="23" s="1"/>
  <c r="C542" i="23" s="1"/>
  <c r="F542" i="23"/>
  <c r="G542" i="23"/>
  <c r="H542" i="23"/>
  <c r="K542" i="23"/>
  <c r="D543" i="23"/>
  <c r="B543" i="23" s="1"/>
  <c r="C543" i="23" s="1"/>
  <c r="F543" i="23"/>
  <c r="G543" i="23"/>
  <c r="H543" i="23"/>
  <c r="K543" i="23"/>
  <c r="D544" i="23"/>
  <c r="B544" i="23" s="1"/>
  <c r="C544" i="23" s="1"/>
  <c r="F544" i="23"/>
  <c r="G544" i="23"/>
  <c r="H544" i="23"/>
  <c r="K544" i="23"/>
  <c r="D545" i="23"/>
  <c r="B545" i="23" s="1"/>
  <c r="C545" i="23" s="1"/>
  <c r="F545" i="23"/>
  <c r="G545" i="23"/>
  <c r="H545" i="23"/>
  <c r="K545" i="23"/>
  <c r="D546" i="23"/>
  <c r="B546" i="23" s="1"/>
  <c r="C546" i="23" s="1"/>
  <c r="F546" i="23"/>
  <c r="G546" i="23"/>
  <c r="H546" i="23"/>
  <c r="K546" i="23"/>
  <c r="D547" i="23"/>
  <c r="B547" i="23" s="1"/>
  <c r="C547" i="23" s="1"/>
  <c r="F547" i="23"/>
  <c r="G547" i="23"/>
  <c r="H547" i="23"/>
  <c r="K547" i="23"/>
  <c r="D548" i="23"/>
  <c r="B548" i="23" s="1"/>
  <c r="C548" i="23" s="1"/>
  <c r="F548" i="23"/>
  <c r="G548" i="23"/>
  <c r="H548" i="23"/>
  <c r="K548" i="23"/>
  <c r="D549" i="23"/>
  <c r="B549" i="23" s="1"/>
  <c r="C549" i="23" s="1"/>
  <c r="F549" i="23"/>
  <c r="G549" i="23"/>
  <c r="H549" i="23"/>
  <c r="K549" i="23"/>
  <c r="D550" i="23"/>
  <c r="B550" i="23" s="1"/>
  <c r="C550" i="23" s="1"/>
  <c r="F550" i="23"/>
  <c r="G550" i="23"/>
  <c r="H550" i="23"/>
  <c r="K550" i="23"/>
  <c r="D551" i="23"/>
  <c r="B551" i="23" s="1"/>
  <c r="C551" i="23" s="1"/>
  <c r="F551" i="23"/>
  <c r="G551" i="23"/>
  <c r="H551" i="23"/>
  <c r="K551" i="23"/>
  <c r="D552" i="23"/>
  <c r="B552" i="23" s="1"/>
  <c r="C552" i="23" s="1"/>
  <c r="F552" i="23"/>
  <c r="G552" i="23"/>
  <c r="H552" i="23"/>
  <c r="K552" i="23"/>
  <c r="D553" i="23"/>
  <c r="B553" i="23" s="1"/>
  <c r="C553" i="23" s="1"/>
  <c r="F553" i="23"/>
  <c r="G553" i="23"/>
  <c r="H553" i="23"/>
  <c r="K553" i="23"/>
  <c r="D554" i="23"/>
  <c r="B554" i="23" s="1"/>
  <c r="C554" i="23" s="1"/>
  <c r="F554" i="23"/>
  <c r="G554" i="23"/>
  <c r="H554" i="23"/>
  <c r="K554" i="23"/>
  <c r="D555" i="23"/>
  <c r="B555" i="23" s="1"/>
  <c r="C555" i="23" s="1"/>
  <c r="F555" i="23"/>
  <c r="G555" i="23"/>
  <c r="H555" i="23"/>
  <c r="K555" i="23"/>
  <c r="D556" i="23"/>
  <c r="B556" i="23" s="1"/>
  <c r="C556" i="23" s="1"/>
  <c r="F556" i="23"/>
  <c r="G556" i="23"/>
  <c r="H556" i="23"/>
  <c r="K556" i="23"/>
  <c r="D557" i="23"/>
  <c r="B557" i="23" s="1"/>
  <c r="C557" i="23" s="1"/>
  <c r="F557" i="23"/>
  <c r="G557" i="23"/>
  <c r="H557" i="23"/>
  <c r="K557" i="23"/>
  <c r="D558" i="23"/>
  <c r="B558" i="23" s="1"/>
  <c r="C558" i="23" s="1"/>
  <c r="F558" i="23"/>
  <c r="G558" i="23"/>
  <c r="H558" i="23"/>
  <c r="K558" i="23"/>
  <c r="D559" i="23"/>
  <c r="B559" i="23" s="1"/>
  <c r="C559" i="23" s="1"/>
  <c r="F559" i="23"/>
  <c r="G559" i="23"/>
  <c r="H559" i="23"/>
  <c r="K559" i="23"/>
  <c r="D560" i="23"/>
  <c r="B560" i="23" s="1"/>
  <c r="C560" i="23" s="1"/>
  <c r="F560" i="23"/>
  <c r="G560" i="23"/>
  <c r="H560" i="23"/>
  <c r="K560" i="23"/>
  <c r="D561" i="23"/>
  <c r="B561" i="23" s="1"/>
  <c r="C561" i="23" s="1"/>
  <c r="F561" i="23"/>
  <c r="G561" i="23"/>
  <c r="H561" i="23"/>
  <c r="K561" i="23"/>
  <c r="D562" i="23"/>
  <c r="B562" i="23" s="1"/>
  <c r="C562" i="23" s="1"/>
  <c r="F562" i="23"/>
  <c r="G562" i="23"/>
  <c r="H562" i="23"/>
  <c r="K562" i="23"/>
  <c r="D563" i="23"/>
  <c r="B563" i="23" s="1"/>
  <c r="C563" i="23" s="1"/>
  <c r="F563" i="23"/>
  <c r="G563" i="23"/>
  <c r="H563" i="23"/>
  <c r="K563" i="23"/>
  <c r="D564" i="23"/>
  <c r="B564" i="23" s="1"/>
  <c r="C564" i="23" s="1"/>
  <c r="F564" i="23"/>
  <c r="G564" i="23"/>
  <c r="H564" i="23"/>
  <c r="K564" i="23"/>
  <c r="D565" i="23"/>
  <c r="B565" i="23" s="1"/>
  <c r="C565" i="23" s="1"/>
  <c r="F565" i="23"/>
  <c r="G565" i="23"/>
  <c r="H565" i="23"/>
  <c r="K565" i="23"/>
  <c r="D566" i="23"/>
  <c r="B566" i="23" s="1"/>
  <c r="C566" i="23" s="1"/>
  <c r="F566" i="23"/>
  <c r="G566" i="23"/>
  <c r="H566" i="23"/>
  <c r="K566" i="23"/>
  <c r="D567" i="23"/>
  <c r="B567" i="23" s="1"/>
  <c r="C567" i="23" s="1"/>
  <c r="F567" i="23"/>
  <c r="G567" i="23"/>
  <c r="H567" i="23"/>
  <c r="K567" i="23"/>
  <c r="D568" i="23"/>
  <c r="B568" i="23" s="1"/>
  <c r="C568" i="23" s="1"/>
  <c r="F568" i="23"/>
  <c r="G568" i="23"/>
  <c r="H568" i="23"/>
  <c r="K568" i="23"/>
  <c r="D569" i="23"/>
  <c r="B569" i="23" s="1"/>
  <c r="C569" i="23" s="1"/>
  <c r="F569" i="23"/>
  <c r="G569" i="23"/>
  <c r="H569" i="23"/>
  <c r="K569" i="23"/>
  <c r="D570" i="23"/>
  <c r="B570" i="23" s="1"/>
  <c r="C570" i="23" s="1"/>
  <c r="F570" i="23"/>
  <c r="G570" i="23"/>
  <c r="H570" i="23"/>
  <c r="K570" i="23"/>
  <c r="D571" i="23"/>
  <c r="B571" i="23" s="1"/>
  <c r="C571" i="23" s="1"/>
  <c r="F571" i="23"/>
  <c r="G571" i="23"/>
  <c r="H571" i="23"/>
  <c r="K571" i="23"/>
  <c r="D572" i="23"/>
  <c r="B572" i="23" s="1"/>
  <c r="C572" i="23" s="1"/>
  <c r="F572" i="23"/>
  <c r="G572" i="23"/>
  <c r="H572" i="23"/>
  <c r="K572" i="23"/>
  <c r="D573" i="23"/>
  <c r="B573" i="23" s="1"/>
  <c r="C573" i="23" s="1"/>
  <c r="F573" i="23"/>
  <c r="G573" i="23"/>
  <c r="H573" i="23"/>
  <c r="K573" i="23"/>
  <c r="D574" i="23"/>
  <c r="B574" i="23" s="1"/>
  <c r="C574" i="23" s="1"/>
  <c r="F574" i="23"/>
  <c r="G574" i="23"/>
  <c r="H574" i="23"/>
  <c r="K574" i="23"/>
  <c r="D575" i="23"/>
  <c r="B575" i="23" s="1"/>
  <c r="C575" i="23" s="1"/>
  <c r="F575" i="23"/>
  <c r="G575" i="23"/>
  <c r="H575" i="23"/>
  <c r="K575" i="23"/>
  <c r="D576" i="23"/>
  <c r="B576" i="23" s="1"/>
  <c r="C576" i="23" s="1"/>
  <c r="F576" i="23"/>
  <c r="G576" i="23"/>
  <c r="H576" i="23"/>
  <c r="K576" i="23"/>
  <c r="D577" i="23"/>
  <c r="B577" i="23" s="1"/>
  <c r="C577" i="23" s="1"/>
  <c r="F577" i="23"/>
  <c r="G577" i="23"/>
  <c r="H577" i="23"/>
  <c r="K577" i="23"/>
  <c r="D578" i="23"/>
  <c r="B578" i="23" s="1"/>
  <c r="C578" i="23" s="1"/>
  <c r="F578" i="23"/>
  <c r="G578" i="23"/>
  <c r="H578" i="23"/>
  <c r="K578" i="23"/>
  <c r="D579" i="23"/>
  <c r="B579" i="23" s="1"/>
  <c r="C579" i="23" s="1"/>
  <c r="F579" i="23"/>
  <c r="G579" i="23"/>
  <c r="H579" i="23"/>
  <c r="K579" i="23"/>
  <c r="D580" i="23"/>
  <c r="B580" i="23" s="1"/>
  <c r="C580" i="23" s="1"/>
  <c r="F580" i="23"/>
  <c r="G580" i="23"/>
  <c r="H580" i="23"/>
  <c r="K580" i="23"/>
  <c r="D581" i="23"/>
  <c r="B581" i="23" s="1"/>
  <c r="C581" i="23" s="1"/>
  <c r="F581" i="23"/>
  <c r="G581" i="23"/>
  <c r="H581" i="23"/>
  <c r="K581" i="23"/>
  <c r="D582" i="23"/>
  <c r="B582" i="23" s="1"/>
  <c r="C582" i="23" s="1"/>
  <c r="F582" i="23"/>
  <c r="G582" i="23"/>
  <c r="H582" i="23"/>
  <c r="K582" i="23"/>
  <c r="D583" i="23"/>
  <c r="B583" i="23" s="1"/>
  <c r="C583" i="23" s="1"/>
  <c r="F583" i="23"/>
  <c r="G583" i="23"/>
  <c r="H583" i="23"/>
  <c r="K583" i="23"/>
  <c r="D584" i="23"/>
  <c r="B584" i="23" s="1"/>
  <c r="C584" i="23" s="1"/>
  <c r="F584" i="23"/>
  <c r="G584" i="23"/>
  <c r="H584" i="23"/>
  <c r="K584" i="23"/>
  <c r="D585" i="23"/>
  <c r="B585" i="23" s="1"/>
  <c r="C585" i="23" s="1"/>
  <c r="F585" i="23"/>
  <c r="G585" i="23"/>
  <c r="H585" i="23"/>
  <c r="K585" i="23"/>
  <c r="D586" i="23"/>
  <c r="B586" i="23" s="1"/>
  <c r="C586" i="23" s="1"/>
  <c r="F586" i="23"/>
  <c r="G586" i="23"/>
  <c r="H586" i="23"/>
  <c r="K586" i="23"/>
  <c r="D587" i="23"/>
  <c r="B587" i="23" s="1"/>
  <c r="C587" i="23" s="1"/>
  <c r="F587" i="23"/>
  <c r="G587" i="23"/>
  <c r="H587" i="23"/>
  <c r="K587" i="23"/>
  <c r="D588" i="23"/>
  <c r="B588" i="23" s="1"/>
  <c r="C588" i="23" s="1"/>
  <c r="F588" i="23"/>
  <c r="G588" i="23"/>
  <c r="H588" i="23"/>
  <c r="K588" i="23"/>
  <c r="D589" i="23"/>
  <c r="B589" i="23" s="1"/>
  <c r="C589" i="23" s="1"/>
  <c r="F589" i="23"/>
  <c r="G589" i="23"/>
  <c r="H589" i="23"/>
  <c r="K589" i="23"/>
  <c r="D590" i="23"/>
  <c r="B590" i="23" s="1"/>
  <c r="C590" i="23" s="1"/>
  <c r="F590" i="23"/>
  <c r="G590" i="23"/>
  <c r="H590" i="23"/>
  <c r="K590" i="23"/>
  <c r="D591" i="23"/>
  <c r="B591" i="23" s="1"/>
  <c r="C591" i="23" s="1"/>
  <c r="F591" i="23"/>
  <c r="G591" i="23"/>
  <c r="H591" i="23"/>
  <c r="K591" i="23"/>
  <c r="D592" i="23"/>
  <c r="B592" i="23" s="1"/>
  <c r="C592" i="23" s="1"/>
  <c r="F592" i="23"/>
  <c r="G592" i="23"/>
  <c r="H592" i="23"/>
  <c r="K592" i="23"/>
  <c r="D593" i="23"/>
  <c r="B593" i="23" s="1"/>
  <c r="C593" i="23" s="1"/>
  <c r="F593" i="23"/>
  <c r="G593" i="23"/>
  <c r="H593" i="23"/>
  <c r="K593" i="23"/>
  <c r="D594" i="23"/>
  <c r="B594" i="23" s="1"/>
  <c r="C594" i="23" s="1"/>
  <c r="F594" i="23"/>
  <c r="G594" i="23"/>
  <c r="H594" i="23"/>
  <c r="K594" i="23"/>
  <c r="D595" i="23"/>
  <c r="B595" i="23" s="1"/>
  <c r="C595" i="23" s="1"/>
  <c r="F595" i="23"/>
  <c r="G595" i="23"/>
  <c r="H595" i="23"/>
  <c r="K595" i="23"/>
  <c r="D596" i="23"/>
  <c r="B596" i="23" s="1"/>
  <c r="C596" i="23" s="1"/>
  <c r="F596" i="23"/>
  <c r="G596" i="23"/>
  <c r="H596" i="23"/>
  <c r="K596" i="23"/>
  <c r="D597" i="23"/>
  <c r="B597" i="23" s="1"/>
  <c r="C597" i="23" s="1"/>
  <c r="F597" i="23"/>
  <c r="G597" i="23"/>
  <c r="H597" i="23"/>
  <c r="K597" i="23"/>
  <c r="D598" i="23"/>
  <c r="B598" i="23" s="1"/>
  <c r="C598" i="23" s="1"/>
  <c r="F598" i="23"/>
  <c r="G598" i="23"/>
  <c r="H598" i="23"/>
  <c r="K598" i="23"/>
  <c r="D599" i="23"/>
  <c r="B599" i="23" s="1"/>
  <c r="C599" i="23" s="1"/>
  <c r="F599" i="23"/>
  <c r="G599" i="23"/>
  <c r="H599" i="23"/>
  <c r="K599" i="23"/>
  <c r="D600" i="23"/>
  <c r="B600" i="23" s="1"/>
  <c r="C600" i="23" s="1"/>
  <c r="F600" i="23"/>
  <c r="G600" i="23"/>
  <c r="H600" i="23"/>
  <c r="K600" i="23"/>
  <c r="D601" i="23"/>
  <c r="B601" i="23" s="1"/>
  <c r="C601" i="23" s="1"/>
  <c r="F601" i="23"/>
  <c r="G601" i="23"/>
  <c r="H601" i="23"/>
  <c r="K601" i="23"/>
  <c r="D602" i="23"/>
  <c r="B602" i="23" s="1"/>
  <c r="C602" i="23" s="1"/>
  <c r="F602" i="23"/>
  <c r="G602" i="23"/>
  <c r="H602" i="23"/>
  <c r="K602" i="23"/>
  <c r="D603" i="23"/>
  <c r="B603" i="23" s="1"/>
  <c r="C603" i="23" s="1"/>
  <c r="F603" i="23"/>
  <c r="G603" i="23"/>
  <c r="H603" i="23"/>
  <c r="K603" i="23"/>
  <c r="D604" i="23"/>
  <c r="B604" i="23" s="1"/>
  <c r="C604" i="23" s="1"/>
  <c r="F604" i="23"/>
  <c r="G604" i="23"/>
  <c r="H604" i="23"/>
  <c r="K604" i="23"/>
  <c r="D605" i="23"/>
  <c r="B605" i="23" s="1"/>
  <c r="C605" i="23" s="1"/>
  <c r="F605" i="23"/>
  <c r="G605" i="23"/>
  <c r="H605" i="23"/>
  <c r="K605" i="23"/>
  <c r="D606" i="23"/>
  <c r="B606" i="23" s="1"/>
  <c r="C606" i="23" s="1"/>
  <c r="F606" i="23"/>
  <c r="G606" i="23"/>
  <c r="H606" i="23"/>
  <c r="K606" i="23"/>
  <c r="D607" i="23"/>
  <c r="B607" i="23" s="1"/>
  <c r="C607" i="23" s="1"/>
  <c r="F607" i="23"/>
  <c r="G607" i="23"/>
  <c r="H607" i="23"/>
  <c r="K607" i="23"/>
  <c r="D608" i="23"/>
  <c r="B608" i="23" s="1"/>
  <c r="C608" i="23" s="1"/>
  <c r="F608" i="23"/>
  <c r="G608" i="23"/>
  <c r="H608" i="23"/>
  <c r="K608" i="23"/>
  <c r="D609" i="23"/>
  <c r="B609" i="23" s="1"/>
  <c r="C609" i="23" s="1"/>
  <c r="F609" i="23"/>
  <c r="G609" i="23"/>
  <c r="H609" i="23"/>
  <c r="K609" i="23"/>
  <c r="D610" i="23"/>
  <c r="B610" i="23" s="1"/>
  <c r="C610" i="23" s="1"/>
  <c r="F610" i="23"/>
  <c r="G610" i="23"/>
  <c r="H610" i="23"/>
  <c r="K610" i="23"/>
  <c r="D611" i="23"/>
  <c r="B611" i="23" s="1"/>
  <c r="C611" i="23" s="1"/>
  <c r="F611" i="23"/>
  <c r="G611" i="23"/>
  <c r="H611" i="23"/>
  <c r="K611" i="23"/>
  <c r="D612" i="23"/>
  <c r="B612" i="23" s="1"/>
  <c r="C612" i="23" s="1"/>
  <c r="F612" i="23"/>
  <c r="G612" i="23"/>
  <c r="H612" i="23"/>
  <c r="K612" i="23"/>
  <c r="D613" i="23"/>
  <c r="B613" i="23" s="1"/>
  <c r="C613" i="23" s="1"/>
  <c r="F613" i="23"/>
  <c r="G613" i="23"/>
  <c r="H613" i="23"/>
  <c r="K613" i="23"/>
  <c r="D614" i="23"/>
  <c r="B614" i="23" s="1"/>
  <c r="C614" i="23" s="1"/>
  <c r="F614" i="23"/>
  <c r="G614" i="23"/>
  <c r="H614" i="23"/>
  <c r="K614" i="23"/>
  <c r="D615" i="23"/>
  <c r="B615" i="23" s="1"/>
  <c r="C615" i="23" s="1"/>
  <c r="F615" i="23"/>
  <c r="G615" i="23"/>
  <c r="H615" i="23"/>
  <c r="K615" i="23"/>
  <c r="D616" i="23"/>
  <c r="B616" i="23" s="1"/>
  <c r="C616" i="23" s="1"/>
  <c r="F616" i="23"/>
  <c r="G616" i="23"/>
  <c r="H616" i="23"/>
  <c r="K616" i="23"/>
  <c r="D617" i="23"/>
  <c r="B617" i="23" s="1"/>
  <c r="C617" i="23" s="1"/>
  <c r="F617" i="23"/>
  <c r="G617" i="23"/>
  <c r="H617" i="23"/>
  <c r="K617" i="23"/>
  <c r="D618" i="23"/>
  <c r="B618" i="23" s="1"/>
  <c r="C618" i="23" s="1"/>
  <c r="F618" i="23"/>
  <c r="G618" i="23"/>
  <c r="H618" i="23"/>
  <c r="K618" i="23"/>
  <c r="D619" i="23"/>
  <c r="B619" i="23" s="1"/>
  <c r="C619" i="23" s="1"/>
  <c r="F619" i="23"/>
  <c r="G619" i="23"/>
  <c r="H619" i="23"/>
  <c r="K619" i="23"/>
  <c r="D620" i="23"/>
  <c r="B620" i="23" s="1"/>
  <c r="C620" i="23" s="1"/>
  <c r="F620" i="23"/>
  <c r="G620" i="23"/>
  <c r="H620" i="23"/>
  <c r="K620" i="23"/>
  <c r="D621" i="23"/>
  <c r="B621" i="23" s="1"/>
  <c r="C621" i="23" s="1"/>
  <c r="F621" i="23"/>
  <c r="G621" i="23"/>
  <c r="H621" i="23"/>
  <c r="K621" i="23"/>
  <c r="D622" i="23"/>
  <c r="B622" i="23" s="1"/>
  <c r="C622" i="23" s="1"/>
  <c r="F622" i="23"/>
  <c r="G622" i="23"/>
  <c r="H622" i="23"/>
  <c r="K622" i="23"/>
  <c r="D623" i="23"/>
  <c r="B623" i="23" s="1"/>
  <c r="C623" i="23" s="1"/>
  <c r="F623" i="23"/>
  <c r="G623" i="23"/>
  <c r="H623" i="23"/>
  <c r="K623" i="23"/>
  <c r="D624" i="23"/>
  <c r="B624" i="23" s="1"/>
  <c r="C624" i="23" s="1"/>
  <c r="F624" i="23"/>
  <c r="G624" i="23"/>
  <c r="H624" i="23"/>
  <c r="K624" i="23"/>
  <c r="D625" i="23"/>
  <c r="B625" i="23" s="1"/>
  <c r="C625" i="23" s="1"/>
  <c r="F625" i="23"/>
  <c r="G625" i="23"/>
  <c r="H625" i="23"/>
  <c r="K625" i="23"/>
  <c r="D626" i="23"/>
  <c r="B626" i="23" s="1"/>
  <c r="C626" i="23" s="1"/>
  <c r="F626" i="23"/>
  <c r="G626" i="23"/>
  <c r="H626" i="23"/>
  <c r="K626" i="23"/>
  <c r="D627" i="23"/>
  <c r="B627" i="23" s="1"/>
  <c r="C627" i="23" s="1"/>
  <c r="F627" i="23"/>
  <c r="G627" i="23"/>
  <c r="H627" i="23"/>
  <c r="K627" i="23"/>
  <c r="D628" i="23"/>
  <c r="B628" i="23" s="1"/>
  <c r="C628" i="23" s="1"/>
  <c r="F628" i="23"/>
  <c r="G628" i="23"/>
  <c r="H628" i="23"/>
  <c r="K628" i="23"/>
  <c r="D629" i="23"/>
  <c r="B629" i="23" s="1"/>
  <c r="C629" i="23" s="1"/>
  <c r="F629" i="23"/>
  <c r="G629" i="23"/>
  <c r="H629" i="23"/>
  <c r="K629" i="23"/>
  <c r="D630" i="23"/>
  <c r="B630" i="23" s="1"/>
  <c r="C630" i="23" s="1"/>
  <c r="F630" i="23"/>
  <c r="G630" i="23"/>
  <c r="H630" i="23"/>
  <c r="K630" i="23"/>
  <c r="D631" i="23"/>
  <c r="B631" i="23" s="1"/>
  <c r="C631" i="23" s="1"/>
  <c r="F631" i="23"/>
  <c r="G631" i="23"/>
  <c r="H631" i="23"/>
  <c r="K631" i="23"/>
  <c r="D632" i="23"/>
  <c r="B632" i="23" s="1"/>
  <c r="C632" i="23" s="1"/>
  <c r="F632" i="23"/>
  <c r="G632" i="23"/>
  <c r="H632" i="23"/>
  <c r="K632" i="23"/>
  <c r="D633" i="23"/>
  <c r="B633" i="23" s="1"/>
  <c r="C633" i="23" s="1"/>
  <c r="F633" i="23"/>
  <c r="G633" i="23"/>
  <c r="H633" i="23"/>
  <c r="K633" i="23"/>
  <c r="D634" i="23"/>
  <c r="B634" i="23" s="1"/>
  <c r="C634" i="23" s="1"/>
  <c r="F634" i="23"/>
  <c r="G634" i="23"/>
  <c r="H634" i="23"/>
  <c r="K634" i="23"/>
  <c r="D635" i="23"/>
  <c r="B635" i="23" s="1"/>
  <c r="C635" i="23" s="1"/>
  <c r="F635" i="23"/>
  <c r="G635" i="23"/>
  <c r="H635" i="23"/>
  <c r="K635" i="23"/>
  <c r="D636" i="23"/>
  <c r="B636" i="23" s="1"/>
  <c r="C636" i="23" s="1"/>
  <c r="F636" i="23"/>
  <c r="G636" i="23"/>
  <c r="H636" i="23"/>
  <c r="K636" i="23"/>
  <c r="D637" i="23"/>
  <c r="B637" i="23" s="1"/>
  <c r="C637" i="23" s="1"/>
  <c r="F637" i="23"/>
  <c r="G637" i="23"/>
  <c r="H637" i="23"/>
  <c r="K637" i="23"/>
  <c r="D638" i="23"/>
  <c r="B638" i="23" s="1"/>
  <c r="C638" i="23" s="1"/>
  <c r="F638" i="23"/>
  <c r="G638" i="23"/>
  <c r="H638" i="23"/>
  <c r="K638" i="23"/>
  <c r="D639" i="23"/>
  <c r="B639" i="23" s="1"/>
  <c r="C639" i="23" s="1"/>
  <c r="F639" i="23"/>
  <c r="G639" i="23"/>
  <c r="H639" i="23"/>
  <c r="K639" i="23"/>
  <c r="D640" i="23"/>
  <c r="B640" i="23" s="1"/>
  <c r="C640" i="23" s="1"/>
  <c r="F640" i="23"/>
  <c r="G640" i="23"/>
  <c r="H640" i="23"/>
  <c r="K640" i="23"/>
  <c r="B2" i="23"/>
  <c r="C2" i="23" s="1"/>
  <c r="F2" i="23"/>
  <c r="G2" i="23"/>
  <c r="K2" i="23"/>
  <c r="K2" i="22" l="1"/>
</calcChain>
</file>

<file path=xl/connections.xml><?xml version="1.0" encoding="utf-8"?>
<connections xmlns="http://schemas.openxmlformats.org/spreadsheetml/2006/main">
  <connection id="1" name="20200602-20200603" type="4" refreshedVersion="0" background="1">
    <webPr xml="1" sourceData="1" url="Z:\Dosis pacientes\Alertas_Intervencionismo\SIEMENS_HEMODINAMICAS_ALERTIN\20200602-20200603.xml" htmlTables="1" htmlFormat="all"/>
  </connection>
  <connection id="2" name="20200602-202006031" type="4" refreshedVersion="0" background="1">
    <webPr xml="1" sourceData="1" url="Z:\Dosis pacientes\Alertas_Intervencionismo\SIEMENS_HEMODINAMICAS_ALERTIN\20200602-20200603.xml" htmlTables="1" htmlFormat="all"/>
  </connection>
  <connection id="3" name="20200819-20200820" type="4" refreshedVersion="0" background="1">
    <webPr xml="1" sourceData="1" parsePre="1" consecutive="1" url="Z:\Dosis pacientes\Alertas_Intervencionismo\SIEMENS_HIBRIDO\20200819-20200820.xml" htmlTables="1"/>
  </connection>
  <connection id="4" name="20200827-20200828" type="4" refreshedVersion="0" background="1">
    <webPr xml="1" sourceData="1" parsePre="1" consecutive="1" url="Z:\Dosis pacientes\Alertas_Intervencionismo\SIEMENS_HIBRIDO\20200827-20200828.xml" htmlTables="1"/>
  </connection>
  <connection id="5" name="20200828-20200831" type="4" refreshedVersion="0" background="1">
    <webPr xml="1" sourceData="1" parsePre="1" consecutive="1" url="Z:\Dosis pacientes\Alertas_Intervencionismo\SIEMENS_HIBRIDO\20200828-20200831.xml" htmlTables="1"/>
  </connection>
  <connection id="6" name="20200901-20200902" type="4" refreshedVersion="0" background="1">
    <webPr xml="1" sourceData="1" parsePre="1" consecutive="1" url="Z:\Dosis pacientes\Alertas_Intervencionismo\PRUEBAHIBRIDO\20200901-20200902.xml" htmlTables="1"/>
  </connection>
  <connection id="7" name="20200901-202009021" type="4" refreshedVersion="0" background="1">
    <webPr xml="1" sourceData="1" parsePre="1" consecutive="1" url="Z:\Dosis pacientes\Alertas_Intervencionismo\PRUEBAHIBRIDO\20200901-20200902.xml" htmlTables="1"/>
  </connection>
  <connection id="8" name="20200901-2020090210" type="4" refreshedVersion="0" background="1">
    <webPr xml="1" sourceData="1" url="Z:\Dosis pacientes\Alertas_Intervencionismo\PRUEBAHIBRIDO\20200901-20200902.xml" htmlTables="1" htmlFormat="all"/>
  </connection>
  <connection id="9" name="20200901-2020090211" type="4" refreshedVersion="0" background="1">
    <webPr xml="1" sourceData="1" url="Z:\Dosis pacientes\Alertas_Intervencionismo\PRUEBAHIBRIDO\20200901-20200902.xml" htmlTables="1" htmlFormat="all"/>
  </connection>
  <connection id="10" name="20200901-2020090212" type="4" refreshedVersion="0" background="1">
    <webPr xml="1" sourceData="1" url="Z:\Dosis pacientes\Alertas_Intervencionismo\PRUEBAHIBRIDO\20200901-20200902.xml" htmlTables="1" htmlFormat="all"/>
  </connection>
  <connection id="11" name="20200901-2020090213" type="4" refreshedVersion="0" background="1">
    <webPr xml="1" sourceData="1" url="Z:\Dosis pacientes\Alertas_Intervencionismo\PRUEBAHIBRIDO\20200901-20200902.xml" htmlTables="1" htmlFormat="all"/>
  </connection>
  <connection id="12" name="20200901-2020090214" type="4" refreshedVersion="0" background="1">
    <webPr xml="1" sourceData="1" url="Z:\Dosis pacientes\Alertas_Intervencionismo\PRUEBAHIBRIDO\20200901-20200902.xml" htmlTables="1" htmlFormat="all"/>
  </connection>
  <connection id="13" name="20200901-2020090215" type="4" refreshedVersion="0" background="1">
    <webPr xml="1" sourceData="1" url="Z:\Dosis pacientes\Alertas_Intervencionismo\PRUEBAHIBRIDO\20200901-20200902.xml" htmlTables="1" htmlFormat="all"/>
  </connection>
  <connection id="14" name="20200901-2020090216" type="4" refreshedVersion="0" background="1">
    <webPr xml="1" sourceData="1" url="Z:\Dosis pacientes\Alertas_Intervencionismo\PRUEBAHIBRIDO\20200901-20200902.xml" htmlTables="1" htmlFormat="all"/>
  </connection>
  <connection id="15" name="20200901-2020090217" type="4" refreshedVersion="0" background="1">
    <webPr xml="1" sourceData="1" url="Z:\Dosis pacientes\Alertas_Intervencionismo\PRUEBAHIBRIDO\20200901-20200902.xml" htmlTables="1" htmlFormat="all"/>
  </connection>
  <connection id="16" name="20200901-2020090218" type="4" refreshedVersion="0" background="1">
    <webPr xml="1" sourceData="1" url="Z:\Dosis pacientes\Alertas_Intervencionismo\PRUEBAHIBRIDO\20200901-20200902.xml" htmlTables="1" htmlFormat="all"/>
  </connection>
  <connection id="17" name="20200901-2020090219" type="4" refreshedVersion="0" background="1">
    <webPr xml="1" sourceData="1" url="Z:\Dosis pacientes\Alertas_Intervencionismo\PRUEBAHIBRIDO\20200901-20200902.xml" htmlTables="1" htmlFormat="all"/>
  </connection>
  <connection id="18" name="20200901-202009022" type="4" refreshedVersion="0" background="1">
    <webPr xml="1" sourceData="1" url="Z:\Dosis pacientes\Alertas_Intervencionismo\PRUEBAHIBRIDO\20200901-20200902.xml" htmlTables="1" htmlFormat="all"/>
  </connection>
  <connection id="19" name="20200901-2020090220" type="4" refreshedVersion="0" background="1">
    <webPr xml="1" sourceData="1" url="Z:\Dosis pacientes\Alertas_Intervencionismo\PRUEBAHIBRIDO\20200901-20200902.xml" htmlTables="1" htmlFormat="all"/>
  </connection>
  <connection id="20" name="20200901-2020090221" type="4" refreshedVersion="0" background="1">
    <webPr xml="1" sourceData="1" url="Z:\Dosis pacientes\Alertas_Intervencionismo\PRUEBAHIBRIDO\20200901-20200902.xml" htmlTables="1" htmlFormat="all"/>
  </connection>
  <connection id="21" name="20200901-2020090222" type="4" refreshedVersion="0" background="1">
    <webPr xml="1" sourceData="1" url="Z:\Dosis pacientes\Alertas_Intervencionismo\PRUEBAHIBRIDO\20200901-20200902.xml" htmlTables="1" htmlFormat="all"/>
  </connection>
  <connection id="22" name="20200901-2020090223" type="4" refreshedVersion="0" background="1">
    <webPr xml="1" sourceData="1" url="Z:\Dosis pacientes\Alertas_Intervencionismo\PRUEBAHIBRIDO\20200901-20200902.xml" htmlTables="1" htmlFormat="all"/>
  </connection>
  <connection id="23" name="20200901-2020090224" type="4" refreshedVersion="0" background="1">
    <webPr xml="1" sourceData="1" url="Z:\Dosis pacientes\Alertas_Intervencionismo\PRUEBAHIBRIDO\20200901-20200902.xml" htmlTables="1" htmlFormat="all"/>
  </connection>
  <connection id="24" name="20200901-2020090225" type="4" refreshedVersion="0" background="1">
    <webPr xml="1" sourceData="1" url="Z:\Dosis pacientes\Alertas_Intervencionismo\PRUEBAHIBRIDO\20200901-20200902.xml" htmlTables="1" htmlFormat="all"/>
  </connection>
  <connection id="25" name="20200901-202009023" type="4" refreshedVersion="0" background="1">
    <webPr xml="1" sourceData="1" url="Z:\Dosis pacientes\Alertas_Intervencionismo\PRUEBAHIBRIDO\20200901-20200902.xml" htmlTables="1" htmlFormat="all"/>
  </connection>
  <connection id="26" name="20200901-202009024" type="4" refreshedVersion="0" background="1">
    <webPr xml="1" sourceData="1" url="Z:\Dosis pacientes\Alertas_Intervencionismo\PRUEBAHIBRIDO\20200901-20200902.xml" htmlTables="1" htmlFormat="all"/>
  </connection>
  <connection id="27" name="20200901-202009025" type="4" refreshedVersion="0" background="1">
    <webPr xml="1" sourceData="1" url="Z:\Dosis pacientes\Alertas_Intervencionismo\PRUEBAHIBRIDO\20200901-20200902.xml" htmlTables="1" htmlFormat="all"/>
  </connection>
  <connection id="28" name="20200901-202009026" type="4" refreshedVersion="0" background="1">
    <webPr xml="1" sourceData="1" url="Z:\Dosis pacientes\Alertas_Intervencionismo\PRUEBAHIBRIDO\20200901-20200902.xml" htmlTables="1" htmlFormat="all"/>
  </connection>
  <connection id="29" name="20200901-202009027" type="4" refreshedVersion="0" background="1">
    <webPr xml="1" sourceData="1" url="Z:\Dosis pacientes\Alertas_Intervencionismo\PRUEBAHIBRIDO\20200901-20200902.xml" htmlTables="1" htmlFormat="all"/>
  </connection>
  <connection id="30" name="20200901-202009028" type="4" refreshedVersion="0" background="1">
    <webPr xml="1" sourceData="1" url="Z:\Dosis pacientes\Alertas_Intervencionismo\PRUEBAHIBRIDO\20200901-20200902.xml" htmlTables="1" htmlFormat="all"/>
  </connection>
  <connection id="31" name="20200901-202009029" type="4" refreshedVersion="0" background="1">
    <webPr xml="1" sourceData="1" url="Z:\Dosis pacientes\Alertas_Intervencionismo\PRUEBAHIBRIDO\20200901-20200902.xml" htmlTables="1" htmlFormat="all"/>
  </connection>
  <connection id="32" name="20200903-20200904" type="4" refreshedVersion="0" background="1">
    <webPr xml="1" sourceData="1" url="Z:\Dosis pacientes\Alertas_Intervencionismo\PRUEBAHIBRIDO\20200903-20200904.xml" htmlTables="1" htmlFormat="all"/>
  </connection>
  <connection id="33" name="20200903-202009041" type="4" refreshedVersion="0" background="1">
    <webPr xml="1" sourceData="1" url="Z:\Dosis pacientes\Alertas_Intervencionismo\PRUEBAHIBRIDO\20200903-20200904.xml" htmlTables="1" htmlFormat="all"/>
  </connection>
  <connection id="34" name="20200903-202009042" type="4" refreshedVersion="0" background="1">
    <webPr xml="1" sourceData="1" url="Z:\Dosis pacientes\Alertas_Intervencionismo\PRUEBAHIBRIDO\20200903-20200904.xml" htmlTables="1" htmlFormat="all"/>
  </connection>
  <connection id="35" name="20200903-202009043" type="4" refreshedVersion="0" background="1">
    <webPr xml="1" sourceData="1" url="Z:\Dosis pacientes\Alertas_Intervencionismo\PRUEBAHIBRIDO\20200903-20200904.xml" htmlTables="1" htmlFormat="all"/>
  </connection>
  <connection id="36" name="20200903-202009044" type="4" refreshedVersion="0" background="1">
    <webPr xml="1" sourceData="1" url="Z:\Dosis pacientes\Alertas_Intervencionismo\PRUEBAHIBRIDO\20200903-20200904.xml" htmlTables="1" htmlFormat="all"/>
  </connection>
  <connection id="37" name="20200903-202009045" type="4" refreshedVersion="0" background="1">
    <webPr xml="1" sourceData="1" url="Z:\Dosis pacientes\Alertas_Intervencionismo\PRUEBAHIBRIDO\20200903-20200904.xml" htmlTables="1" htmlFormat="all"/>
  </connection>
  <connection id="38" name="20200903-202009046" type="4" refreshedVersion="0" background="1">
    <webPr xml="1" sourceData="1" url="Z:\Dosis pacientes\Alertas_Intervencionismo\PRUEBAHIBRIDO\20200903-20200904.xml" htmlTables="1" htmlFormat="all"/>
  </connection>
  <connection id="39" name="20200903-202009047" type="4" refreshedVersion="0" background="1">
    <webPr xml="1" sourceData="1" url="Z:\Dosis pacientes\Alertas_Intervencionismo\PRUEBAHIBRIDO\20200903-20200904.xml" htmlTables="1" htmlFormat="all"/>
  </connection>
  <connection id="40" name="20200903-202009048" type="4" refreshedVersion="0" background="1">
    <webPr xml="1" sourceData="1" url="Z:\Dosis pacientes\Alertas_Intervencionismo\PRUEBAHIBRIDO\20200903-20200904.xml" htmlTables="1" htmlFormat="all"/>
  </connection>
  <connection id="41" name="20200903-202009049" type="4" refreshedVersion="0" background="1">
    <webPr xml="1" sourceData="1" url="Z:\Dosis pacientes\Alertas_Intervencionismo\PRUEBAHIBRIDO\20200903-20200904.xml" htmlTables="1" htmlFormat="all"/>
  </connection>
  <connection id="42" name="20200904-20200907" type="4" refreshedVersion="0" background="1">
    <webPr xml="1" sourceData="1" url="Z:\Dosis pacientes\Alertas_Intervencionismo\PRUEBAHIBRIDO\20200904-20200907.xml" htmlTables="1" htmlFormat="all"/>
  </connection>
  <connection id="43" name="20200904-202009071" type="4" refreshedVersion="0" background="1">
    <webPr xml="1" sourceData="1" parsePre="1" consecutive="1" url="Z:\Dosis pacientes\Alertas_Intervencionismo\PRUEBAHIBRIDO\20200904-20200907.xml" htmlTables="1"/>
  </connection>
  <connection id="44" name="20200904-2020090710" type="4" refreshedVersion="0" background="1">
    <webPr xml="1" sourceData="1" url="Z:\Dosis pacientes\Alertas_Intervencionismo\SIEMENS_HEMODINAMICAS_ALERTIN\20200904-20200907.xml" htmlTables="1" htmlFormat="all"/>
  </connection>
  <connection id="45" name="20200904-2020090711" type="4" refreshedVersion="0" background="1">
    <webPr xml="1" sourceData="1" url="Z:\Dosis pacientes\Alertas_Intervencionismo\SIEMENS_HEMODINAMICAS_ALERTIN\20200904-20200907.xml" htmlTables="1" htmlFormat="all"/>
  </connection>
  <connection id="46" name="20200904-2020090712" type="4" refreshedVersion="0" background="1">
    <webPr xml="1" sourceData="1" url="Z:\Dosis pacientes\Alertas_Intervencionismo\SIEMENS_HEMODINAMICAS_ALERTIN\20200904-20200907.xml" htmlTables="1" htmlFormat="all"/>
  </connection>
  <connection id="47" name="20200904-2020090713" type="4" refreshedVersion="0" background="1">
    <webPr xml="1" sourceData="1" url="Z:\Dosis pacientes\Alertas_Intervencionismo\SIEMENS_HEMODINAMICAS_ALERTIN\20200904-20200907.xml" htmlTables="1" htmlFormat="all"/>
  </connection>
  <connection id="48" name="20200904-2020090714" type="4" refreshedVersion="0" background="1">
    <webPr xml="1" sourceData="1" url="Z:\Dosis pacientes\Alertas_Intervencionismo\SIEMENS_HEMODINAMICAS_ALERTIN\20200904-20200907.xml" htmlTables="1" htmlFormat="all"/>
  </connection>
  <connection id="49" name="20200904-2020090715" type="4" refreshedVersion="0" background="1">
    <webPr xml="1" sourceData="1" url="Z:\Dosis pacientes\Alertas_Intervencionismo\SIEMENS_HEMODINAMICAS_ALERTIN\20200904-20200907.xml" htmlTables="1" htmlFormat="all"/>
  </connection>
  <connection id="50" name="20200904-202009072" type="4" refreshedVersion="0" background="1">
    <webPr xml="1" sourceData="1" url="Z:\Dosis pacientes\Alertas_Intervencionismo\PRUEBAHIBRIDO\20200904-20200907.xml" htmlTables="1" htmlFormat="all"/>
  </connection>
  <connection id="51" name="20200904-202009073" type="4" refreshedVersion="0" background="1">
    <webPr xml="1" sourceData="1" url="Z:\Dosis pacientes\Alertas_Intervencionismo\PRUEBAHIBRIDO\20200904-20200907.xml" htmlTables="1" htmlFormat="all"/>
  </connection>
  <connection id="52" name="20200904-202009074" type="4" refreshedVersion="0" background="1">
    <webPr xml="1" sourceData="1" url="Z:\Dosis pacientes\Alertas_Intervencionismo\PRUEBAHIBRIDO\20200904-20200907.xml" htmlTables="1" htmlFormat="all"/>
  </connection>
  <connection id="53" name="20200904-202009075" type="4" refreshedVersion="0" background="1">
    <webPr xml="1" sourceData="1" url="Z:\Dosis pacientes\Alertas_Intervencionismo\PRUEBAHIBRIDO\20200904-20200907.xml" htmlTables="1" htmlFormat="all"/>
  </connection>
  <connection id="54" name="20200904-202009076" type="4" refreshedVersion="0" background="1">
    <webPr xml="1" sourceData="1" url="Z:\Dosis pacientes\Alertas_Intervencionismo\PRUEBAHIBRIDO\20200904-20200907.xml" htmlTables="1" htmlFormat="all"/>
  </connection>
  <connection id="55" name="20200904-202009077" type="4" refreshedVersion="0" background="1">
    <webPr xml="1" sourceData="1" url="Z:\Dosis pacientes\Alertas_Intervencionismo\PRUEBAHIBRIDO\20200904-20200907.xml" htmlTables="1" htmlFormat="all"/>
  </connection>
  <connection id="56" name="20200904-202009078" type="4" refreshedVersion="0" background="1">
    <webPr xml="1" sourceData="1" url="Z:\Dosis pacientes\Alertas_Intervencionismo\PRUEBAHIBRIDO\20200904-20200907.xml" htmlTables="1" htmlFormat="all"/>
  </connection>
  <connection id="57" name="20200904-202009079" type="4" refreshedVersion="0" background="1">
    <webPr xml="1" sourceData="1" url="Z:\Dosis pacientes\Alertas_Intervencionismo\PRUEBAHIBRIDO\20200904-20200907.xml" htmlTables="1" htmlFormat="all"/>
  </connection>
  <connection id="58" name="20200916-20200917" type="4" refreshedVersion="0" background="1">
    <webPr xml="1" sourceData="1" url="Z:\Dosis pacientes\Alertas_Intervencionismo\SIEMENS_HEMODINAMICAS_ALERTIN\20200916-20200917.xml" htmlTables="1" htmlFormat="all"/>
  </connection>
  <connection id="59" name="20200917-20200921" type="4" refreshedVersion="0" background="1">
    <webPr xml="1" sourceData="1" url="Z:\Dosis pacientes\Alertas_Intervencionismo\SIEMENS_HEMODINAMICAS_ALERTIN\20200917-20200921.xml" htmlTables="1" htmlFormat="all"/>
  </connection>
  <connection id="60" name="20200921-20200922" type="4" refreshedVersion="0" background="1">
    <webPr xml="1" sourceData="1" url="Z:\Dosis pacientes\Alertas_Intervencionismo\SIEMENS_HEMODINAMICAS_ALERTIN\20200921-20200922.xml" htmlTables="1" htmlFormat="all"/>
  </connection>
  <connection id="61" name="20200922-20200923" type="4" refreshedVersion="0" background="1">
    <webPr xml="1" sourceData="1" url="Z:\Dosis pacientes\Alertas_Intervencionismo\SIEMENS_HEMODINAMICAS_ALERTIN\20200922-20200923.xml" htmlTables="1" htmlFormat="all"/>
  </connection>
  <connection id="62" name="20200922-202009231" type="4" refreshedVersion="0" background="1">
    <webPr xml="1" sourceData="1" url="Z:\Dosis pacientes\Alertas_Intervencionismo\SIEMENS_HEMODINAMICAS_ALERTIN\20200922-20200923.xml" htmlTables="1" htmlFormat="all"/>
  </connection>
  <connection id="63" name="20200924-20200925" type="4" refreshedVersion="0" background="1">
    <webPr xml="1" sourceData="1" url="Z:\Dosis pacientes\Alertas_Intervencionismo\SIEMENS_HEMODINAMICAS_ALERTIN\20200924-20200925.xml" htmlTables="1" htmlFormat="all"/>
  </connection>
  <connection id="64" name="20200924-202009251" type="4" refreshedVersion="0" background="1">
    <webPr xml="1" sourceData="1" url="Z:\Dosis pacientes\Alertas_Intervencionismo\SIEMENS_HEMODINAMICAS_ALERTIN\20200924-20200925.xml" htmlTables="1" htmlFormat="all"/>
  </connection>
  <connection id="65" name="20200925-20200929" type="4" refreshedVersion="0" background="1">
    <webPr xml="1" sourceData="1" url="Z:\Dosis pacientes\Alertas_Intervencionismo\SIEMENS_HEMODINAMICAS_ALERTIN\20200925-20200929.xml" htmlTables="1" htmlFormat="all"/>
  </connection>
  <connection id="66" name="20200925-202009291" type="4" refreshedVersion="0" background="1">
    <webPr xml="1" sourceData="1" url="Z:\Dosis pacientes\Alertas_Intervencionismo\SIEMENS_HEMODINAMICAS_ALERTIN\20200925-20200929.xml" htmlTables="1" htmlFormat="all"/>
  </connection>
  <connection id="67" name="20200930-20201001" type="4" refreshedVersion="0" background="1">
    <webPr xml="1" sourceData="1" url="Z:\Dosis pacientes\Alertas_Intervencionismo\SIEMENS_HEMODINAMICAS_ALERTIN\20200930-20201001.xml" htmlTables="1" htmlFormat="all"/>
  </connection>
  <connection id="68" name="20200930-202010011" type="4" refreshedVersion="0" background="1">
    <webPr xml="1" sourceData="1" url="Z:\Dosis pacientes\Alertas_Intervencionismo\SIEMENS_HEMODINAMICAS_ALERTIN\20200930-20201001.xml" htmlTables="1" htmlFormat="all"/>
  </connection>
  <connection id="69" name="20201001-20201002" type="4" refreshedVersion="0" background="1">
    <webPr xml="1" sourceData="1" url="Z:\Dosis pacientes\Alertas_Intervencionismo\SIEMENS_HEMODINAMICAS_ALERTIN\20201001-20201002.xml" htmlTables="1" htmlFormat="all"/>
  </connection>
  <connection id="70" name="20201002-20201005" type="4" refreshedVersion="0" background="1">
    <webPr xml="1" sourceData="1" url="Z:\Dosis pacientes\Alertas_Intervencionismo\SIEMENS_HEMODINAMICAS_ALERTIN\20201002-20201005.xml" htmlTables="1" htmlFormat="all"/>
  </connection>
  <connection id="71" name="20201002-202010051" type="4" refreshedVersion="0" background="1">
    <webPr xml="1" sourceData="1" url="Z:\Dosis pacientes\Alertas_Intervencionismo\SIEMENS_HEMODINAMICAS_ALERTIN\20201002-20201005.xml" htmlTables="1" htmlFormat="all"/>
  </connection>
  <connection id="72" name="20201006-20201007" type="4" refreshedVersion="0" background="1">
    <webPr xml="1" sourceData="1" url="Z:\Dosis pacientes\Alertas_Intervencionismo\SIEMENS_HEMODINAMICAS_ALERTIN\20201006-20201007.xml" htmlTables="1" htmlFormat="all"/>
  </connection>
  <connection id="73" name="20201008-20201009" type="4" refreshedVersion="0" background="1">
    <webPr xml="1" sourceData="1" url="Z:\Dosis pacientes\Alertas_Intervencionismo\SIEMENS_HEMODINAMICAS_ALERTIN\20201008-20201009.xml" htmlTables="1" htmlFormat="all"/>
  </connection>
  <connection id="74" name="20201008-202010091" type="4" refreshedVersion="0" background="1">
    <webPr xml="1" sourceData="1" url="Z:\Dosis pacientes\Alertas_Intervencionismo\SIEMENS_HEMODINAMICAS_ALERTIN\20201008-20201009.xml" htmlTables="1" htmlFormat="all"/>
  </connection>
  <connection id="75" name="20201009-20201013" type="4" refreshedVersion="0" background="1">
    <webPr xml="1" sourceData="1" url="Z:\Dosis pacientes\Alertas_Intervencionismo\SIEMENS_HEMODINAMICAS_ALERTIN\20201009-20201013.xml" htmlTables="1" htmlFormat="all"/>
  </connection>
  <connection id="76" name="20201013-20201014" type="4" refreshedVersion="0" background="1">
    <webPr xml="1" sourceData="1" url="Z:\Dosis pacientes\Alertas_Intervencionismo\SIEMENS_HEMODINAMICAS_ALERTIN\20201013-20201014.xml" htmlTables="1" htmlFormat="all"/>
  </connection>
  <connection id="77" name="20201014-20201015" type="4" refreshedVersion="0" background="1">
    <webPr xml="1" sourceData="1" url="Z:\Dosis pacientes\Alertas_Intervencionismo\SIEMENS_HEMODINAMICAS_ALERTIN\20201014-20201015.xml" htmlTables="1" htmlFormat="all"/>
  </connection>
  <connection id="78" name="20201014-202010151" type="4" refreshedVersion="0" background="1">
    <webPr xml="1" sourceData="1" url="Z:\Dosis pacientes\Alertas_Intervencionismo\SIEMENS_HEMODINAMICAS_ALERTIN\20201014-20201015.xml" htmlTables="1" htmlFormat="all"/>
  </connection>
  <connection id="79" name="20201014-202010152" type="4" refreshedVersion="0" background="1">
    <webPr xml="1" sourceData="1" url="Z:\Dosis pacientes\Alertas_Intervencionismo\SIEMENS_HEMODINAMICAS_ALERTIN\20201014-20201015.xml" htmlTables="1" htmlFormat="all"/>
  </connection>
  <connection id="80" name="20201014-202010153" type="4" refreshedVersion="0" background="1">
    <webPr xml="1" sourceData="1" url="Z:\Dosis pacientes\Alertas_Intervencionismo\SIEMENS_HEMODINAMICAS_ALERTIN\20201014-20201015.xml" htmlTables="1" htmlFormat="all"/>
  </connection>
  <connection id="81" name="20201014-202010154" type="4" refreshedVersion="0" background="1">
    <webPr xml="1" sourceData="1" url="Z:\Dosis pacientes\Alertas_Intervencionismo\SIEMENS_HEMODINAMICAS_ALERTIN\20201014-20201015.xml" htmlTables="1" htmlFormat="all"/>
  </connection>
  <connection id="82" name="20201014-202010155" type="4" refreshedVersion="0" background="1">
    <webPr xml="1" sourceData="1" url="Z:\Dosis pacientes\Alertas_Intervencionismo\SIEMENS_HEMODINAMICAS_ALERTIN\20201014-20201015.xml" htmlTables="1" htmlFormat="all"/>
  </connection>
  <connection id="83" name="20201014-202010156" type="4" refreshedVersion="0" background="1">
    <webPr xml="1" sourceData="1" url="Z:\Dosis pacientes\Alertas_Intervencionismo\SIEMENS_HEMODINAMICAS_ALERTIN\20201014-20201015.xml" htmlTables="1" htmlFormat="all"/>
  </connection>
  <connection id="84" name="20201020-20201020" type="4" refreshedVersion="0" background="1">
    <webPr xml="1" sourceData="1" url="Z:\Dosis pacientes\Alertas_Intervencionismo\SIEMENS_HEMODINAMICAS_ALERTIN\20201020-20201020.xml" htmlTables="1" htmlFormat="all"/>
  </connection>
  <connection id="85" name="20201020-20201021" type="4" refreshedVersion="0" background="1">
    <webPr xml="1" sourceData="1" url="Z:\Dosis pacientes\Alertas_Intervencionismo\SIEMENS_HEMODINAMICAS_ALERTIN\20201020-20201021.xml" htmlTables="1" htmlFormat="all"/>
  </connection>
  <connection id="86" name="20201021-20201022" type="4" refreshedVersion="0" background="1">
    <webPr xml="1" sourceData="1" url="Z:\Dosis pacientes\Alertas_Intervencionismo\SIEMENS_HEMODINAMICAS_ALERTIN\20201021-20201022.xml" htmlTables="1" htmlFormat="all"/>
  </connection>
  <connection id="87" name="20201022-20201023" type="4" refreshedVersion="0" background="1">
    <webPr xml="1" sourceData="1" url="Z:\Dosis pacientes\Alertas_Intervencionismo\SIEMENS_HEMODINAMICAS_ALERTIN\20201022-20201023.xml" htmlTables="1" htmlFormat="all"/>
  </connection>
  <connection id="88" name="20201023-20201026" type="4" refreshedVersion="0" background="1">
    <webPr xml="1" sourceData="1" url="Z:\Dosis pacientes\Alertas_Intervencionismo\SIEMENS_HEMODINAMICAS_ALERTIN\20201023-20201026.xml" htmlTables="1" htmlFormat="all"/>
  </connection>
  <connection id="89" name="20201026-20201027" type="4" refreshedVersion="0" background="1">
    <webPr xml="1" sourceData="1" url="Z:\Dosis pacientes\Alertas_Intervencionismo\SIEMENS_HEMODINAMICAS_ALERTIN\20201026-20201027.xml" htmlTables="1" htmlFormat="all"/>
  </connection>
  <connection id="90" name="20201028-20201029" type="4" refreshedVersion="0" background="1">
    <webPr xml="1" sourceData="1" url="Z:\Dosis pacientes\Alertas_Intervencionismo\SIEMENS_HEMODINAMICAS_ALERTIN\20201028-20201029.xml" htmlTables="1" htmlFormat="all"/>
  </connection>
  <connection id="91" name="20201029-20201030" type="4" refreshedVersion="0" background="1">
    <webPr xml="1" sourceData="1" url="Z:\Dosis pacientes\Alertas_Intervencionismo\SIEMENS_HEMODINAMICAS_ALERTIN\20201029-20201030.xml" htmlTables="1" htmlFormat="all"/>
  </connection>
  <connection id="92" name="20201029-202010301" type="4" refreshedVersion="0" background="1">
    <webPr xml="1" sourceData="1" url="Z:\Dosis pacientes\Alertas_Intervencionismo\SIEMENS_HEMODINAMICAS_ALERTIN\20201029-20201030.xml" htmlTables="1" htmlFormat="all"/>
  </connection>
  <connection id="93" name="20201030-20201103" type="4" refreshedVersion="0" background="1">
    <webPr xml="1" sourceData="1" url="Z:\Dosis pacientes\Alertas_Intervencionismo\SIEMENS_HEMODINAMICAS_ALERTIN\20201030-20201103.xml" htmlTables="1" htmlFormat="all"/>
  </connection>
  <connection id="94" name="20201103-20201104" type="4" refreshedVersion="0" background="1">
    <webPr xml="1" sourceData="1" url="Z:\Dosis pacientes\Alertas_Intervencionismo\SIEMENS_HEMODINAMICAS_ALERTIN\20201103-20201104.xml" htmlTables="1" htmlFormat="all"/>
  </connection>
  <connection id="95" name="20201104-20201105" type="4" refreshedVersion="0" background="1">
    <webPr xml="1" sourceData="1" url="Z:\Dosis pacientes\Alertas_Intervencionismo\SIEMENS_HEMODINAMICAS_ALERTIN\20201104-20201105.xml" htmlTables="1" htmlFormat="all"/>
  </connection>
  <connection id="96" name="20201105-20201106" type="4" refreshedVersion="0" background="1">
    <webPr xml="1" sourceData="1" url="Z:\Dosis pacientes\Alertas_Intervencionismo\SIEMENS_HEMODINAMICAS_ALERTIN\20201105-20201106.xml" htmlTables="1" htmlFormat="all"/>
  </connection>
  <connection id="97" name="20201106-20201109" type="4" refreshedVersion="0" background="1">
    <webPr xml="1" sourceData="1" url="Z:\Dosis pacientes\Alertas_Intervencionismo\SIEMENS_HEMODINAMICAS_ALERTIN\20201106-20201109.xml" htmlTables="1" htmlFormat="all"/>
  </connection>
  <connection id="98" name="20201109-20201110" type="4" refreshedVersion="0" background="1">
    <webPr xml="1" sourceData="1" url="Z:\Dosis pacientes\Alertas_Intervencionismo\SIEMENS_HEMODINAMICAS_ALERTIN\20201109-20201110.xml" htmlTables="1" htmlFormat="all"/>
  </connection>
  <connection id="99" name="20201110-20201111" type="4" refreshedVersion="0" background="1">
    <webPr xml="1" sourceData="1" url="Z:\Dosis pacientes\Alertas_Intervencionismo\SIEMENS_HEMODINAMICAS_ALERTIN\20201110-20201111.xml" htmlTables="1" htmlFormat="all"/>
  </connection>
  <connection id="100" name="20201111-20201112" type="4" refreshedVersion="0" background="1">
    <webPr xml="1" sourceData="1" url="Z:\Dosis pacientes\Alertas_Intervencionismo\SIEMENS_HEMODINAMICAS_ALERTIN\20201111-20201112.xml" htmlTables="1" htmlFormat="all"/>
  </connection>
  <connection id="101" name="20201112-20201113" type="4" refreshedVersion="0" background="1">
    <webPr xml="1" sourceData="1" url="Z:\Dosis pacientes\Alertas_Intervencionismo\SIEMENS_HEMODINAMICAS_ALERTIN\20201112-20201113.xml" htmlTables="1" htmlFormat="all"/>
  </connection>
  <connection id="102" name="20201113-20201116" type="4" refreshedVersion="0" background="1">
    <webPr xml="1" sourceData="1" url="Z:\Dosis pacientes\Alertas_Intervencionismo\SIEMENS_HEMODINAMICAS_ALERTIN\20201113-20201116.xml" htmlTables="1" htmlFormat="all"/>
  </connection>
  <connection id="103" name="20201116-20201117" type="4" refreshedVersion="0" background="1">
    <webPr xml="1" sourceData="1" url="Z:\Dosis pacientes\Alertas_Intervencionismo\SIEMENS_HEMODINAMICAS_ALERTIN\20201116-20201117.xml" htmlTables="1" htmlFormat="all"/>
  </connection>
  <connection id="104" name="20201118-20201119" type="4" refreshedVersion="0" background="1">
    <webPr xml="1" sourceData="1" url="Z:\Dosis pacientes\Alertas_Intervencionismo\SIEMENS_HEMODINAMICAS_ALERTIN\20201118-20201119.xml" htmlTables="1" htmlFormat="all"/>
  </connection>
  <connection id="105" name="20201119-20201120" type="4" refreshedVersion="0" background="1">
    <webPr xml="1" sourceData="1" url="Z:\Dosis pacientes\Alertas_Intervencionismo\SIEMENS_HEMODINAMICAS_ALERTIN\20201119-20201120.xml" htmlTables="1" htmlFormat="all"/>
  </connection>
  <connection id="106" name="20201120-20201123" type="4" refreshedVersion="0" background="1">
    <webPr xml="1" sourceData="1" url="Z:\Dosis pacientes\Alertas_Intervencionismo\SIEMENS_HEMODINAMICAS_ALERTIN\20201120-20201123.xml" htmlTables="1" htmlFormat="all"/>
  </connection>
  <connection id="107" name="20201123-20201124" type="4" refreshedVersion="0" background="1">
    <webPr xml="1" sourceData="1" url="Z:\Dosis pacientes\Alertas_Intervencionismo\SIEMENS_HEMODINAMICAS_ALERTIN\20201123-20201124.xml" htmlTables="1" htmlFormat="all"/>
  </connection>
  <connection id="108" name="20201124-20201125" type="4" refreshedVersion="0" background="1">
    <webPr xml="1" sourceData="1" url="Z:\Dosis pacientes\Alertas_Intervencionismo\SIEMENS_HEMODINAMICAS_ALERTIN\20201124-20201125.xml" htmlTables="1" htmlFormat="all"/>
  </connection>
  <connection id="109" name="20201125-20201126" type="4" refreshedVersion="0" background="1">
    <webPr xml="1" sourceData="1" url="Z:\Dosis pacientes\Alertas_Intervencionismo\SIEMENS_HEMODINAMICAS_ALERTIN\20201125-20201126.xml" htmlTables="1" htmlFormat="all"/>
  </connection>
  <connection id="110" name="20201126-20201127" type="4" refreshedVersion="0" background="1">
    <webPr xml="1" sourceData="1" url="Z:\Dosis pacientes\Alertas_Intervencionismo\SIEMENS_HEMODINAMICAS_ALERTIN\20201126-20201127.xml" htmlTables="1" htmlFormat="all"/>
  </connection>
  <connection id="111" name="20201127-20201130" type="4" refreshedVersion="0" background="1">
    <webPr xml="1" sourceData="1" url="Z:\Dosis pacientes\Alertas_Intervencionismo\SIEMENS_HEMODINAMICAS_ALERTIN\20201127-20201130.xml" htmlTables="1" htmlFormat="all"/>
  </connection>
  <connection id="112" name="20201130-20201201" type="4" refreshedVersion="0" background="1">
    <webPr xml="1" sourceData="1" url="Z:\Dosis pacientes\Alertas_Intervencionismo\SIEMENS_HEMODINAMICAS_ALERTIN\20201130-20201201.xml" htmlTables="1" htmlFormat="all"/>
  </connection>
  <connection id="113" name="20201201-20201202" type="4" refreshedVersion="0" background="1">
    <webPr xml="1" sourceData="1" url="Z:\Dosis pacientes\Alertas_Intervencionismo\SIEMENS_HEMODINAMICAS_ALERTIN\20201201-20201202.xml" htmlTables="1" htmlFormat="all"/>
  </connection>
  <connection id="114" name="20201202-20201203" type="4" refreshedVersion="0" background="1">
    <webPr xml="1" sourceData="1" url="Z:\Dosis pacientes\Alertas_Intervencionismo\SIEMENS_HEMODINAMICAS_ALERTIN\20201202-20201203.xml" htmlTables="1" htmlFormat="all"/>
  </connection>
  <connection id="115" name="20201203-20201204" type="4" refreshedVersion="0" background="1">
    <webPr xml="1" sourceData="1" url="Z:\Dosis pacientes\Alertas_Intervencionismo\SIEMENS_HEMODINAMICAS_ALERTIN\20201203-20201204.xml" htmlTables="1" htmlFormat="all"/>
  </connection>
  <connection id="116" name="20201203-202012041" type="4" refreshedVersion="0" background="1">
    <webPr xml="1" sourceData="1" url="Z:\Dosis pacientes\Alertas_Intervencionismo\SIEMENS_HEMODINAMICAS_ALERTIN\20201203-20201204.xml" htmlTables="1" htmlFormat="all"/>
  </connection>
  <connection id="117" name="20201203-202012042" type="4" refreshedVersion="0" background="1">
    <webPr xml="1" sourceData="1" url="Z:\Dosis pacientes\Alertas_Intervencionismo\SIEMENS_HEMODINAMICAS_ALERTIN\20201203-20201204.xml" htmlTables="1" htmlFormat="all"/>
  </connection>
  <connection id="118" name="20201204-20201209" type="4" refreshedVersion="0" background="1">
    <webPr xml="1" sourceData="1" url="Z:\Dosis pacientes\Alertas_Intervencionismo\SIEMENS_HEMODINAMICAS_ALERTIN\20201204-20201209.xml" htmlTables="1" htmlFormat="all"/>
  </connection>
  <connection id="119" name="20201209-20201210" type="4" refreshedVersion="0" background="1">
    <webPr xml="1" sourceData="1" url="Z:\Dosis pacientes\Alertas_Intervencionismo\SIEMENS_HEMODINAMICAS_ALERTIN\20201209-20201210.xml" htmlTables="1" htmlFormat="all"/>
  </connection>
  <connection id="120" name="20201210-20201211" type="4" refreshedVersion="0" background="1">
    <webPr xml="1" sourceData="1" url="Z:\Dosis pacientes\Alertas_Intervencionismo\SIEMENS_HEMODINAMICAS_ALERTIN\20201210-20201211.xml" htmlTables="1" htmlFormat="all"/>
  </connection>
  <connection id="121" name="20201210-202012111" type="4" refreshedVersion="0" background="1">
    <webPr xml="1" sourceData="1" url="Z:\Dosis pacientes\Alertas_Intervencionismo\SIEMENS_HEMODINAMICAS_ALERTIN\20201210-20201211.xml" htmlTables="1" htmlFormat="all"/>
  </connection>
  <connection id="122" name="20201211-20201214" type="4" refreshedVersion="0" background="1">
    <webPr xml="1" sourceData="1" url="Z:\Dosis pacientes\Alertas_Intervencionismo\SIEMENS_HEMODINAMICAS_ALERTIN\20201211-20201214.xml" htmlTables="1" htmlFormat="all"/>
  </connection>
  <connection id="123" name="20201214-20201215" type="4" refreshedVersion="0" background="1">
    <webPr xml="1" sourceData="1" url="Z:\Dosis pacientes\Alertas_Intervencionismo\SIEMENS_HEMODINAMICAS_ALERTIN\20201214-20201215.xml" htmlTables="1" htmlFormat="all"/>
  </connection>
  <connection id="124" name="20201215-20201216" type="4" refreshedVersion="0" background="1">
    <webPr xml="1" sourceData="1" url="Z:\Dosis pacientes\Alertas_Intervencionismo\SIEMENS_HEMODINAMICAS_ALERTIN\20201215-20201216.xml" htmlTables="1" htmlFormat="all"/>
  </connection>
  <connection id="125" name="20201216-20201217" type="4" refreshedVersion="0" background="1">
    <webPr xml="1" sourceData="1" url="Z:\Dosis pacientes\Alertas_Intervencionismo\SIEMENS_HEMODINAMICAS_ALERTIN\20201216-20201217.xml" htmlTables="1" htmlFormat="all"/>
  </connection>
  <connection id="126" name="20201217-20201218" type="4" refreshedVersion="0" background="1">
    <webPr xml="1" sourceData="1" url="Z:\Dosis pacientes\Alertas_Intervencionismo\SIEMENS_HEMODINAMICAS_ALERTIN\20201217-20201218.xml" htmlTables="1" htmlFormat="all"/>
  </connection>
  <connection id="127" name="20201218-20201221" type="4" refreshedVersion="0" background="1">
    <webPr xml="1" sourceData="1" url="Z:\Dosis pacientes\Alertas_Intervencionismo\SIEMENS_HEMODINAMICAS_ALERTIN\20201218-20201221.xml" htmlTables="1" htmlFormat="all"/>
  </connection>
  <connection id="128" name="20201221-20201222" type="4" refreshedVersion="0" background="1">
    <webPr xml="1" sourceData="1" url="Z:\Dosis pacientes\Alertas_Intervencionismo\SIEMENS_HEMODINAMICAS_ALERTIN\20201221-20201222.xml" htmlTables="1" htmlFormat="all"/>
  </connection>
  <connection id="129" name="20201222-20201223" type="4" refreshedVersion="0" background="1">
    <webPr xml="1" sourceData="1" url="Z:\Dosis pacientes\Alertas_Intervencionismo\SIEMENS_HEMODINAMICAS_ALERTIN\20201222-20201223.xml" htmlTables="1" htmlFormat="all"/>
  </connection>
  <connection id="130" name="20201222-202012231" type="4" refreshedVersion="0" background="1">
    <webPr xml="1" sourceData="1" url="Z:\Dosis pacientes\Alertas_Intervencionismo\SIEMENS_HEMODINAMICAS_ALERTIN\20201222-20201223.xml" htmlTables="1" htmlFormat="all"/>
  </connection>
  <connection id="131" name="20201222-202012232" type="4" refreshedVersion="0" background="1">
    <webPr xml="1" sourceData="1" url="Z:\Dosis pacientes\Alertas_Intervencionismo\SIEMENS_HEMODINAMICAS_ALERTIN\20201222-20201223.xml" htmlTables="1" htmlFormat="all"/>
  </connection>
  <connection id="132" name="20201228-20201230" type="4" refreshedVersion="0" background="1">
    <webPr xml="1" sourceData="1" url="Z:\Dosis pacientes\Alertas_Intervencionismo\SIEMENS_HEMODINAMICAS_ALERTIN\20201228-20201230.xml" htmlTables="1" htmlFormat="all"/>
  </connection>
  <connection id="133" name="20201228-202012301" type="4" refreshedVersion="0" background="1">
    <webPr xml="1" sourceData="1" url="Z:\Dosis pacientes\Alertas_Intervencionismo\SIEMENS_HEMODINAMICAS_ALERTIN\20201228-20201230.xml" htmlTables="1" htmlFormat="all"/>
  </connection>
  <connection id="134" name="20201228-202012302" type="4" refreshedVersion="0" background="1">
    <webPr xml="1" sourceData="1" url="Z:\Dosis pacientes\Alertas_Intervencionismo\SIEMENS_HEMODINAMICAS_ALERTIN\20201228-20201230.xml" htmlTables="1" htmlFormat="all"/>
  </connection>
  <connection id="135" name="20201228-202012303" type="4" refreshedVersion="0" background="1">
    <webPr xml="1" sourceData="1" url="Z:\Dosis pacientes\Alertas_Intervencionismo\SIEMENS_HEMODINAMICAS_ALERTIN\20201228-20201230.xml" htmlTables="1" htmlFormat="all"/>
  </connection>
  <connection id="136" name="20201230-20210104" type="4" refreshedVersion="0" background="1">
    <webPr xml="1" sourceData="1" url="Z:\Dosis pacientes\Alertas_Intervencionismo\SIEMENS_HEMODINAMICAS_ALERTIN\20201230-20210104.xml" htmlTables="1" htmlFormat="all"/>
  </connection>
  <connection id="137" name="20201230-202101041" type="4" refreshedVersion="0" background="1">
    <webPr xml="1" sourceData="1" url="Z:\Dosis pacientes\Alertas_Intervencionismo\SIEMENS_HEMODINAMICAS_ALERTIN\20201230-20210104.xml" htmlTables="1" htmlFormat="all"/>
  </connection>
  <connection id="138" name="20201230-202101042" type="4" refreshedVersion="0" background="1">
    <webPr xml="1" sourceData="1" url="Z:\Dosis pacientes\Alertas_Intervencionismo\SIEMENS_HEMODINAMICAS_ALERTIN\20201230-20210104.xml" htmlTables="1" htmlFormat="all"/>
  </connection>
  <connection id="139" name="20210104-20210107" type="4" refreshedVersion="0" background="1">
    <webPr xml="1" sourceData="1" url="Z:\Dosis pacientes\Alertas_Intervencionismo\SIEMENS_HEMODINAMICAS_ALERTIN\20210104-20210107.xml" htmlTables="1" htmlFormat="all"/>
  </connection>
  <connection id="140" name="20210107-20210108" type="4" refreshedVersion="0" background="1">
    <webPr xml="1" sourceData="1" url="Z:\Dosis pacientes\Alertas_Intervencionismo\SIEMENS_HEMODINAMICAS_ALERTIN\20210107-20210108.xml" htmlTables="1" htmlFormat="all"/>
  </connection>
  <connection id="141" name="20210108-20210111" type="4" refreshedVersion="0" background="1">
    <webPr xml="1" sourceData="1" url="Z:\Dosis pacientes\Alertas_Intervencionismo\SIEMENS_HEMODINAMICAS_ALERTIN\20210108-20210111.xml" htmlTables="1" htmlFormat="all"/>
  </connection>
  <connection id="142" name="20210111-20210112" type="4" refreshedVersion="0" background="1">
    <webPr xml="1" sourceData="1" url="Z:\Dosis pacientes\Alertas_Intervencionismo\SIEMENS_HEMODINAMICAS_ALERTIN\20210111-20210112.xml" htmlTables="1" htmlFormat="all"/>
  </connection>
  <connection id="143" name="20210112-20210113" type="4" refreshedVersion="0" background="1">
    <webPr xml="1" sourceData="1" url="Z:\Dosis pacientes\Alertas_Intervencionismo\SIEMENS_HEMODINAMICAS_ALERTIN\20210112-20210113.xml" htmlTables="1" htmlFormat="all"/>
  </connection>
  <connection id="144" name="20210113-20210114" type="4" refreshedVersion="0" background="1">
    <webPr xml="1" sourceData="1" url="Z:\Dosis pacientes\Alertas_Intervencionismo\SIEMENS_HEMODINAMICAS_ALERTIN\20210113-20210114.xml" htmlTables="1" htmlFormat="all"/>
  </connection>
  <connection id="145" name="20210114-20210115" type="4" refreshedVersion="0" background="1">
    <webPr xml="1" sourceData="1" url="Z:\Dosis pacientes\Alertas_Intervencionismo\SIEMENS_HEMODINAMICAS_ALERTIN\20210114-20210115.xml" htmlTables="1" htmlFormat="all"/>
  </connection>
  <connection id="146" name="20210115-20210118" type="4" refreshedVersion="0" background="1">
    <webPr xml="1" sourceData="1" url="Z:\Dosis pacientes\Alertas_Intervencionismo\SIEMENS_HEMODINAMICAS_ALERTIN\20210115-20210118.xml" htmlTables="1" htmlFormat="all"/>
  </connection>
  <connection id="147" name="20210118-20210119" type="4" refreshedVersion="0" background="1">
    <webPr xml="1" sourceData="1" url="Z:\Dosis pacientes\Alertas_Intervencionismo\SIEMENS_HEMODINAMICAS_ALERTIN\20210118-20210119.xml" htmlTables="1" htmlFormat="all"/>
  </connection>
  <connection id="148" name="20210119-20210120" type="4" refreshedVersion="0" background="1">
    <webPr xml="1" sourceData="1" url="Z:\Dosis pacientes\Alertas_Intervencionismo\SIEMENS_HEMODINAMICAS_ALERTIN\20210119-20210120.xml" htmlTables="1" htmlFormat="all"/>
  </connection>
  <connection id="149" name="20210120-20210121" type="4" refreshedVersion="0" background="1">
    <webPr xml="1" sourceData="1" url="Z:\Dosis pacientes\Alertas_Intervencionismo\SIEMENS_HEMODINAMICAS_ALERTIN\20210120-20210121.xml" htmlTables="1" htmlFormat="all"/>
  </connection>
  <connection id="150" name="20210121-20210122" type="4" refreshedVersion="0" background="1">
    <webPr xml="1" sourceData="1" url="Z:\Dosis pacientes\Alertas_Intervencionismo\SIEMENS_HEMODINAMICAS_ALERTIN\20210121-20210122.xml" htmlTables="1" htmlFormat="all"/>
  </connection>
  <connection id="151" name="20210121-202101221" type="4" refreshedVersion="0" background="1">
    <webPr xml="1" sourceData="1" url="Z:\Dosis pacientes\Alertas_Intervencionismo\SIEMENS_HEMODINAMICAS_ALERTIN\20210121-20210122.xml" htmlTables="1" htmlFormat="all"/>
  </connection>
  <connection id="152" name="20210122-20210125" type="4" refreshedVersion="0" background="1">
    <webPr xml="1" sourceData="1" url="Z:\Dosis pacientes\Alertas_Intervencionismo\SIEMENS_HEMODINAMICAS_ALERTIN\20210122-20210125.xml" htmlTables="1" htmlFormat="all"/>
  </connection>
  <connection id="153" name="20210122-202101251" type="4" refreshedVersion="0" background="1">
    <webPr xml="1" sourceData="1" url="Z:\Dosis pacientes\Alertas_Intervencionismo\SIEMENS_HEMODINAMICAS_ALERTIN\20210122-20210125.xml" htmlTables="1" htmlFormat="all"/>
  </connection>
  <connection id="154" name="20210125-20210126" type="4" refreshedVersion="0" background="1">
    <webPr xml="1" sourceData="1" url="Z:\Dosis pacientes\Alertas_Intervencionismo\SIEMENS_HEMODINAMICAS_ALERTIN\20210125-20210126.xml" htmlTables="1" htmlFormat="all"/>
  </connection>
  <connection id="155" name="20210125-202101261" type="4" refreshedVersion="0" background="1">
    <webPr xml="1" sourceData="1" url="Z:\Dosis pacientes\Alertas_Intervencionismo\SIEMENS_HEMODINAMICAS_ALERTIN\20210125-20210126.xml" htmlTables="1" htmlFormat="all"/>
  </connection>
  <connection id="156" name="20210126-20210127" type="4" refreshedVersion="0" background="1">
    <webPr xml="1" sourceData="1" url="Z:\Dosis pacientes\Alertas_Intervencionismo\SIEMENS_HEMODINAMICAS_ALERTIN\20210126-20210127.xml" htmlTables="1" htmlFormat="all"/>
  </connection>
  <connection id="157" name="20210127-20210128" type="4" refreshedVersion="0" background="1">
    <webPr xml="1" sourceData="1" url="Z:\Dosis pacientes\Alertas_Intervencionismo\SIEMENS_HEMODINAMICAS_ALERTIN\20210127-20210128.xml" htmlTables="1" htmlFormat="all"/>
  </connection>
  <connection id="158" name="20210128-20210129" type="4" refreshedVersion="0" background="1">
    <webPr xml="1" sourceData="1" url="Z:\Dosis pacientes\Alertas_Intervencionismo\SIEMENS_HEMODINAMICAS_ALERTIN\20210128-20210129.xml" htmlTables="1" htmlFormat="all"/>
  </connection>
  <connection id="159" name="20210128-202101291" type="4" refreshedVersion="0" background="1">
    <webPr xml="1" sourceData="1" url="Z:\Dosis pacientes\Alertas_Intervencionismo\SIEMENS_HEMODINAMICAS_ALERTIN\20210128-20210129.xml" htmlTables="1" htmlFormat="all"/>
  </connection>
  <connection id="160" name="20210130-20210201" type="4" refreshedVersion="0" background="1">
    <webPr xml="1" sourceData="1" url="Z:\Dosis pacientes\Alertas_Intervencionismo\SIEMENS_HEMODINAMICAS_ALERTIN\20210130-20210201.xml" htmlTables="1" htmlFormat="all"/>
  </connection>
  <connection id="161" name="20210201-20210202" type="4" refreshedVersion="0" background="1">
    <webPr xml="1" sourceData="1" url="Z:\Dosis pacientes\Alertas_Intervencionismo\SIEMENS_HEMODINAMICAS_ALERTIN\20210201-20210202.xml" htmlTables="1" htmlFormat="all"/>
  </connection>
  <connection id="162" name="20210201-202102021" type="4" refreshedVersion="0" background="1">
    <webPr xml="1" sourceData="1" url="Z:\Dosis pacientes\Alertas_Intervencionismo\SIEMENS_HEMODINAMICAS_ALERTIN\20210201-20210202.xml" htmlTables="1" htmlFormat="all"/>
  </connection>
  <connection id="163" name="20210202-20210203" type="4" refreshedVersion="0" background="1">
    <webPr xml="1" sourceData="1" url="Z:\Dosis pacientes\Alertas_Intervencionismo\SIEMENS_HEMODINAMICAS_ALERTIN\20210202-20210203.xml" htmlTables="1" htmlFormat="all"/>
  </connection>
  <connection id="164" name="20210202-202102031" type="4" refreshedVersion="0" background="1">
    <webPr xml="1" sourceData="1" url="Z:\Dosis pacientes\Alertas_Intervencionismo\SIEMENS_HEMODINAMICAS_ALERTIN\20210202-20210203.xml" htmlTables="1" htmlFormat="all"/>
  </connection>
  <connection id="165" name="20210202-202102032" type="4" refreshedVersion="0" background="1">
    <webPr xml="1" sourceData="1" url="Z:\Dosis pacientes\Alertas_Intervencionismo\SIEMENS_HEMODINAMICAS_ALERTIN\20210202-20210203.xml" htmlTables="1" htmlFormat="all"/>
  </connection>
  <connection id="166" name="20210203-20210204" type="4" refreshedVersion="0" background="1">
    <webPr xml="1" sourceData="1" url="Z:\Dosis pacientes\Alertas_Intervencionismo\SIEMENS_HEMODINAMICAS_ALERTIN\20210203-20210204.xml" htmlTables="1" htmlFormat="all"/>
  </connection>
  <connection id="167" name="20210203-202102041" type="4" refreshedVersion="0" background="1">
    <webPr xml="1" sourceData="1" url="Z:\Dosis pacientes\Alertas_Intervencionismo\SIEMENS_HEMODINAMICAS_ALERTIN\20210203-20210204.xml" htmlTables="1" htmlFormat="all"/>
  </connection>
  <connection id="168" name="20210204-20210205" type="4" refreshedVersion="0" background="1">
    <webPr xml="1" sourceData="1" url="Z:\Dosis pacientes\Alertas_Intervencionismo\SIEMENS_HEMODINAMICAS_ALERTIN\20210204-20210205.xml" htmlTables="1" htmlFormat="all"/>
  </connection>
  <connection id="169" name="20210205-20210208" type="4" refreshedVersion="0" background="1">
    <webPr xml="1" sourceData="1" url="Z:\Dosis pacientes\Alertas_Intervencionismo\SIEMENS_HEMODINAMICAS_ALERTIN\20210205-20210208.xml" htmlTables="1" htmlFormat="all"/>
  </connection>
  <connection id="170" name="20210208-20210209" type="4" refreshedVersion="0" background="1">
    <webPr xml="1" sourceData="1" url="Z:\Dosis pacientes\Alertas_Intervencionismo\SIEMENS_HEMODINAMICAS_ALERTIN\20210208-20210209.xml" htmlTables="1" htmlFormat="all"/>
  </connection>
  <connection id="171" name="20210209-20210210" type="4" refreshedVersion="0" background="1">
    <webPr xml="1" sourceData="1" url="Z:\Dosis pacientes\Alertas_Intervencionismo\SIEMENS_HEMODINAMICAS_ALERTIN\20210209-20210210.xml" htmlTables="1" htmlFormat="all"/>
  </connection>
  <connection id="172" name="20210210-20210211" type="4" refreshedVersion="0" background="1">
    <webPr xml="1" sourceData="1" url="Z:\Dosis pacientes\Alertas_Intervencionismo\SIEMENS_HEMODINAMICAS_ALERTIN\20210210-20210211.xml" htmlTables="1" htmlFormat="all"/>
  </connection>
  <connection id="173" name="20210211-20210212" type="4" refreshedVersion="0" background="1">
    <webPr xml="1" sourceData="1" url="Z:\Dosis pacientes\Alertas_Intervencionismo\SIEMENS_HEMODINAMICAS_ALERTIN\20210211-20210212.xml" htmlTables="1" htmlFormat="all"/>
  </connection>
  <connection id="174" name="20210213-20210215" type="4" refreshedVersion="0" background="1">
    <webPr xml="1" sourceData="1" url="Z:\Dosis pacientes\Alertas_Intervencionismo\SIEMENS_HEMODINAMICAS_ALERTIN\20210213-20210215.xml" htmlTables="1" htmlFormat="all"/>
  </connection>
  <connection id="175" name="20210213-202102151" type="4" refreshedVersion="0" background="1">
    <webPr xml="1" sourceData="1" url="Z:\Dosis pacientes\Alertas_Intervencionismo\SIEMENS_HEMODINAMICAS_ALERTIN\20210213-20210215.xml" htmlTables="1" htmlFormat="all"/>
  </connection>
  <connection id="176" name="20210215-20210217" type="4" refreshedVersion="0" background="1">
    <webPr xml="1" sourceData="1" url="Z:\Dosis pacientes\Alertas_Intervencionismo\SIEMENS_HEMODINAMICAS_ALERTIN\20210215-20210217.xml" htmlTables="1" htmlFormat="all"/>
  </connection>
  <connection id="177" name="20210217-20210218" type="4" refreshedVersion="0" background="1">
    <webPr xml="1" sourceData="1" url="Z:\Dosis pacientes\Alertas_Intervencionismo\SIEMENS_HEMODINAMICAS_ALERTIN\20210217-20210218.xml" htmlTables="1" htmlFormat="all"/>
  </connection>
  <connection id="178" name="20210218-20210219" type="4" refreshedVersion="0" background="1">
    <webPr xml="1" sourceData="1" url="Z:\Dosis pacientes\Alertas_Intervencionismo\SIEMENS_HEMODINAMICAS_ALERTIN\20210218-20210219.xml" htmlTables="1" htmlFormat="all"/>
  </connection>
  <connection id="179" name="20210219-20210222" type="4" refreshedVersion="0" background="1">
    <webPr xml="1" sourceData="1" url="Z:\Dosis pacientes\Alertas_Intervencionismo\SIEMENS_HEMODINAMICAS_ALERTIN\20210219-20210222.xml" htmlTables="1" htmlFormat="all"/>
  </connection>
  <connection id="180" name="20210222-20210223" type="4" refreshedVersion="0" background="1">
    <webPr xml="1" sourceData="1" url="Z:\Dosis pacientes\Alertas_Intervencionismo\SIEMENS_HEMODINAMICAS_ALERTIN\20210222-20210223.xml" htmlTables="1" htmlFormat="all"/>
  </connection>
  <connection id="181" name="20210223-20210224" type="4" refreshedVersion="0" background="1">
    <webPr xml="1" sourceData="1" url="Z:\Dosis pacientes\Alertas_Intervencionismo\SIEMENS_HEMODINAMICAS_ALERTIN\20210223-20210224.xml" htmlTables="1" htmlFormat="all"/>
  </connection>
  <connection id="182" name="20210224-20210225" type="4" refreshedVersion="0" background="1">
    <webPr xml="1" sourceData="1" url="Z:\Dosis pacientes\Alertas_Intervencionismo\SIEMENS_HEMODINAMICAS_ALERTIN\20210224-20210225.xml" htmlTables="1" htmlFormat="all"/>
  </connection>
  <connection id="183" name="20210225-20210226" type="4" refreshedVersion="0" background="1">
    <webPr xml="1" sourceData="1" url="Z:\Dosis pacientes\Alertas_Intervencionismo\SIEMENS_HEMODINAMICAS_ALERTIN\20210225-20210226.xml" htmlTables="1" htmlFormat="all"/>
  </connection>
  <connection id="184" name="20210226-20210301" type="4" refreshedVersion="0" background="1">
    <webPr xml="1" sourceData="1" url="Z:\Dosis pacientes\Alertas_Intervencionismo\SIEMENS_HEMODINAMICAS_ALERTIN\20210226-20210301.xml" htmlTables="1" htmlFormat="all"/>
  </connection>
  <connection id="185" name="20210301-20210302" type="4" refreshedVersion="0" background="1">
    <webPr xml="1" sourceData="1" url="Z:\Dosis pacientes\Alertas_Intervencionismo\SIEMENS_HEMODINAMICAS_ALERTIN\20210301-20210302.xml" htmlTables="1" htmlFormat="all"/>
  </connection>
  <connection id="186" name="20210302-20210303" type="4" refreshedVersion="0" background="1">
    <webPr xml="1" sourceData="1" url="Z:\Dosis pacientes\Alertas_Intervencionismo\SIEMENS_HEMODINAMICAS_ALERTIN\20210302-20210303.xml" htmlTables="1" htmlFormat="all"/>
  </connection>
  <connection id="187" name="20210303-20210304" type="4" refreshedVersion="0" background="1">
    <webPr xml="1" sourceData="1" url="Z:\Dosis pacientes\Alertas_Intervencionismo\SIEMENS_HEMODINAMICAS_ALERTIN\20210303-20210304.xml" htmlTables="1" htmlFormat="all"/>
  </connection>
  <connection id="188" name="20210304-20210305" type="4" refreshedVersion="0" background="1">
    <webPr xml="1" sourceData="1" url="Z:\Dosis pacientes\Alertas_Intervencionismo\SIEMENS_HEMODINAMICAS_ALERTIN\20210304-20210305.xml" htmlTables="1" htmlFormat="all"/>
  </connection>
  <connection id="189" name="20210305-20210308" type="4" refreshedVersion="0" background="1">
    <webPr xml="1" sourceData="1" url="Z:\Dosis pacientes\Alertas_Intervencionismo\SIEMENS_HEMODINAMICAS_ALERTIN\20210305-20210308.xml" htmlTables="1" htmlFormat="all"/>
  </connection>
  <connection id="190" name="20210308-20210309" type="4" refreshedVersion="0" background="1">
    <webPr xml="1" sourceData="1" url="Z:\Dosis pacientes\Alertas_Intervencionismo\SIEMENS_HEMODINAMICAS_ALERTIN\20210308-20210309.xml" htmlTables="1" htmlFormat="all"/>
  </connection>
  <connection id="191" name="20210309-20210310" type="4" refreshedVersion="0" background="1">
    <webPr xml="1" sourceData="1" url="Z:\Dosis pacientes\Alertas_Intervencionismo\SIEMENS_HEMODINAMICAS_ALERTIN\20210309-20210310.xml" htmlTables="1" htmlFormat="all"/>
  </connection>
  <connection id="192" name="20210310-20210311" type="4" refreshedVersion="0" background="1">
    <webPr xml="1" sourceData="1" url="Z:\Dosis pacientes\Alertas_Intervencionismo\SIEMENS_HEMODINAMICAS_ALERTIN\20210310-20210311.xml" htmlTables="1" htmlFormat="all"/>
  </connection>
  <connection id="193" name="20210311-20210312" type="4" refreshedVersion="0" background="1">
    <webPr xml="1" sourceData="1" url="Z:\Dosis pacientes\Alertas_Intervencionismo\SIEMENS_HEMODINAMICAS_ALERTIN\20210311-20210312.xml" htmlTables="1" htmlFormat="all"/>
  </connection>
  <connection id="194" name="20210312-20210315" type="4" refreshedVersion="0" background="1">
    <webPr xml="1" sourceData="1" url="Z:\Dosis pacientes\Alertas_Intervencionismo\SIEMENS_HEMODINAMICAS_ALERTIN\20210312-20210315.xml" htmlTables="1" htmlFormat="all"/>
  </connection>
  <connection id="195" name="20210315-20210316" type="4" refreshedVersion="0" background="1">
    <webPr xml="1" sourceData="1" url="Z:\Dosis pacientes\Alertas_Intervencionismo\SIEMENS_HEMODINAMICAS_ALERTIN\20210315-20210316.xml" htmlTables="1" htmlFormat="all"/>
  </connection>
  <connection id="196" name="20210316-20210317" type="4" refreshedVersion="0" background="1">
    <webPr xml="1" sourceData="1" url="Z:\Dosis pacientes\Alertas_Intervencionismo\SIEMENS_HEMODINAMICAS_ALERTIN\20210316-20210317.xml" htmlTables="1" htmlFormat="all"/>
  </connection>
  <connection id="197" name="20210317-20210318" type="4" refreshedVersion="0" background="1">
    <webPr xml="1" sourceData="1" url="Z:\Dosis pacientes\Alertas_Intervencionismo\SIEMENS_HEMODINAMICAS_ALERTIN\20210317-20210318.xml" htmlTables="1" htmlFormat="all"/>
  </connection>
  <connection id="198" name="20210318-20210319" type="4" refreshedVersion="0" background="1">
    <webPr xml="1" sourceData="1" url="Z:\Dosis pacientes\Alertas_Intervencionismo\SIEMENS_HEMODINAMICAS_ALERTIN\20210318-20210319.xml" htmlTables="1" htmlFormat="all"/>
  </connection>
  <connection id="199" name="20210319-20210322" type="4" refreshedVersion="0" background="1">
    <webPr xml="1" sourceData="1" url="Z:\Dosis pacientes\Alertas_Intervencionismo\SIEMENS_HEMODINAMICAS_ALERTIN\20210319-20210322.xml" htmlTables="1" htmlFormat="all"/>
  </connection>
  <connection id="200" name="20210322-20210323" type="4" refreshedVersion="0" background="1">
    <webPr xml="1" sourceData="1" url="Z:\Dosis pacientes\Alertas_Intervencionismo\SIEMENS_HEMODINAMICAS_ALERTIN\20210322-20210323.xml" htmlTables="1" htmlFormat="all"/>
  </connection>
  <connection id="201" name="20210323-20210324" type="4" refreshedVersion="0" background="1">
    <webPr xml="1" sourceData="1" url="Z:\Dosis pacientes\Alertas_Intervencionismo\SIEMENS_HEMODINAMICAS_ALERTIN\20210323-20210324.xml" htmlTables="1" htmlFormat="all"/>
  </connection>
  <connection id="202" name="20210324-20210325" type="4" refreshedVersion="0" background="1">
    <webPr xml="1" sourceData="1" url="Z:\Dosis pacientes\Alertas_Intervencionismo\SIEMENS_HEMODINAMICAS_ALERTIN\20210324-20210325.xml" htmlTables="1" htmlFormat="all"/>
  </connection>
  <connection id="203" name="20210325-20210326" type="4" refreshedVersion="0" background="1">
    <webPr xml="1" sourceData="1" url="Z:\Dosis pacientes\Alertas_Intervencionismo\SIEMENS_HEMODINAMICAS_ALERTIN\20210325-20210326.xml" htmlTables="1" htmlFormat="all"/>
  </connection>
  <connection id="204" name="20210326-20210329" type="4" refreshedVersion="0" background="1">
    <webPr xml="1" sourceData="1" url="Z:\Dosis pacientes\Alertas_Intervencionismo\SIEMENS_HEMODINAMICAS_ALERTIN\20210326-20210329.xml" htmlTables="1" htmlFormat="all"/>
  </connection>
  <connection id="205" name="20210329-20210330" type="4" refreshedVersion="0" background="1">
    <webPr xml="1" sourceData="1" url="Z:\Dosis pacientes\Alertas_Intervencionismo\SIEMENS_HEMODINAMICAS_ALERTIN\20210329-20210330.xml" htmlTables="1" htmlFormat="all"/>
  </connection>
  <connection id="206" name="20210330-20210331" type="4" refreshedVersion="0" background="1">
    <webPr xml="1" sourceData="1" url="Z:\Dosis pacientes\Alertas_Intervencionismo\SIEMENS_HEMODINAMICAS_ALERTIN\20210330-20210331.xml" htmlTables="1" htmlFormat="all"/>
  </connection>
  <connection id="207" name="20210330-202103311" type="4" refreshedVersion="0" background="1">
    <webPr xml="1" sourceData="1" url="Z:\Dosis pacientes\Alertas_Intervencionismo\SIEMENS_HEMODINAMICAS_ALERTIN\20210330-20210331.xml" htmlTables="1" htmlFormat="all"/>
  </connection>
  <connection id="208" name="20210330-202103312" type="4" refreshedVersion="0" background="1">
    <webPr xml="1" sourceData="1" url="Z:\Dosis pacientes\Alertas_Intervencionismo\SIEMENS_HEMODINAMICAS_ALERTIN\20210330-20210331.xml" htmlTables="1" htmlFormat="all"/>
  </connection>
  <connection id="209" name="20210331-20210405" type="4" refreshedVersion="0" background="1">
    <webPr xml="1" sourceData="1" url="Z:\Dosis pacientes\Alertas_Intervencionismo\SIEMENS_HEMODINAMICAS_ALERTIN\20210331-20210405.xml" htmlTables="1" htmlFormat="all"/>
  </connection>
  <connection id="210" name="20210405-20210406" type="4" refreshedVersion="0" background="1">
    <webPr xml="1" sourceData="1" url="Z:\Dosis pacientes\Alertas_Intervencionismo\SIEMENS_HEMODINAMICAS_ALERTIN\20210405-20210406.xml" htmlTables="1" htmlFormat="all"/>
  </connection>
  <connection id="211" name="20210406-20210407" type="4" refreshedVersion="0" background="1">
    <webPr xml="1" sourceData="1" url="Z:\Dosis pacientes\Alertas_Intervencionismo\SIEMENS_HEMODINAMICAS_ALERTIN\20210406-20210407.xml" htmlTables="1" htmlFormat="all"/>
  </connection>
  <connection id="212" name="20210407-20210408" type="4" refreshedVersion="0" background="1">
    <webPr xml="1" sourceData="1" url="Z:\Dosis pacientes\Alertas_Intervencionismo\SIEMENS_HEMODINAMICAS_ALERTIN\20210407-20210408.xml" htmlTables="1" htmlFormat="all"/>
  </connection>
  <connection id="213" name="20210408-20210409" type="4" refreshedVersion="0" background="1">
    <webPr xml="1" sourceData="1" url="Z:\Dosis pacientes\Alertas_Intervencionismo\SIEMENS_HEMODINAMICAS_ALERTIN\20210408-20210409.xml" htmlTables="1" htmlFormat="all"/>
  </connection>
  <connection id="214" name="20210409-20210412" type="4" refreshedVersion="0" background="1">
    <webPr xml="1" sourceData="1" url="Z:\Dosis pacientes\Alertas_Intervencionismo\SIEMENS_HEMODINAMICAS_ALERTIN\20210409-20210412.xml" htmlTables="1" htmlFormat="all"/>
  </connection>
  <connection id="215" name="20210412-20210413" type="4" refreshedVersion="0" background="1">
    <webPr xml="1" sourceData="1" url="Z:\Dosis pacientes\Alertas_Intervencionismo\SIEMENS_HEMODINAMICAS_ALERTIN\20210412-20210413.xml" htmlTables="1" htmlFormat="all"/>
  </connection>
  <connection id="216" name="20210413-20210414" type="4" refreshedVersion="0" background="1">
    <webPr xml="1" sourceData="1" url="Z:\Dosis pacientes\Alertas_Intervencionismo\SIEMENS_HEMODINAMICAS_ALERTIN\20210413-20210414.xml" htmlTables="1" htmlFormat="all"/>
  </connection>
  <connection id="217" name="20210414-20210415" type="4" refreshedVersion="0" background="1">
    <webPr xml="1" sourceData="1" url="Z:\Dosis pacientes\Alertas_Intervencionismo\SIEMENS_HEMODINAMICAS_ALERTIN\20210414-20210415.xml" htmlTables="1" htmlFormat="all"/>
  </connection>
  <connection id="218" name="20210415-20210416" type="4" refreshedVersion="0" background="1">
    <webPr xml="1" sourceData="1" url="Z:\Dosis pacientes\Alertas_Intervencionismo\SIEMENS_HEMODINAMICAS_ALERTIN\20210415-20210416.xml" htmlTables="1" htmlFormat="all"/>
  </connection>
  <connection id="219" name="20210416-20210419" type="4" refreshedVersion="0" background="1">
    <webPr xml="1" sourceData="1" url="Z:\Dosis pacientes\Alertas_Intervencionismo\SIEMENS_HEMODINAMICAS_ALERTIN\20210416-20210419.xml" htmlTables="1" htmlFormat="all"/>
  </connection>
  <connection id="220" name="20210419-20210420" type="4" refreshedVersion="0" background="1">
    <webPr xml="1" sourceData="1" url="Z:\Dosis pacientes\Alertas_Intervencionismo\SIEMENS_HEMODINAMICAS_ALERTIN\20210419-20210420.xml" htmlTables="1" htmlFormat="all"/>
  </connection>
  <connection id="221" name="20210420-20210421" type="4" refreshedVersion="0" background="1">
    <webPr xml="1" sourceData="1" url="Z:\Dosis pacientes\Alertas_Intervencionismo\SIEMENS_HEMODINAMICAS_ALERTIN\20210420-20210421.xml" htmlTables="1" htmlFormat="all"/>
  </connection>
  <connection id="222" name="20210421-20210422" type="4" refreshedVersion="0" background="1">
    <webPr xml="1" sourceData="1" url="Z:\Dosis pacientes\Alertas_Intervencionismo\SIEMENS_HEMODINAMICAS_ALERTIN\20210421-20210422.xml" htmlTables="1" htmlFormat="all"/>
  </connection>
  <connection id="223" name="20210421-202104221" type="4" refreshedVersion="0" background="1">
    <webPr xml="1" sourceData="1" url="Z:\Dosis pacientes\Alertas_Intervencionismo\SIEMENS_HEMODINAMICAS_ALERTIN\20210421-20210422.xml" htmlTables="1" htmlFormat="all"/>
  </connection>
  <connection id="224" name="20210422-20210426" type="4" refreshedVersion="0" background="1">
    <webPr xml="1" sourceData="1" url="Z:\Dosis pacientes\Alertas_Intervencionismo\SIEMENS_HEMODINAMICAS_ALERTIN\20210422-20210426.xml" htmlTables="1" htmlFormat="all"/>
  </connection>
  <connection id="225" name="20210426-20210427" type="4" refreshedVersion="0" background="1">
    <webPr xml="1" sourceData="1" url="Z:\Dosis pacientes\Alertas_Intervencionismo\SIEMENS_HEMODINAMICAS_ALERTIN\20210426-20210427.xml" htmlTables="1" htmlFormat="all"/>
  </connection>
  <connection id="226" name="20210426-202104271" type="4" refreshedVersion="0" background="1">
    <webPr xml="1" sourceData="1" url="Z:\Dosis pacientes\Alertas_Intervencionismo\SIEMENS_HEMODINAMICAS_ALERTIN\20210426-20210427.xml" htmlTables="1" htmlFormat="all"/>
  </connection>
  <connection id="227" name="20210427-20210429" type="4" refreshedVersion="0" background="1">
    <webPr xml="1" sourceData="1" url="Z:\Dosis pacientes\Alertas_Intervencionismo\SIEMENS_HEMODINAMICAS_ALERTIN\20210427-20210429.xml" htmlTables="1" htmlFormat="all"/>
  </connection>
  <connection id="228" name="20210429-20210430" type="4" refreshedVersion="0" background="1">
    <webPr xml="1" sourceData="1" url="Z:\Dosis pacientes\Alertas_Intervencionismo\SIEMENS_HEMODINAMICAS_ALERTIN\20210429-20210430.xml" htmlTables="1" htmlFormat="all"/>
  </connection>
  <connection id="229" name="20210430-20210503" type="4" refreshedVersion="0" background="1">
    <webPr xml="1" sourceData="1" url="Z:\Dosis pacientes\Alertas_Intervencionismo\SIEMENS_HEMODINAMICAS_ALERTIN\20210430-20210503.xml" htmlTables="1" htmlFormat="all"/>
  </connection>
  <connection id="230" name="20210503-20210504" type="4" refreshedVersion="0" background="1">
    <webPr xml="1" sourceData="1" url="Z:\Dosis pacientes\Alertas_Intervencionismo\SIEMENS_HEMODINAMICAS_ALERTIN\20210503-20210504.xml" htmlTables="1" htmlFormat="all"/>
  </connection>
  <connection id="231" name="20210504-20210505" type="4" refreshedVersion="0" background="1">
    <webPr xml="1" sourceData="1" url="Z:\Dosis pacientes\Alertas_Intervencionismo\SIEMENS_HEMODINAMICAS_ALERTIN\20210504-20210505.xml" htmlTables="1" htmlFormat="all"/>
  </connection>
  <connection id="232" name="20210504-202105051" type="4" refreshedVersion="0" background="1">
    <webPr xml="1" sourceData="1" url="Z:\Dosis pacientes\Alertas_Intervencionismo\SIEMENS_HEMODINAMICAS_ALERTIN\20210504-20210505.xml" htmlTables="1" htmlFormat="all"/>
  </connection>
  <connection id="233" name="20210505-20210507" type="4" refreshedVersion="0" background="1">
    <webPr xml="1" sourceData="1" url="Z:\Dosis pacientes\Alertas_Intervencionismo\SIEMENS_HEMODINAMICAS_ALERTIN\20210505-20210507.xml" htmlTables="1" htmlFormat="all"/>
  </connection>
  <connection id="234" name="20210507-20210510" type="4" refreshedVersion="0" background="1">
    <webPr xml="1" sourceData="1" url="Z:\Dosis pacientes\Alertas_Intervencionismo\SIEMENS_HEMODINAMICAS_ALERTIN\20210507-20210510.xml" htmlTables="1" htmlFormat="all"/>
  </connection>
  <connection id="235" name="20210510-20210511" type="4" refreshedVersion="0" background="1">
    <webPr xml="1" sourceData="1" url="Z:\Dosis pacientes\Alertas_Intervencionismo\SIEMENS_HEMODINAMICAS_ALERTIN\20210510-20210511.xml" htmlTables="1" htmlFormat="all"/>
  </connection>
  <connection id="236" name="20210511-20210512" type="4" refreshedVersion="0" background="1">
    <webPr xml="1" sourceData="1" url="Z:\Dosis pacientes\Alertas_Intervencionismo\SIEMENS_HEMODINAMICAS_ALERTIN\20210511-20210512.xml" htmlTables="1" htmlFormat="all"/>
  </connection>
  <connection id="237" name="20210511-202105121" type="4" refreshedVersion="0" background="1">
    <webPr xml="1" sourceData="1" url="Z:\Dosis pacientes\Alertas_Intervencionismo\SIEMENS_HEMODINAMICAS_ALERTIN\20210511-20210512.xml" htmlTables="1" htmlFormat="all"/>
  </connection>
  <connection id="238" name="20210512-20210514" type="4" refreshedVersion="0" background="1">
    <webPr xml="1" sourceData="1" url="Z:\Dosis pacientes\Alertas_Intervencionismo\SIEMENS_HEMODINAMICAS_ALERTIN\20210512-20210514.xml" htmlTables="1" htmlFormat="all"/>
  </connection>
  <connection id="239" name="20210514-20210517" type="4" refreshedVersion="0" background="1">
    <webPr xml="1" sourceData="1" url="Z:\Dosis pacientes\Alertas_Intervencionismo\SIEMENS_HEMODINAMICAS_ALERTIN\20210514-20210517.xml" htmlTables="1" htmlFormat="all"/>
  </connection>
  <connection id="240" name="20210517-20210518" type="4" refreshedVersion="0" background="1">
    <webPr xml="1" sourceData="1" url="Z:\Dosis pacientes\Alertas_Intervencionismo\SIEMENS_HEMODINAMICAS_ALERTIN\20210517-20210518.xml" htmlTables="1" htmlFormat="all"/>
  </connection>
  <connection id="241" name="20210518-20210519" type="4" refreshedVersion="0" background="1">
    <webPr xml="1" sourceData="1" url="Z:\Dosis pacientes\Alertas_Intervencionismo\SIEMENS_HEMODINAMICAS_ALERTIN\20210518-20210519.xml" htmlTables="1" htmlFormat="all"/>
  </connection>
  <connection id="242" name="20210519-20210520" type="4" refreshedVersion="0" background="1">
    <webPr xml="1" sourceData="1" url="Z:\Dosis pacientes\Alertas_Intervencionismo\SIEMENS_HEMODINAMICAS_ALERTIN\20210519-20210520.xml" htmlTables="1" htmlFormat="all"/>
  </connection>
  <connection id="243" name="20210520-20210521" type="4" refreshedVersion="0" background="1">
    <webPr xml="1" sourceData="1" url="Z:\Dosis pacientes\Alertas_Intervencionismo\SIEMENS_HEMODINAMICAS_ALERTIN\20210520-20210521.xml" htmlTables="1" htmlFormat="all"/>
  </connection>
  <connection id="244" name="20210521-20210524" type="4" refreshedVersion="0" background="1">
    <webPr xml="1" sourceData="1" url="Z:\Dosis pacientes\Alertas_Intervencionismo\SIEMENS_HEMODINAMICAS_ALERTIN\20210521-20210524.xml" htmlTables="1" htmlFormat="all"/>
  </connection>
  <connection id="245" name="20210524-20210525" type="4" refreshedVersion="0" background="1">
    <webPr xml="1" sourceData="1" url="Z:\Dosis pacientes\Alertas_Intervencionismo\SIEMENS_HEMODINAMICAS_ALERTIN\20210524-20210525.xml" htmlTables="1" htmlFormat="all"/>
  </connection>
  <connection id="246" name="20210524-202105251" type="4" refreshedVersion="0" background="1">
    <webPr xml="1" sourceData="1" url="Z:\Dosis pacientes\Alertas_Intervencionismo\SIEMENS_HEMODINAMICAS_ALERTIN\20210524-20210525.xml" htmlTables="1" htmlFormat="all"/>
  </connection>
  <connection id="247" name="20210525-20210527" type="4" refreshedVersion="0" background="1">
    <webPr xml="1" sourceData="1" url="Z:\Dosis pacientes\Alertas_Intervencionismo\SIEMENS_HEMODINAMICAS_ALERTIN\20210525-20210527.xml" htmlTables="1" htmlFormat="all"/>
  </connection>
  <connection id="248" name="20210527-20210528" type="4" refreshedVersion="0" background="1">
    <webPr xml="1" sourceData="1" url="Z:\Dosis pacientes\Alertas_Intervencionismo\SIEMENS_HEMODINAMICAS_ALERTIN\20210527-20210528.xml" htmlTables="1" htmlFormat="all"/>
  </connection>
  <connection id="249" name="20210528-20210531" type="4" refreshedVersion="0" background="1">
    <webPr xml="1" sourceData="1" url="Z:\Dosis pacientes\Alertas_Intervencionismo\SIEMENS_HEMODINAMICAS_ALERTIN\20210528-20210531.xml" htmlTables="1" htmlFormat="all"/>
  </connection>
  <connection id="250" name="20210531-20210601" type="4" refreshedVersion="0" background="1">
    <webPr xml="1" sourceData="1" url="Z:\Dosis pacientes\Alertas_Intervencionismo\SIEMENS_HEMODINAMICAS_ALERTIN\20210531-20210601.xml" htmlTables="1" htmlFormat="all"/>
  </connection>
  <connection id="251" name="20210601-20210602" type="4" refreshedVersion="0" background="1">
    <webPr xml="1" sourceData="1" url="Z:\Dosis pacientes\Alertas_Intervencionismo\SIEMENS_HEMODINAMICAS_ALERTIN\20210601-20210602.xml" htmlTables="1" htmlFormat="all"/>
  </connection>
  <connection id="252" name="20210602-20210603" type="4" refreshedVersion="0" background="1">
    <webPr xml="1" sourceData="1" url="Z:\Dosis pacientes\Alertas_Intervencionismo\SIEMENS_HEMODINAMICAS_ALERTIN\20210602-20210603.xml" htmlTables="1" htmlFormat="all"/>
  </connection>
  <connection id="253" name="20210603-20210604" type="4" refreshedVersion="0" background="1">
    <webPr xml="1" sourceData="1" url="Z:\Dosis pacientes\Alertas_Intervencionismo\SIEMENS_HEMODINAMICAS_ALERTIN\20210603-20210604.xml" htmlTables="1" htmlFormat="all"/>
  </connection>
  <connection id="254" name="20210604-20210607" type="4" refreshedVersion="0" background="1">
    <webPr xml="1" sourceData="1" url="Z:\Dosis pacientes\Alertas_Intervencionismo\SIEMENS_HEMODINAMICAS_ALERTIN\20210604-20210607.xml" htmlTables="1" htmlFormat="all"/>
  </connection>
  <connection id="255" name="20210607-20210608" type="4" refreshedVersion="0" background="1">
    <webPr xml="1" sourceData="1" url="Z:\Dosis pacientes\Alertas_Intervencionismo\SIEMENS_HEMODINAMICAS_ALERTIN\20210607-20210608.xml" htmlTables="1" htmlFormat="all"/>
  </connection>
  <connection id="256" name="20210608-20210609" type="4" refreshedVersion="0" background="1">
    <webPr xml="1" sourceData="1" url="Z:\Dosis pacientes\Alertas_Intervencionismo\SIEMENS_HEMODINAMICAS_ALERTIN\20210608-20210609.xml" htmlTables="1" htmlFormat="all"/>
  </connection>
  <connection id="257" name="20210609-20210610" type="4" refreshedVersion="0" background="1">
    <webPr xml="1" sourceData="1" url="Z:\Dosis pacientes\Alertas_Intervencionismo\SIEMENS_HEMODINAMICAS_ALERTIN\20210609-20210610.xml" htmlTables="1" htmlFormat="all"/>
  </connection>
  <connection id="258" name="20210610-20210611" type="4" refreshedVersion="0" background="1">
    <webPr xml="1" sourceData="1" url="Z:\Dosis pacientes\Alertas_Intervencionismo\SIEMENS_HEMODINAMICAS_ALERTIN\20210610-20210611.xml" htmlTables="1" htmlFormat="all"/>
  </connection>
  <connection id="259" name="20210611-20210614" type="4" refreshedVersion="0" background="1">
    <webPr xml="1" sourceData="1" url="Z:\Dosis pacientes\Alertas_Intervencionismo\SIEMENS_HEMODINAMICAS_ALERTIN\20210611-20210614.xml" htmlTables="1" htmlFormat="all"/>
  </connection>
  <connection id="260" name="20210615-20210616" type="4" refreshedVersion="0" background="1">
    <webPr xml="1" sourceData="1" url="Z:\Dosis pacientes\Alertas_Intervencionismo\SIEMENS_HEMODINAMICAS_ALERTIN\20210615-20210616.xml" htmlTables="1" htmlFormat="all"/>
  </connection>
  <connection id="261" name="20210616-20210617" type="4" refreshedVersion="0" background="1">
    <webPr xml="1" sourceData="1" url="Z:\Dosis pacientes\Alertas_Intervencionismo\SIEMENS_HEMODINAMICAS_ALERTIN\20210616-20210617.xml" htmlTables="1" htmlFormat="all"/>
  </connection>
  <connection id="262" name="20210617-20210618" type="4" refreshedVersion="0" background="1">
    <webPr xml="1" sourceData="1" url="Z:\Dosis pacientes\Alertas_Intervencionismo\SIEMENS_HEMODINAMICAS_ALERTIN\20210617-20210618.xml" htmlTables="1" htmlFormat="all"/>
  </connection>
  <connection id="263" name="20210618-20210621" type="4" refreshedVersion="0" background="1">
    <webPr xml="1" sourceData="1" url="Z:\Dosis pacientes\Alertas_Intervencionismo\SIEMENS_HEMODINAMICAS_ALERTIN\20210618-20210621.xml" htmlTables="1" htmlFormat="all"/>
  </connection>
  <connection id="264" name="20210621-20210622" type="4" refreshedVersion="0" background="1">
    <webPr xml="1" sourceData="1" url="Z:\Dosis pacientes\Alertas_Intervencionismo\SIEMENS_HEMODINAMICAS_ALERTIN\20210621-20210622.xml" htmlTables="1" htmlFormat="all"/>
  </connection>
  <connection id="265" name="20210622-20210623" type="4" refreshedVersion="0" background="1">
    <webPr xml="1" sourceData="1" url="Z:\Dosis pacientes\Alertas_Intervencionismo\SIEMENS_HEMODINAMICAS_ALERTIN\20210622-20210623.xml" htmlTables="1" htmlFormat="all"/>
  </connection>
  <connection id="266" name="20210623-20210624" type="4" refreshedVersion="0" background="1">
    <webPr xml="1" sourceData="1" url="Z:\Dosis pacientes\Alertas_Intervencionismo\SIEMENS_HEMODINAMICAS_ALERTIN\20210623-20210624.xml" htmlTables="1" htmlFormat="all"/>
  </connection>
  <connection id="267" name="20210624-20210625" type="4" refreshedVersion="0" background="1">
    <webPr xml="1" sourceData="1" url="Z:\Dosis pacientes\Alertas_Intervencionismo\SIEMENS_HEMODINAMICAS_ALERTIN\20210624-20210625.xml" htmlTables="1" htmlFormat="all"/>
  </connection>
  <connection id="268" name="20210625-20210628" type="4" refreshedVersion="0" background="1">
    <webPr xml="1" sourceData="1" url="Z:\Dosis pacientes\Alertas_Intervencionismo\SIEMENS_HEMODINAMICAS_ALERTIN\20210625-20210628.xml" htmlTables="1" htmlFormat="all"/>
  </connection>
  <connection id="269" name="20210628-20210629" type="4" refreshedVersion="0" background="1">
    <webPr xml="1" sourceData="1" url="Z:\Dosis pacientes\Alertas_Intervencionismo\SIEMENS_HEMODINAMICAS_ALERTIN\20210628-20210629.xml" htmlTables="1" htmlFormat="all"/>
  </connection>
  <connection id="270" name="20210629-20210630" type="4" refreshedVersion="0" background="1">
    <webPr xml="1" sourceData="1" url="Z:\Dosis pacientes\Alertas_Intervencionismo\SIEMENS_HEMODINAMICAS_ALERTIN\20210629-20210630.xml" htmlTables="1" htmlFormat="all"/>
  </connection>
  <connection id="271" name="20210630-20210701" type="4" refreshedVersion="0" background="1">
    <webPr xml="1" sourceData="1" url="Z:\Dosis pacientes\Alertas_Intervencionismo\SIEMENS_HEMODINAMICAS_ALERTIN\20210630-20210701.xml" htmlTables="1" htmlFormat="all"/>
  </connection>
  <connection id="272" name="20210701-20210702" type="4" refreshedVersion="0" background="1">
    <webPr xml="1" sourceData="1" url="Z:\Dosis pacientes\Alertas_Intervencionismo\SIEMENS_HEMODINAMICAS_ALERTIN\20210701-20210702.xml" htmlTables="1" htmlFormat="all"/>
  </connection>
  <connection id="273" name="20210702-20210705" type="4" refreshedVersion="0" background="1">
    <webPr xml="1" sourceData="1" url="Z:\Dosis pacientes\Alertas_Intervencionismo\SIEMENS_HEMODINAMICAS_ALERTIN\20210702-20210705.xml" htmlTables="1" htmlFormat="all"/>
  </connection>
  <connection id="274" name="20210705-20210706" type="4" refreshedVersion="0" background="1">
    <webPr xml="1" sourceData="1" url="Z:\Dosis pacientes\Alertas_Intervencionismo\SIEMENS_HEMODINAMICAS_ALERTIN\20210705-20210706.xml" htmlTables="1" htmlFormat="all"/>
  </connection>
  <connection id="275" name="20210707-20210708" type="4" refreshedVersion="0" background="1">
    <webPr xml="1" sourceData="1" url="Z:\Dosis pacientes\Alertas_Intervencionismo\SIEMENS_HEMODINAMICAS_ALERTIN\20210707-20210708.xml" htmlTables="1" htmlFormat="all"/>
  </connection>
  <connection id="276" name="20210708-20210709" type="4" refreshedVersion="0" background="1">
    <webPr xml="1" sourceData="1" url="Z:\Dosis pacientes\Alertas_Intervencionismo\SIEMENS_HEMODINAMICAS_ALERTIN\20210708-20210709.xml" htmlTables="1" htmlFormat="all"/>
  </connection>
  <connection id="277" name="20210709-20210712" type="4" refreshedVersion="0" background="1">
    <webPr xml="1" sourceData="1" url="Z:\Dosis pacientes\Alertas_Intervencionismo\SIEMENS_HEMODINAMICAS_ALERTIN\20210709-20210712.xml" htmlTables="1" htmlFormat="all"/>
  </connection>
  <connection id="278" name="20210712-20210713" type="4" refreshedVersion="0" background="1">
    <webPr xml="1" sourceData="1" url="Z:\Dosis pacientes\Alertas_Intervencionismo\SIEMENS_HEMODINAMICAS_ALERTIN\20210712-20210713.xml" htmlTables="1" htmlFormat="all"/>
  </connection>
  <connection id="279" name="20210713-20210714" type="4" refreshedVersion="0" background="1">
    <webPr xml="1" sourceData="1" url="Z:\Dosis pacientes\Alertas_Intervencionismo\SIEMENS_HEMODINAMICAS_ALERTIN\20210713-20210714.xml" htmlTables="1" htmlFormat="all"/>
  </connection>
  <connection id="280" name="20210714-20210715" type="4" refreshedVersion="0" background="1">
    <webPr xml="1" sourceData="1" url="Z:\Dosis pacientes\Alertas_Intervencionismo\SIEMENS_HEMODINAMICAS_ALERTIN\20210714-20210715.xml" htmlTables="1" htmlFormat="all"/>
  </connection>
  <connection id="281" name="20210715-20210716" type="4" refreshedVersion="0" background="1">
    <webPr xml="1" sourceData="1" url="Z:\Dosis pacientes\Alertas_Intervencionismo\SIEMENS_HEMODINAMICAS_ALERTIN\20210715-20210716.xml" htmlTables="1" htmlFormat="all"/>
  </connection>
  <connection id="282" name="20210716-20210719" type="4" refreshedVersion="0" background="1">
    <webPr xml="1" sourceData="1" url="Z:\Dosis pacientes\Alertas_Intervencionismo\SIEMENS_HEMODINAMICAS_ALERTIN\20210716-20210719.xml" htmlTables="1" htmlFormat="all"/>
  </connection>
  <connection id="283" name="20210719-20210720" type="4" refreshedVersion="0" background="1">
    <webPr xml="1" sourceData="1" url="Z:\Dosis pacientes\Alertas_Intervencionismo\SIEMENS_HEMODINAMICAS_ALERTIN\20210719-20210720.xml" htmlTables="1" htmlFormat="all"/>
  </connection>
  <connection id="284" name="20210720-20210721" type="4" refreshedVersion="0" background="1">
    <webPr xml="1" sourceData="1" url="Z:\Dosis pacientes\Alertas_Intervencionismo\SIEMENS_HEMODINAMICAS_ALERTIN\20210720-20210721.xml" htmlTables="1" htmlFormat="all"/>
  </connection>
  <connection id="285" name="20210721-20210722" type="4" refreshedVersion="0" background="1">
    <webPr xml="1" sourceData="1" url="Z:\Dosis pacientes\Alertas_Intervencionismo\SIEMENS_HEMODINAMICAS_ALERTIN\20210721-20210722.xml" htmlTables="1" htmlFormat="all"/>
  </connection>
  <connection id="286" name="20210722-20210723" type="4" refreshedVersion="0" background="1">
    <webPr xml="1" sourceData="1" url="Z:\Dosis pacientes\Alertas_Intervencionismo\SIEMENS_HEMODINAMICAS_ALERTIN\20210722-20210723.xml" htmlTables="1" htmlFormat="all"/>
  </connection>
  <connection id="287" name="20210723-20210726" type="4" refreshedVersion="0" background="1">
    <webPr xml="1" sourceData="1" url="Z:\Dosis pacientes\Alertas_Intervencionismo\SIEMENS_HEMODINAMICAS_ALERTIN\20210723-20210726.xml" htmlTables="1" htmlFormat="all"/>
  </connection>
  <connection id="288" name="20210726-20210727" type="4" refreshedVersion="0" background="1">
    <webPr xml="1" sourceData="1" url="Z:\Dosis pacientes\Alertas_Intervencionismo\SIEMENS_HEMODINAMICAS_ALERTIN\20210726-20210727.xml" htmlTables="1" htmlFormat="all"/>
  </connection>
  <connection id="289" name="20210727-20210728" type="4" refreshedVersion="0" background="1">
    <webPr xml="1" sourceData="1" url="Z:\Dosis pacientes\Alertas_Intervencionismo\SIEMENS_HEMODINAMICAS_ALERTIN\20210727-20210728.xml" htmlTables="1" htmlFormat="all"/>
  </connection>
  <connection id="290" name="20210728-20210729" type="4" refreshedVersion="0" background="1">
    <webPr xml="1" sourceData="1" url="Z:\Dosis pacientes\Alertas_Intervencionismo\SIEMENS_HEMODINAMICAS_ALERTIN\20210728-20210729.xml" htmlTables="1" htmlFormat="all"/>
  </connection>
  <connection id="291" name="20210729-20210730" type="4" refreshedVersion="0" background="1">
    <webPr xml="1" sourceData="1" url="Z:\Dosis pacientes\Alertas_Intervencionismo\SIEMENS_HEMODINAMICAS_ALERTIN\20210729-20210730.xml" htmlTables="1" htmlFormat="all"/>
  </connection>
  <connection id="292" name="20210730-20210802" type="4" refreshedVersion="0" background="1">
    <webPr xml="1" sourceData="1" url="Z:\Dosis pacientes\Alertas_Intervencionismo\SIEMENS_HEMODINAMICAS_ALERTIN\20210730-20210802.xml" htmlTables="1" htmlFormat="all"/>
  </connection>
  <connection id="293" name="20210802-20210803" type="4" refreshedVersion="0" background="1">
    <webPr xml="1" sourceData="1" url="Z:\Dosis pacientes\Alertas_Intervencionismo\SIEMENS_HEMODINAMICAS_ALERTIN\20210802-20210803.xml" htmlTables="1" htmlFormat="all"/>
  </connection>
  <connection id="294" name="20210803-20210804" type="4" refreshedVersion="0" background="1">
    <webPr xml="1" sourceData="1" url="Z:\Dosis pacientes\Alertas_Intervencionismo\SIEMENS_HEMODINAMICAS_ALERTIN\20210803-20210804.xml" htmlTables="1" htmlFormat="all"/>
  </connection>
  <connection id="295" name="20210804-20210805" type="4" refreshedVersion="0" background="1">
    <webPr xml="1" sourceData="1" url="Z:\Dosis pacientes\Alertas_Intervencionismo\SIEMENS_HEMODINAMICAS_ALERTIN\20210804-20210805.xml" htmlTables="1" htmlFormat="all"/>
  </connection>
  <connection id="296" name="20210805-20210806" type="4" refreshedVersion="0" background="1">
    <webPr xml="1" sourceData="1" url="Z:\Dosis pacientes\Alertas_Intervencionismo\SIEMENS_HEMODINAMICAS_ALERTIN\20210805-20210806.xml" htmlTables="1" htmlFormat="all"/>
  </connection>
  <connection id="297" name="20210806-20210809" type="4" refreshedVersion="0" background="1">
    <webPr xml="1" sourceData="1" url="Z:\Dosis pacientes\Alertas_Intervencionismo\SIEMENS_HEMODINAMICAS_ALERTIN\20210806-20210809.xml" htmlTables="1" htmlFormat="all"/>
  </connection>
  <connection id="298" name="20210809-20210810" type="4" refreshedVersion="0" background="1">
    <webPr xml="1" sourceData="1" url="Z:\Dosis pacientes\Alertas_Intervencionismo\SIEMENS_HEMODINAMICAS_ALERTIN\20210809-20210810.xml" htmlTables="1" htmlFormat="all"/>
  </connection>
  <connection id="299" name="20210810-20210811" type="4" refreshedVersion="0" background="1">
    <webPr xml="1" sourceData="1" url="Z:\Dosis pacientes\Alertas_Intervencionismo\SIEMENS_HEMODINAMICAS_ALERTIN\20210810-20210811.xml" htmlTables="1" htmlFormat="all"/>
  </connection>
  <connection id="300" name="20210811-20210812" type="4" refreshedVersion="0" background="1">
    <webPr xml="1" sourceData="1" url="Z:\Dosis pacientes\Alertas_Intervencionismo\SIEMENS_HEMODINAMICAS_ALERTIN\20210811-20210812.xml" htmlTables="1" htmlFormat="all"/>
  </connection>
  <connection id="301" name="20210812-20210813" type="4" refreshedVersion="0" background="1">
    <webPr xml="1" sourceData="1" url="Z:\Dosis pacientes\Alertas_Intervencionismo\SIEMENS_HEMODINAMICAS_ALERTIN\20210812-20210813.xml" htmlTables="1" htmlFormat="all"/>
  </connection>
  <connection id="302" name="20210812-202108131" type="4" refreshedVersion="0" background="1">
    <webPr xml="1" sourceData="1" url="Z:\Dosis pacientes\Alertas_Intervencionismo\SIEMENS_HEMODINAMICAS_ALERTIN\20210812-20210813.xml" htmlTables="1" htmlFormat="all"/>
  </connection>
  <connection id="303" name="20210813-20210817" type="4" refreshedVersion="0" background="1">
    <webPr xml="1" sourceData="1" url="Z:\Dosis pacientes\Alertas_Intervencionismo\SIEMENS_HEMODINAMICAS_ALERTIN\20210813-20210817.xml" htmlTables="1" htmlFormat="all"/>
  </connection>
  <connection id="304" name="20210820-20210823" type="4" refreshedVersion="0" background="1">
    <webPr xml="1" sourceData="1" url="Z:\Dosis pacientes\Alertas_Intervencionismo\SIEMENS_HEMODINAMICAS_ALERTIN\20210820-20210823.xml" htmlTables="1" htmlFormat="all"/>
  </connection>
  <connection id="305" name="20210824-20210825" type="4" refreshedVersion="0" background="1">
    <webPr xml="1" sourceData="1" url="Z:\Dosis pacientes\Alertas_Intervencionismo\SIEMENS_HEMODINAMICAS_ALERTIN\20210824-20210825.xml" htmlTables="1" htmlFormat="all"/>
  </connection>
  <connection id="306" name="20210825-20210826" type="4" refreshedVersion="0" background="1">
    <webPr xml="1" sourceData="1" url="Z:\Dosis pacientes\Alertas_Intervencionismo\SIEMENS_HEMODINAMICAS_ALERTIN\20210825-20210826.xml" htmlTables="1" htmlFormat="all"/>
  </connection>
  <connection id="307" name="20210826-20210827" type="4" refreshedVersion="0" background="1">
    <webPr xml="1" sourceData="1" url="Z:\Dosis pacientes\Alertas_Intervencionismo\SIEMENS_HEMODINAMICAS_ALERTIN\20210826-20210827.xml" htmlTables="1" htmlFormat="all"/>
  </connection>
  <connection id="308" name="20210826-202108271" type="4" refreshedVersion="0" background="1">
    <webPr xml="1" sourceData="1" url="Z:\Dosis pacientes\Alertas_Intervencionismo\SIEMENS_HEMODINAMICAS_ALERTIN\20210826-20210827.xml" htmlTables="1" htmlFormat="all"/>
  </connection>
  <connection id="309" name="20210827-20210830" type="4" refreshedVersion="0" background="1">
    <webPr xml="1" sourceData="1" url="Z:\Dosis pacientes\Alertas_Intervencionismo\SIEMENS_HEMODINAMICAS_ALERTIN\20210827-20210830.xml" htmlTables="1" htmlFormat="all"/>
  </connection>
  <connection id="310" name="20210830-20210831" type="4" refreshedVersion="0" background="1">
    <webPr xml="1" sourceData="1" url="Z:\Dosis pacientes\Alertas_Intervencionismo\SIEMENS_HEMODINAMICAS_ALERTIN\20210830-20210831.xml" htmlTables="1" htmlFormat="all"/>
  </connection>
  <connection id="311" name="20210831-20210901" type="4" refreshedVersion="0" background="1">
    <webPr xml="1" sourceData="1" url="Z:\Dosis pacientes\Alertas_Intervencionismo\SIEMENS_HEMODINAMICAS_ALERTIN\20210831-20210901.xml" htmlTables="1" htmlFormat="all"/>
  </connection>
  <connection id="312" name="20210901-20210902" type="4" refreshedVersion="0" background="1">
    <webPr xml="1" sourceData="1" url="Z:\Dosis pacientes\Alertas_Intervencionismo\SIEMENS_HEMODINAMICAS_ALERTIN\20210901-20210902.xml" htmlTables="1" htmlFormat="all"/>
  </connection>
  <connection id="313" name="20210902-20210903" type="4" refreshedVersion="0" background="1">
    <webPr xml="1" sourceData="1" url="Z:\Dosis pacientes\Alertas_Intervencionismo\SIEMENS_HEMODINAMICAS_ALERTIN\20210902-20210903.xml" htmlTables="1" htmlFormat="all"/>
  </connection>
  <connection id="314" name="20210903-20210906" type="4" refreshedVersion="0" background="1">
    <webPr xml="1" sourceData="1" url="Z:\Dosis pacientes\Alertas_Intervencionismo\SIEMENS_HEMODINAMICAS_ALERTIN\20210903-20210906.xml" htmlTables="1" htmlFormat="all"/>
  </connection>
  <connection id="315" name="20210906-20210907" type="4" refreshedVersion="0" background="1">
    <webPr xml="1" sourceData="1" url="Z:\Dosis pacientes\Alertas_Intervencionismo\SIEMENS_HEMODINAMICAS_ALERTIN\20210906-20210907.xml" htmlTables="1" htmlFormat="all"/>
  </connection>
  <connection id="316" name="20210906-202109071" type="4" refreshedVersion="0" background="1">
    <webPr xml="1" sourceData="1" url="Z:\Dosis pacientes\Alertas_Intervencionismo\SIEMENS_HEMODINAMICAS_ALERTIN\20210906-20210907.xml" htmlTables="1" htmlFormat="all"/>
  </connection>
  <connection id="317" name="20210907-20210909" type="4" refreshedVersion="0" background="1">
    <webPr xml="1" sourceData="1" url="Z:\Dosis pacientes\Alertas_Intervencionismo\SIEMENS_HEMODINAMICAS_ALERTIN\20210907-20210909.xml" htmlTables="1" htmlFormat="all"/>
  </connection>
  <connection id="318" name="20210909-20210910" type="4" refreshedVersion="0" background="1">
    <webPr xml="1" sourceData="1" url="Z:\Dosis pacientes\Alertas_Intervencionismo\SIEMENS_HEMODINAMICAS_ALERTIN\20210909-20210910.xml" htmlTables="1" htmlFormat="all"/>
  </connection>
  <connection id="319" name="20210910-20210913" type="4" refreshedVersion="0" background="1">
    <webPr xml="1" sourceData="1" url="Z:\Dosis pacientes\Alertas_Intervencionismo\SIEMENS_HEMODINAMICAS_ALERTIN\20210910-20210913.xml" htmlTables="1" htmlFormat="all"/>
  </connection>
  <connection id="320" name="20210913-20210914" type="4" refreshedVersion="0" background="1">
    <webPr xml="1" sourceData="1" url="Z:\Dosis pacientes\Alertas_Intervencionismo\SIEMENS_HEMODINAMICAS_ALERTIN\20210913-20210914.xml" htmlTables="1" htmlFormat="all"/>
  </connection>
  <connection id="321" name="20210914-20210915" type="4" refreshedVersion="0" background="1">
    <webPr xml="1" sourceData="1" url="Z:\Dosis pacientes\Alertas_Intervencionismo\SIEMENS_HEMODINAMICAS_ALERTIN\20210914-20210915.xml" htmlTables="1" htmlFormat="all"/>
  </connection>
  <connection id="322" name="20210915-20210916" type="4" refreshedVersion="0" background="1">
    <webPr xml="1" sourceData="1" url="Z:\Dosis pacientes\Alertas_Intervencionismo\SIEMENS_HEMODINAMICAS_ALERTIN\20210915-20210916.xml" htmlTables="1" htmlFormat="all"/>
  </connection>
  <connection id="323" name="20210916-20210917" type="4" refreshedVersion="0" background="1">
    <webPr xml="1" sourceData="1" url="Z:\Dosis pacientes\Alertas_Intervencionismo\SIEMENS_HEMODINAMICAS_ALERTIN\20210916-20210917.xml" htmlTables="1" htmlFormat="all"/>
  </connection>
  <connection id="324" name="20210917-20210920" type="4" refreshedVersion="0" background="1">
    <webPr xml="1" sourceData="1" url="Z:\Dosis pacientes\Alertas_Intervencionismo\SIEMENS_HEMODINAMICAS_ALERTIN\20210917-20210920.xml" htmlTables="1" htmlFormat="all"/>
  </connection>
  <connection id="325" name="20210920-20210921" type="4" refreshedVersion="0" background="1">
    <webPr xml="1" sourceData="1" url="Z:\Dosis pacientes\Alertas_Intervencionismo\SIEMENS_HEMODINAMICAS_ALERTIN\20210920-20210921.xml" htmlTables="1" htmlFormat="all"/>
  </connection>
  <connection id="326" name="20210921-20210922" type="4" refreshedVersion="0" background="1">
    <webPr xml="1" sourceData="1" url="Z:\Dosis pacientes\Alertas_Intervencionismo\SIEMENS_HEMODINAMICAS_ALERTIN\20210921-20210922.xml" htmlTables="1" htmlFormat="all"/>
  </connection>
  <connection id="327" name="20210922-20210923" type="4" refreshedVersion="0" background="1">
    <webPr xml="1" sourceData="1" url="Z:\Dosis pacientes\Alertas_Intervencionismo\SIEMENS_HEMODINAMICAS_ALERTIN\20210922-20210923.xml" htmlTables="1" htmlFormat="all"/>
  </connection>
  <connection id="328" name="20210923-20210924" type="4" refreshedVersion="0" background="1">
    <webPr xml="1" sourceData="1" url="Z:\Dosis pacientes\Alertas_Intervencionismo\SIEMENS_HEMODINAMICAS_ALERTIN\20210923-20210924.xml" htmlTables="1" htmlFormat="all"/>
  </connection>
  <connection id="329" name="20210924-20210927" type="4" refreshedVersion="0" background="1">
    <webPr xml="1" sourceData="1" url="Z:\Dosis pacientes\Alertas_Intervencionismo\SIEMENS_HEMODINAMICAS_ALERTIN\20210924-20210927.xml" htmlTables="1" htmlFormat="all"/>
  </connection>
  <connection id="330" name="20210927-20210928" type="4" refreshedVersion="0" background="1">
    <webPr xml="1" sourceData="1" url="Z:\Dosis pacientes\Alertas_Intervencionismo\SIEMENS_HEMODINAMICAS_ALERTIN\20210927-20210928.xml" htmlTables="1" htmlFormat="all"/>
  </connection>
  <connection id="331" name="20210928-20210929" type="4" refreshedVersion="0" background="1">
    <webPr xml="1" sourceData="1" url="Z:\Dosis pacientes\Alertas_Intervencionismo\SIEMENS_HEMODINAMICAS_ALERTIN\20210928-20210929.xml" htmlTables="1" htmlFormat="all"/>
  </connection>
  <connection id="332" name="20210929-20210930" type="4" refreshedVersion="0" background="1">
    <webPr xml="1" sourceData="1" url="Z:\Dosis pacientes\Alertas_Intervencionismo\SIEMENS_HEMODINAMICAS_ALERTIN\20210929-20210930.xml" htmlTables="1" htmlFormat="all"/>
  </connection>
  <connection id="333" name="20210930-20211001" type="4" refreshedVersion="0" background="1">
    <webPr xml="1" sourceData="1" url="Z:\Dosis pacientes\Alertas_Intervencionismo\SIEMENS_HEMODINAMICAS_ALERTIN\20210930-20211001.xml" htmlTables="1" htmlFormat="all"/>
  </connection>
  <connection id="334" name="20211001-20211004" type="4" refreshedVersion="0" background="1">
    <webPr xml="1" sourceData="1" url="Z:\Dosis pacientes\Alertas_Intervencionismo\SIEMENS_HEMODINAMICAS_ALERTIN\20211001-20211004.xml" htmlTables="1" htmlFormat="all"/>
  </connection>
  <connection id="335" name="20211004-20211005" type="4" refreshedVersion="0" background="1">
    <webPr xml="1" sourceData="1" url="Z:\Dosis pacientes\Alertas_Intervencionismo\SIEMENS_HEMODINAMICAS_ALERTIN\20211004-20211005.xml" htmlTables="1" htmlFormat="all"/>
  </connection>
  <connection id="336" name="20211005-20211006" type="4" refreshedVersion="0" background="1">
    <webPr xml="1" sourceData="1" url="Z:\Dosis pacientes\Alertas_Intervencionismo\SIEMENS_HEMODINAMICAS_ALERTIN\20211005-20211006.xml" htmlTables="1" htmlFormat="all"/>
  </connection>
  <connection id="337" name="20211006-20211007" type="4" refreshedVersion="0" background="1">
    <webPr xml="1" sourceData="1" url="Z:\Dosis pacientes\Alertas_Intervencionismo\SIEMENS_HEMODINAMICAS_ALERTIN\20211006-20211007.xml" htmlTables="1" htmlFormat="all"/>
  </connection>
  <connection id="338" name="20211007-20211008" type="4" refreshedVersion="0" background="1">
    <webPr xml="1" sourceData="1" url="Z:\Dosis pacientes\Alertas_Intervencionismo\SIEMENS_HEMODINAMICAS_ALERTIN\20211007-20211008.xml" htmlTables="1" htmlFormat="all"/>
  </connection>
  <connection id="339" name="20211008-20211011" type="4" refreshedVersion="0" background="1">
    <webPr xml="1" sourceData="1" url="Z:\Dosis pacientes\Alertas_Intervencionismo\SIEMENS_HEMODINAMICAS_ALERTIN\20211008-20211011.xml" htmlTables="1" htmlFormat="all"/>
  </connection>
  <connection id="340" name="20211008-202110111" type="4" refreshedVersion="0" background="1">
    <webPr xml="1" sourceData="1" url="Z:\Dosis pacientes\Alertas_Intervencionismo\SIEMENS_HEMODINAMICAS_ALERTIN\20211008-20211011.xml" htmlTables="1" htmlFormat="all"/>
  </connection>
  <connection id="341" name="20211011-20211013" type="4" refreshedVersion="0" background="1">
    <webPr xml="1" sourceData="1" url="Z:\Dosis pacientes\Alertas_Intervencionismo\SIEMENS_HEMODINAMICAS_ALERTIN\20211011-20211013.xml" htmlTables="1" htmlFormat="all"/>
  </connection>
  <connection id="342" name="20211013-20211014" type="4" refreshedVersion="0" background="1">
    <webPr xml="1" sourceData="1" url="Z:\Dosis pacientes\Alertas_Intervencionismo\SIEMENS_HEMODINAMICAS_ALERTIN\20211013-20211014.xml" htmlTables="1" htmlFormat="all"/>
  </connection>
  <connection id="343" name="20211014-20211015" type="4" refreshedVersion="0" background="1">
    <webPr xml="1" sourceData="1" url="Z:\Dosis pacientes\Alertas_Intervencionismo\SIEMENS_HEMODINAMICAS_ALERTIN\20211014-20211015.xml" htmlTables="1" htmlFormat="all"/>
  </connection>
  <connection id="344" name="20211015-20211018" type="4" refreshedVersion="0" background="1">
    <webPr xml="1" sourceData="1" url="Z:\Dosis pacientes\Alertas_Intervencionismo\SIEMENS_HEMODINAMICAS_ALERTIN\20211015-20211018.xml" htmlTables="1" htmlFormat="all"/>
  </connection>
  <connection id="345" name="20211018-20211019" type="4" refreshedVersion="0" background="1">
    <webPr xml="1" sourceData="1" url="Z:\Dosis pacientes\Alertas_Intervencionismo\SIEMENS_HEMODINAMICAS_ALERTIN\20211018-20211019.xml" htmlTables="1" htmlFormat="all"/>
  </connection>
  <connection id="346" name="20211019-20211020" type="4" refreshedVersion="0" background="1">
    <webPr xml="1" sourceData="1" url="Z:\Dosis pacientes\Alertas_Intervencionismo\SIEMENS_HEMODINAMICAS_ALERTIN\20211019-20211020.xml" htmlTables="1" htmlFormat="all"/>
  </connection>
  <connection id="347" name="20211020-20211021" type="4" refreshedVersion="0" background="1">
    <webPr xml="1" sourceData="1" url="Z:\Dosis pacientes\Alertas_Intervencionismo\SIEMENS_HEMODINAMICAS_ALERTIN\20211020-20211021.xml" htmlTables="1" htmlFormat="all"/>
  </connection>
  <connection id="348" name="20211022-20211025" type="4" refreshedVersion="0" background="1">
    <webPr xml="1" sourceData="1" url="Z:\Dosis pacientes\Alertas_Intervencionismo\SIEMENS_HEMODINAMICAS_ALERTIN\20211022-20211025.xml" htmlTables="1" htmlFormat="all"/>
  </connection>
  <connection id="349" name="20211025-20211026" type="4" refreshedVersion="0" background="1">
    <webPr xml="1" sourceData="1" url="Z:\Dosis pacientes\Alertas_Intervencionismo\SIEMENS_HEMODINAMICAS_ALERTIN\20211025-20211026.xml" htmlTables="1" htmlFormat="all"/>
  </connection>
  <connection id="350" name="20211026-20211027" type="4" refreshedVersion="0" background="1">
    <webPr xml="1" sourceData="1" url="Z:\Dosis pacientes\Alertas_Intervencionismo\SIEMENS_HEMODINAMICAS_ALERTIN\20211026-20211027.xml" htmlTables="1" htmlFormat="all"/>
  </connection>
  <connection id="351" name="20211027-20211028" type="4" refreshedVersion="0" background="1">
    <webPr xml="1" sourceData="1" url="Z:\Dosis pacientes\Alertas_Intervencionismo\SIEMENS_HEMODINAMICAS_ALERTIN\20211027-20211028.xml" htmlTables="1" htmlFormat="all"/>
  </connection>
  <connection id="352" name="20211028-20211029" type="4" refreshedVersion="0" background="1">
    <webPr xml="1" sourceData="1" url="Z:\Dosis pacientes\Alertas_Intervencionismo\SIEMENS_HEMODINAMICAS_ALERTIN\20211028-20211029.xml" htmlTables="1" htmlFormat="all"/>
  </connection>
  <connection id="353" name="20211028-202110291" type="4" refreshedVersion="0" background="1">
    <webPr xml="1" sourceData="1" url="Z:\Dosis pacientes\Alertas_Intervencionismo\SIEMENS_HEMODINAMICAS_ALERTIN\20211028-20211029.xml" htmlTables="1" htmlFormat="all"/>
  </connection>
  <connection id="354" name="20211029-20211102" type="4" refreshedVersion="0" background="1">
    <webPr xml="1" sourceData="1" url="Z:\Dosis pacientes\Alertas_Intervencionismo\SIEMENS_HEMODINAMICAS_ALERTIN\20211029-20211102.xml" htmlTables="1" htmlFormat="all"/>
  </connection>
  <connection id="355" name="20211102-20211103" type="4" refreshedVersion="0" background="1">
    <webPr xml="1" sourceData="1" url="Z:\Dosis pacientes\Alertas_Intervencionismo\SIEMENS_HEMODINAMICAS_ALERTIN\20211102-20211103.xml" htmlTables="1" htmlFormat="all"/>
  </connection>
  <connection id="356" name="20211103-20211104" type="4" refreshedVersion="0" background="1">
    <webPr xml="1" sourceData="1" url="Z:\Dosis pacientes\Alertas_Intervencionismo\SIEMENS_HEMODINAMICAS_ALERTIN\20211103-20211104.xml" htmlTables="1" htmlFormat="all"/>
  </connection>
  <connection id="357" name="20211104-20211105" type="4" refreshedVersion="0" background="1">
    <webPr xml="1" sourceData="1" url="Z:\Dosis pacientes\Alertas_Intervencionismo\SIEMENS_HEMODINAMICAS_ALERTIN\20211104-20211105.xml" htmlTables="1" htmlFormat="all"/>
  </connection>
  <connection id="358" name="20211105-20211108" type="4" refreshedVersion="0" background="1">
    <webPr xml="1" sourceData="1" url="Z:\Dosis pacientes\Alertas_Intervencionismo\SIEMENS_HEMODINAMICAS_ALERTIN\20211105-20211108.xml" htmlTables="1" htmlFormat="all"/>
  </connection>
  <connection id="359" name="20211109-20211110" type="4" refreshedVersion="0" background="1">
    <webPr xml="1" sourceData="1" url="Z:\Dosis pacientes\Alertas_Intervencionismo\SIEMENS_HEMODINAMICAS_ALERTIN\20211109-20211110.xml" htmlTables="1" htmlFormat="all"/>
  </connection>
  <connection id="360" name="20211109-202111101" type="4" refreshedVersion="0" background="1">
    <webPr xml="1" sourceData="1" url="Z:\Dosis pacientes\Alertas_Intervencionismo\SIEMENS_HEMODINAMICAS_ALERTIN\20211109-20211110.xml" htmlTables="1" htmlFormat="all"/>
  </connection>
  <connection id="361" name="20211110-20211111" type="4" refreshedVersion="0" background="1">
    <webPr xml="1" sourceData="1" url="Z:\Dosis pacientes\Alertas_Intervencionismo\SIEMENS_HEMODINAMICAS_ALERTIN\20211110-20211111.xml" htmlTables="1" htmlFormat="all"/>
  </connection>
  <connection id="362" name="20211111-20211112" type="4" refreshedVersion="0" background="1">
    <webPr xml="1" sourceData="1" url="Z:\Dosis pacientes\Alertas_Intervencionismo\SIEMENS_HEMODINAMICAS_ALERTIN\20211111-20211112.xml" htmlTables="1" htmlFormat="all"/>
  </connection>
  <connection id="363" name="20211112-20211115" type="4" refreshedVersion="0" background="1">
    <webPr xml="1" sourceData="1" url="Z:\Dosis pacientes\Alertas_Intervencionismo\SIEMENS_HEMODINAMICAS_ALERTIN\20211112-20211115.xml" htmlTables="1" htmlFormat="all"/>
  </connection>
  <connection id="364" name="20211115-20211116" type="4" refreshedVersion="0" background="1">
    <webPr xml="1" sourceData="1" url="Z:\Dosis pacientes\Alertas_Intervencionismo\SIEMENS_HEMODINAMICAS_ALERTIN\20211115-20211116.xml" htmlTables="1" htmlFormat="all"/>
  </connection>
  <connection id="365" name="20211116-20211117" type="4" refreshedVersion="0" background="1">
    <webPr xml="1" sourceData="1" url="Z:\Dosis pacientes\Alertas_Intervencionismo\SIEMENS_HEMODINAMICAS_ALERTIN\20211116-20211117.xml" htmlTables="1" htmlFormat="all"/>
  </connection>
  <connection id="366" name="20211117-20211118" type="4" refreshedVersion="0" background="1">
    <webPr xml="1" sourceData="1" url="Z:\Dosis pacientes\Alertas_Intervencionismo\SIEMENS_HEMODINAMICAS_ALERTIN\20211117-20211118.xml" htmlTables="1" htmlFormat="all"/>
  </connection>
  <connection id="367" name="20211118-20211119" type="4" refreshedVersion="0" background="1">
    <webPr xml="1" sourceData="1" url="Z:\Dosis pacientes\Alertas_Intervencionismo\SIEMENS_HEMODINAMICAS_ALERTIN\20211118-20211119.xml" htmlTables="1" htmlFormat="all"/>
  </connection>
  <connection id="368" name="20211119-20211122" type="4" refreshedVersion="0" background="1">
    <webPr xml="1" sourceData="1" url="Z:\Dosis pacientes\Alertas_Intervencionismo\SIEMENS_HEMODINAMICAS_ALERTIN\20211119-20211122.xml" htmlTables="1" htmlFormat="all"/>
  </connection>
  <connection id="369" name="20211122-20211123" type="4" refreshedVersion="0" background="1">
    <webPr xml="1" sourceData="1" url="Z:\Dosis pacientes\Alertas_Intervencionismo\SIEMENS_HEMODINAMICAS_ALERTIN\20211122-20211123.xml" htmlTables="1" htmlFormat="all"/>
  </connection>
  <connection id="370" name="20211123-20211124" type="4" refreshedVersion="0" background="1">
    <webPr xml="1" sourceData="1" url="Z:\Dosis pacientes\Alertas_Intervencionismo\SIEMENS_HEMODINAMICAS_ALERTIN\20211123-20211124.xml" htmlTables="1" htmlFormat="all"/>
  </connection>
  <connection id="371" name="20211124-20211125" type="4" refreshedVersion="0" background="1">
    <webPr xml="1" sourceData="1" url="Z:\Dosis pacientes\Alertas_Intervencionismo\SIEMENS_HEMODINAMICAS_ALERTIN\20211124-20211125.xml" htmlTables="1" htmlFormat="all"/>
  </connection>
  <connection id="372" name="20211125-20211126" type="4" refreshedVersion="0" background="1">
    <webPr xml="1" sourceData="1" url="Z:\Dosis pacientes\Alertas_Intervencionismo\SIEMENS_HEMODINAMICAS_ALERTIN\20211125-20211126.xml" htmlTables="1" htmlFormat="all"/>
  </connection>
  <connection id="373" name="20211126-20211129" type="4" refreshedVersion="0" background="1">
    <webPr xml="1" sourceData="1" url="Z:\Dosis pacientes\Alertas_Intervencionismo\SIEMENS_HEMODINAMICAS_ALERTIN\20211126-20211129.xml" htmlTables="1" htmlFormat="all"/>
  </connection>
  <connection id="374" name="20211129-20211130" type="4" refreshedVersion="0" background="1">
    <webPr xml="1" sourceData="1" url="Z:\Dosis pacientes\Alertas_Intervencionismo\SIEMENS_HEMODINAMICAS_ALERTIN\20211129-20211130.xml" htmlTables="1" htmlFormat="all"/>
  </connection>
  <connection id="375" name="20211130-20211201" type="4" refreshedVersion="0" background="1">
    <webPr xml="1" sourceData="1" url="Z:\Dosis pacientes\Alertas_Intervencionismo\SIEMENS_HEMODINAMICAS_ALERTIN\20211130-20211201.xml" htmlTables="1" htmlFormat="all"/>
  </connection>
  <connection id="376" name="20211201-20211202" type="4" refreshedVersion="0" background="1">
    <webPr xml="1" sourceData="1" url="Z:\Dosis pacientes\Alertas_Intervencionismo\SIEMENS_HEMODINAMICAS_ALERTIN\20211201-20211202.xml" htmlTables="1" htmlFormat="all"/>
  </connection>
  <connection id="377" name="20211202-20211203" type="4" refreshedVersion="0" background="1">
    <webPr xml="1" sourceData="1" url="Z:\Dosis pacientes\Alertas_Intervencionismo\SIEMENS_HEMODINAMICAS_ALERTIN\20211202-20211203.xml" htmlTables="1" htmlFormat="all"/>
  </connection>
  <connection id="378" name="20211202-202112031" type="4" refreshedVersion="0" background="1">
    <webPr xml="1" sourceData="1" url="Z:\Dosis pacientes\Alertas_Intervencionismo\SIEMENS_HEMODINAMICAS_ALERTIN\20211202-20211203.xml" htmlTables="1" htmlFormat="all"/>
  </connection>
  <connection id="379" name="20211203-20211207" type="4" refreshedVersion="0" background="1">
    <webPr xml="1" sourceData="1" url="Z:\Dosis pacientes\Alertas_Intervencionismo\SIEMENS_HEMODINAMICAS_ALERTIN\20211203-20211207.xml" htmlTables="1" htmlFormat="all"/>
  </connection>
  <connection id="380" name="20211203-202112071" type="4" refreshedVersion="0" background="1">
    <webPr xml="1" sourceData="1" url="Z:\Dosis pacientes\Alertas_Intervencionismo\SIEMENS_HEMODINAMICAS_ALERTIN\20211203-20211207.xml" htmlTables="1" htmlFormat="all"/>
  </connection>
  <connection id="381" name="20211207-20211209" type="4" refreshedVersion="0" background="1">
    <webPr xml="1" sourceData="1" url="Z:\Dosis pacientes\Alertas_Intervencionismo\SIEMENS_HEMODINAMICAS_ALERTIN\20211207-20211209.xml" htmlTables="1" htmlFormat="all"/>
  </connection>
  <connection id="382" name="20211209-20211210" type="4" refreshedVersion="0" background="1">
    <webPr xml="1" sourceData="1" url="Z:\Dosis pacientes\Alertas_Intervencionismo\SIEMENS_HEMODINAMICAS_ALERTIN\20211209-20211210.xml" htmlTables="1" htmlFormat="all"/>
  </connection>
  <connection id="383" name="20211210-20211213" type="4" refreshedVersion="0" background="1">
    <webPr xml="1" sourceData="1" url="Z:\Dosis pacientes\Alertas_Intervencionismo\SIEMENS_HEMODINAMICAS_ALERTIN\20211210-20211213.xml" htmlTables="1" htmlFormat="all"/>
  </connection>
  <connection id="384" name="20211213-20211214" type="4" refreshedVersion="0" background="1">
    <webPr xml="1" sourceData="1" url="Z:\Dosis pacientes\Alertas_Intervencionismo\SIEMENS_HEMODINAMICAS_ALERTIN\20211213-20211214.xml" htmlTables="1" htmlFormat="all"/>
  </connection>
  <connection id="385" name="20211214-20211215" type="4" refreshedVersion="0" background="1">
    <webPr xml="1" sourceData="1" url="Z:\Dosis pacientes\Alertas_Intervencionismo\SIEMENS_HEMODINAMICAS_ALERTIN\20211214-20211215.xml" htmlTables="1" htmlFormat="all"/>
  </connection>
  <connection id="386" name="20211215-20211216" type="4" refreshedVersion="0" background="1">
    <webPr xml="1" sourceData="1" url="Z:\Dosis pacientes\Alertas_Intervencionismo\SIEMENS_HEMODINAMICAS_ALERTIN\20211215-20211216.xml" htmlTables="1" htmlFormat="all"/>
  </connection>
  <connection id="387" name="20211216-20211217" type="4" refreshedVersion="0" background="1">
    <webPr xml="1" sourceData="1" url="Z:\Dosis pacientes\Alertas_Intervencionismo\SIEMENS_HEMODINAMICAS_ALERTIN\20211216-20211217.xml" htmlTables="1" htmlFormat="all"/>
  </connection>
  <connection id="388" name="20211217-20211220" type="4" refreshedVersion="0" background="1">
    <webPr xml="1" sourceData="1" url="Z:\Dosis pacientes\Alertas_Intervencionismo\SIEMENS_HEMODINAMICAS_ALERTIN\20211217-20211220.xml" htmlTables="1" htmlFormat="all"/>
  </connection>
  <connection id="389" name="20211220-20211221" type="4" refreshedVersion="0" background="1">
    <webPr xml="1" sourceData="1" url="Z:\Dosis pacientes\Alertas_Intervencionismo\SIEMENS_HEMODINAMICAS_ALERTIN\20211220-20211221.xml" htmlTables="1" htmlFormat="all"/>
  </connection>
  <connection id="390" name="20211221-20211222" type="4" refreshedVersion="0" background="1">
    <webPr xml="1" sourceData="1" url="Z:\Dosis pacientes\Alertas_Intervencionismo\SIEMENS_HEMODINAMICAS_ALERTIN\20211221-20211222.xml" htmlTables="1" htmlFormat="all"/>
  </connection>
  <connection id="391" name="20211222-20211223" type="4" refreshedVersion="0" background="1">
    <webPr xml="1" sourceData="1" url="Z:\Dosis pacientes\Alertas_Intervencionismo\SIEMENS_HEMODINAMICAS_ALERTIN\20211222-20211223.xml" htmlTables="1" htmlFormat="all"/>
  </connection>
  <connection id="392" name="20211222-202112231" type="4" refreshedVersion="0" background="1">
    <webPr xml="1" sourceData="1" url="Z:\Dosis pacientes\Alertas_Intervencionismo\SIEMENS_HEMODINAMICAS_ALERTIN\20211222-20211223.xml" htmlTables="1" htmlFormat="all"/>
  </connection>
  <connection id="393" name="20211223-20211227" type="4" refreshedVersion="0" background="1">
    <webPr xml="1" sourceData="1" url="Z:\Dosis pacientes\Alertas_Intervencionismo\SIEMENS_HEMODINAMICAS_ALERTIN\20211223-20211227.xml" htmlTables="1" htmlFormat="all"/>
  </connection>
  <connection id="394" name="20211227-20211228" type="4" refreshedVersion="0" background="1">
    <webPr xml="1" sourceData="1" url="Z:\Dosis pacientes\Alertas_Intervencionismo\SIEMENS_HEMODINAMICAS_ALERTIN\20211227-20211228.xml" htmlTables="1" htmlFormat="all"/>
  </connection>
  <connection id="395" name="20211228-20211229" type="4" refreshedVersion="0" background="1">
    <webPr xml="1" sourceData="1" url="Z:\Dosis pacientes\Alertas_Intervencionismo\SIEMENS_HEMODINAMICAS_ALERTIN\20211228-20211229.xml" htmlTables="1" htmlFormat="all"/>
  </connection>
  <connection id="396" name="20211229-20211230" type="4" refreshedVersion="0" background="1">
    <webPr xml="1" sourceData="1" url="Z:\Dosis pacientes\Alertas_Intervencionismo\SIEMENS_HEMODINAMICAS_ALERTIN\20211229-20211230.xml" htmlTables="1" htmlFormat="all"/>
  </connection>
  <connection id="397" name="20211229-202112301" type="4" refreshedVersion="0" background="1">
    <webPr xml="1" sourceData="1" url="Z:\Dosis pacientes\Alertas_Intervencionismo\SIEMENS_HEMODINAMICAS_ALERTIN\20211229-20211230.xml" htmlTables="1" htmlFormat="all"/>
  </connection>
  <connection id="398" name="20220113-20220114" type="4" refreshedVersion="0" background="1">
    <webPr xml="1" sourceData="1" url="Z:\Dosis pacientes\Alertas_Intervencionismo\SIEMENS_HEMODINAMICAS_ALERTIN\20220113-20220114.xml" htmlTables="1" htmlFormat="all"/>
  </connection>
  <connection id="399" name="20220114-20220117" type="4" refreshedVersion="0" background="1">
    <webPr xml="1" sourceData="1" url="Z:\Dosis pacientes\Alertas_Intervencionismo\SIEMENS_HEMODINAMICAS_ALERTIN\20220114-20220117.xml" htmlTables="1" htmlFormat="all"/>
  </connection>
  <connection id="400" name="20220117-20220118" type="4" refreshedVersion="0" background="1">
    <webPr xml="1" sourceData="1" url="Z:\Dosis pacientes\Alertas_Intervencionismo\SIEMENS_HEMODINAMICAS_ALERTIN\20220117-20220118.xml" htmlTables="1" htmlFormat="all"/>
  </connection>
  <connection id="401" name="20220118-20220119" type="4" refreshedVersion="0" background="1">
    <webPr xml="1" sourceData="1" url="Z:\Dosis pacientes\Alertas_Intervencionismo\SIEMENS_HEMODINAMICAS_ALERTIN\20220118-20220119.xml" htmlTables="1" htmlFormat="all"/>
  </connection>
  <connection id="402" name="20220119-20220120" type="4" refreshedVersion="0" background="1">
    <webPr xml="1" sourceData="1" url="Z:\Dosis pacientes\Alertas_Intervencionismo\SIEMENS_HEMODINAMICAS_ALERTIN\20220119-20220120.xml" htmlTables="1" htmlFormat="all"/>
  </connection>
  <connection id="403" name="20220120-20220121" type="4" refreshedVersion="0" background="1">
    <webPr xml="1" sourceData="1" url="Z:\Dosis pacientes\Alertas_Intervencionismo\SIEMENS_HEMODINAMICAS_ALERTIN\20220120-20220121.xml" htmlTables="1" htmlFormat="all"/>
  </connection>
  <connection id="404" name="20220121-20220124" type="4" refreshedVersion="0" background="1">
    <webPr xml="1" sourceData="1" url="Z:\Dosis pacientes\Alertas_Intervencionismo\SIEMENS_HEMODINAMICAS_ALERTIN\20220121-20220124.xml" htmlTables="1" htmlFormat="all"/>
  </connection>
  <connection id="405" name="20220124-20220125" type="4" refreshedVersion="0" background="1">
    <webPr xml="1" sourceData="1" url="Z:\Dosis pacientes\Alertas_Intervencionismo\SIEMENS_HEMODINAMICAS_ALERTIN\20220124-20220125.xml" htmlTables="1" htmlFormat="all"/>
  </connection>
  <connection id="406" name="20220125-20220126" type="4" refreshedVersion="0" background="1">
    <webPr xml="1" sourceData="1" url="Z:\Dosis pacientes\Alertas_Intervencionismo\SIEMENS_HEMODINAMICAS_ALERTIN\20220125-20220126.xml" htmlTables="1" htmlFormat="all"/>
  </connection>
  <connection id="407" name="20220126-20220127" type="4" refreshedVersion="0" background="1">
    <webPr xml="1" sourceData="1" url="Z:\Dosis pacientes\Alertas_Intervencionismo\SIEMENS_HEMODINAMICAS_ALERTIN\20220126-20220127.xml" htmlTables="1" htmlFormat="all"/>
  </connection>
  <connection id="408" name="20220127-20220128" type="4" refreshedVersion="0" background="1">
    <webPr xml="1" sourceData="1" url="Z:\Dosis pacientes\Alertas_Intervencionismo\SIEMENS_HEMODINAMICAS_ALERTIN\20220127-20220128.xml" htmlTables="1" htmlFormat="all"/>
  </connection>
  <connection id="409" name="20220201-20220202" type="4" refreshedVersion="0" background="1">
    <webPr xml="1" sourceData="1" url="Z:\Dosis pacientes\Alertas_Intervencionismo\SIEMENS_HEMODINAMICAS_ALERTIN\20220201-20220202.xml" htmlTables="1" htmlFormat="all"/>
  </connection>
  <connection id="410" name="20220202-20220203" type="4" refreshedVersion="0" background="1">
    <webPr xml="1" sourceData="1" url="Z:\Dosis pacientes\Alertas_Intervencionismo\SIEMENS_HEMODINAMICAS_ALERTIN\20220202-20220203.xml" htmlTables="1" htmlFormat="all"/>
  </connection>
  <connection id="411" name="20220203-20220204" type="4" refreshedVersion="0" background="1">
    <webPr xml="1" sourceData="1" url="Z:\Dosis pacientes\Alertas_Intervencionismo\SIEMENS_HEMODINAMICAS_ALERTIN\20220203-20220204.xml" htmlTables="1" htmlFormat="all"/>
  </connection>
  <connection id="412" name="20220206-20220207" type="4" refreshedVersion="0" background="1">
    <webPr xml="1" sourceData="1" url="Z:\Dosis pacientes\Alertas_Intervencionismo\SIEMENS_HEMODINAMICAS_ALERTIN\20220206-20220207.xml" htmlTables="1" htmlFormat="all"/>
  </connection>
  <connection id="413" name="20220207-20220208" type="4" refreshedVersion="0" background="1">
    <webPr xml="1" sourceData="1" url="Z:\Dosis pacientes\Alertas_Intervencionismo\SIEMENS_HEMODINAMICAS_ALERTIN\20220207-20220208.xml" htmlTables="1" htmlFormat="all"/>
  </connection>
  <connection id="414" name="20220208-20220209" type="4" refreshedVersion="0" background="1">
    <webPr xml="1" sourceData="1" url="Z:\Dosis pacientes\Alertas_Intervencionismo\SIEMENS_HEMODINAMICAS_ALERTIN\20220208-20220209.xml" htmlTables="1" htmlFormat="all"/>
  </connection>
  <connection id="415" name="20220209-20220210" type="4" refreshedVersion="0" background="1">
    <webPr xml="1" sourceData="1" url="Z:\Dosis pacientes\Alertas_Intervencionismo\SIEMENS_HEMODINAMICAS_ALERTIN\20220209-20220210.xml" htmlTables="1" htmlFormat="all"/>
  </connection>
  <connection id="416" name="20220210-20220211" type="4" refreshedVersion="0" background="1">
    <webPr xml="1" sourceData="1" url="Z:\Dosis pacientes\Alertas_Intervencionismo\SIEMENS_HEMODINAMICAS_ALERTIN\20220210-20220211.xml" htmlTables="1" htmlFormat="all"/>
  </connection>
  <connection id="417" name="20220211-20220214" type="4" refreshedVersion="0" background="1">
    <webPr xml="1" sourceData="1" url="Z:\Dosis pacientes\Alertas_Intervencionismo\SIEMENS_HEMODINAMICAS_ALERTIN\20220211-20220214.xml" htmlTables="1" htmlFormat="all"/>
  </connection>
  <connection id="418" name="20220214-20220215" type="4" refreshedVersion="0" background="1">
    <webPr xml="1" sourceData="1" url="Z:\Dosis pacientes\Alertas_Intervencionismo\SIEMENS_HEMODINAMICAS_ALERTIN\20220214-20220215.xml" htmlTables="1" htmlFormat="all"/>
  </connection>
  <connection id="419" name="20220215-20220216" type="4" refreshedVersion="0" background="1">
    <webPr xml="1" sourceData="1" url="Z:\Dosis pacientes\Alertas_Intervencionismo\SIEMENS_HEMODINAMICAS_ALERTIN\20220215-20220216.xml" htmlTables="1" htmlFormat="all"/>
  </connection>
  <connection id="420" name="20220216-20220217" type="4" refreshedVersion="0" background="1">
    <webPr xml="1" sourceData="1" url="Z:\Dosis pacientes\Alertas_Intervencionismo\SIEMENS_HEMODINAMICAS_ALERTIN\20220216-20220217.xml" htmlTables="1" htmlFormat="all"/>
  </connection>
  <connection id="421" name="20220217-20220218" type="4" refreshedVersion="0" background="1">
    <webPr xml="1" sourceData="1" url="Z:\Dosis pacientes\Alertas_Intervencionismo\SIEMENS_HEMODINAMICAS_ALERTIN\20220217-20220218.xml" htmlTables="1" htmlFormat="all"/>
  </connection>
  <connection id="422" name="20220218-20220221" type="4" refreshedVersion="0" background="1">
    <webPr xml="1" sourceData="1" url="Z:\Dosis pacientes\Alertas_Intervencionismo\SIEMENS_HEMODINAMICAS_ALERTIN\20220218-20220221.xml" htmlTables="1" htmlFormat="all"/>
  </connection>
  <connection id="423" name="20220221-20220222" type="4" refreshedVersion="0" background="1">
    <webPr xml="1" sourceData="1" url="Z:\Dosis pacientes\Alertas_Intervencionismo\SIEMENS_HEMODINAMICAS_ALERTIN\20220221-20220222.xml" htmlTables="1" htmlFormat="all"/>
  </connection>
  <connection id="424" name="20220222-20220223" type="4" refreshedVersion="0" background="1">
    <webPr xml="1" sourceData="1" url="Z:\Dosis pacientes\Alertas_Intervencionismo\SIEMENS_HEMODINAMICAS_ALERTIN\20220222-20220223.xml" htmlTables="1" htmlFormat="all"/>
  </connection>
  <connection id="425" name="20220223-20220224" type="4" refreshedVersion="0" background="1">
    <webPr xml="1" sourceData="1" url="Z:\Dosis pacientes\Alertas_Intervencionismo\SIEMENS_HEMODINAMICAS_ALERTIN\20220223-20220224.xml" htmlTables="1" htmlFormat="all"/>
  </connection>
  <connection id="426" name="20220224-20220225" type="4" refreshedVersion="0" background="1">
    <webPr xml="1" sourceData="1" url="Z:\Dosis pacientes\Alertas_Intervencionismo\SIEMENS_HEMODINAMICAS_ALERTIN\20220224-20220225.xml" htmlTables="1" htmlFormat="all"/>
  </connection>
  <connection id="427" name="20220228-20220301" type="4" refreshedVersion="0" background="1">
    <webPr xml="1" sourceData="1" url="Z:\Dosis pacientes\Alertas_Intervencionismo\SIEMENS_HEMODINAMICAS_ALERTIN\20220228-20220301.xml" htmlTables="1" htmlFormat="all"/>
  </connection>
  <connection id="428" name="20220308-20220309" type="4" refreshedVersion="0" background="1">
    <webPr xml="1" sourceData="1" url="Z:\Dosis pacientes\Alertas_Intervencionismo\SIEMENS_HEMODINAMICAS_ALERTIN\20220308-20220309.xml" htmlTables="1" htmlFormat="all"/>
  </connection>
  <connection id="429" name="20220901-20220902" type="4" refreshedVersion="0" background="1">
    <webPr xml="1" sourceData="1" url="Z:\Dosis pacientes\Alertas_Intervencionismo\SIEMENS_HEMODINAMICAS_ALERTIN\20220901-20220902.xml" htmlTables="1" htmlFormat="all"/>
  </connection>
  <connection id="430" name="20220901-202209021" type="4" refreshedVersion="0" background="1">
    <webPr xml="1" sourceData="1" url="Z:\Dosis pacientes\Alertas_Intervencionismo\SIEMENS_HEMODINAMICAS_ALERTIN\20220901-20220902.xml" htmlTables="1" htmlFormat="all"/>
  </connection>
  <connection id="431" name="20220902-20220905" type="4" refreshedVersion="0" background="1">
    <webPr xml="1" sourceData="1" url="Z:\Dosis pacientes\Alertas_Intervencionismo\SIEMENS_HEMODINAMICAS_ALERTIN\20220902-20220905.xml" htmlTables="1" htmlFormat="all"/>
  </connection>
  <connection id="432" name="20220914-20220915" type="4" refreshedVersion="0" background="1">
    <webPr xml="1" sourceData="1" url="Z:\Dosis pacientes\Alertas_Intervencionismo\SIEMENS_HEMODINAMICAS_ALERTIN\20220914-20220915.xml" htmlTables="1" htmlFormat="all"/>
  </connection>
  <connection id="433" name="20220914-202209151" type="4" refreshedVersion="0" background="1">
    <webPr xml="1" sourceData="1" url="Z:\Dosis pacientes\Alertas_Intervencionismo\SIEMENS_HEMODINAMICAS_ALERTIN\20220914-20220915.xml" htmlTables="1" htmlFormat="all"/>
  </connection>
  <connection id="434" name="20220915-20220916" type="4" refreshedVersion="0" background="1">
    <webPr xml="1" sourceData="1" url="Z:\Dosis pacientes\Alertas_Intervencionismo\SIEMENS_HEMODINAMICAS_ALERTIN\20220915-20220916.xml" htmlTables="1" htmlFormat="all"/>
  </connection>
  <connection id="435" name="20220916-20220919" type="4" refreshedVersion="0" background="1">
    <webPr xml="1" sourceData="1" url="Z:\Dosis pacientes\Alertas_Intervencionismo\SIEMENS_HEMODINAMICAS_ALERTIN\20220916-20220919.xml" htmlTables="1" htmlFormat="all"/>
  </connection>
  <connection id="436" name="20220916-202209191" type="4" refreshedVersion="0" background="1">
    <webPr xml="1" sourceData="1" url="Z:\Dosis pacientes\Alertas_Intervencionismo\SIEMENS_HEMODINAMICAS_ALERTIN\20220916-20220919.xml" htmlTables="1" htmlFormat="all"/>
  </connection>
  <connection id="437" name="20220919-20220920" type="4" refreshedVersion="0" background="1">
    <webPr xml="1" sourceData="1" url="Z:\Dosis pacientes\Alertas_Intervencionismo\SIEMENS_HEMODINAMICAS_ALERTIN\20220919-20220920.xml" htmlTables="1" htmlFormat="all"/>
  </connection>
  <connection id="438" name="20220919-202209201" type="4" refreshedVersion="0" background="1">
    <webPr xml="1" sourceData="1" url="Z:\Dosis pacientes\Alertas_Intervencionismo\SIEMENS_HEMODINAMICAS_ALERTIN\20220919-20220920.xml" htmlTables="1" htmlFormat="all"/>
  </connection>
  <connection id="439" name="20220920-20220922" type="4" refreshedVersion="0" background="1">
    <webPr xml="1" sourceData="1" url="Z:\Dosis pacientes\Alertas_Intervencionismo\SIEMENS_HEMODINAMICAS_ALERTIN\20220920-20220922.xml" htmlTables="1" htmlFormat="all"/>
  </connection>
  <connection id="440" name="20220922-20220923" type="4" refreshedVersion="0" background="1">
    <webPr xml="1" sourceData="1" url="Z:\Dosis pacientes\Alertas_Intervencionismo\SIEMENS_HEMODINAMICAS_ALERTIN\20220922-20220923.xml" htmlTables="1" htmlFormat="all"/>
  </connection>
  <connection id="441" name="20220923-20220926" type="4" refreshedVersion="0" background="1">
    <webPr xml="1" sourceData="1" url="Z:\Dosis pacientes\Alertas_Intervencionismo\SIEMENS_HEMODINAMICAS_ALERTIN\20220923-20220926.xml" htmlTables="1" htmlFormat="all"/>
  </connection>
  <connection id="442" name="20220926-20220927" type="4" refreshedVersion="0" background="1">
    <webPr xml="1" sourceData="1" url="Z:\Dosis pacientes\Alertas_Intervencionismo\SIEMENS_HEMODINAMICAS_ALERTIN\20220926-20220927.xml" htmlTables="1" htmlFormat="all"/>
  </connection>
  <connection id="443" name="20220927-20220928" type="4" refreshedVersion="0" background="1">
    <webPr xml="1" sourceData="1" url="Z:\Dosis pacientes\Alertas_Intervencionismo\SIEMENS_HEMODINAMICAS_ALERTIN\20220927-20220928.xml" htmlTables="1" htmlFormat="all"/>
  </connection>
  <connection id="444" name="20220928-20220929" type="4" refreshedVersion="0" background="1">
    <webPr xml="1" sourceData="1" url="Z:\Dosis pacientes\Alertas_Intervencionismo\SIEMENS_HEMODINAMICAS_ALERTIN\20220928-20220929.xml" htmlTables="1" htmlFormat="all"/>
  </connection>
  <connection id="445" name="20220929-20220930" type="4" refreshedVersion="0" background="1">
    <webPr xml="1" sourceData="1" url="Z:\Dosis pacientes\Alertas_Intervencionismo\SIEMENS_HEMODINAMICAS_ALERTIN\20220929-20220930.xml" htmlTables="1" htmlFormat="all"/>
  </connection>
  <connection id="446" name="20220930-20221003" type="4" refreshedVersion="0" background="1">
    <webPr xml="1" sourceData="1" url="Z:\Dosis pacientes\Alertas_Intervencionismo\SIEMENS_HEMODINAMICAS_ALERTIN\20220930-20221003.xml" htmlTables="1" htmlFormat="all"/>
  </connection>
  <connection id="447" name="20221004-20221005" type="4" refreshedVersion="0" background="1">
    <webPr xml="1" sourceData="1" url="Z:\Dosis pacientes\Alertas_Intervencionismo\SIEMENS_HEMODINAMICAS_ALERTIN\20221004-20221005.xml" htmlTables="1" htmlFormat="all"/>
  </connection>
  <connection id="448" name="20221005-20221006" type="4" refreshedVersion="0" background="1">
    <webPr xml="1" sourceData="1" url="Z:\Dosis pacientes\Alertas_Intervencionismo\SIEMENS_HEMODINAMICAS_ALERTIN\20221005-20221006.xml" htmlTables="1" htmlFormat="all"/>
  </connection>
  <connection id="449" name="20221006-20221007" type="4" refreshedVersion="0" background="1">
    <webPr xml="1" sourceData="1" url="Z:\Dosis pacientes\Alertas_Intervencionismo\SIEMENS_HEMODINAMICAS_ALERTIN\20221006-20221007.xml" htmlTables="1" htmlFormat="all"/>
  </connection>
  <connection id="450" name="20221007-20221010" type="4" refreshedVersion="0" background="1">
    <webPr xml="1" sourceData="1" url="Z:\Dosis pacientes\Alertas_Intervencionismo\SIEMENS_HEMODINAMICAS_ALERTIN\20221007-20221010.xml" htmlTables="1" htmlFormat="all"/>
  </connection>
  <connection id="451" name="20221010-20221011" type="4" refreshedVersion="0" background="1">
    <webPr xml="1" sourceData="1" url="Z:\Dosis pacientes\Alertas_Intervencionismo\SIEMENS_HEMODINAMICAS_ALERTIN\20221010-20221011.xml" htmlTables="1" htmlFormat="all"/>
  </connection>
  <connection id="452" name="20221010-202210111" type="4" refreshedVersion="0" background="1">
    <webPr xml="1" sourceData="1" url="Z:\Dosis pacientes\Alertas_Intervencionismo\SIEMENS_HEMODINAMICAS_ALERTIN\20221010-20221011.xml" htmlTables="1" htmlFormat="all"/>
  </connection>
  <connection id="453" name="20221011-20221013" type="4" refreshedVersion="0" background="1">
    <webPr xml="1" sourceData="1" url="Z:\Dosis pacientes\Alertas_Intervencionismo\SIEMENS_HEMODINAMICAS_ALERTIN\20221011-20221013.xml" htmlTables="1" htmlFormat="all"/>
  </connection>
  <connection id="454" name="20221013-20221014" type="4" refreshedVersion="0" background="1">
    <webPr xml="1" sourceData="1" url="Z:\Dosis pacientes\Alertas_Intervencionismo\SIEMENS_HEMODINAMICAS_ALERTIN\20221013-20221014.xml" htmlTables="1" htmlFormat="all"/>
  </connection>
  <connection id="455" name="20221017-20221018" type="4" refreshedVersion="0" background="1">
    <webPr xml="1" sourceData="1" url="Z:\Dosis pacientes\Alertas_Intervencionismo\SIEMENS_HEMODINAMICAS_ALERTIN\20221017-20221018.xml" htmlTables="1" htmlFormat="all"/>
  </connection>
  <connection id="456" name="20221018-20221019" type="4" refreshedVersion="0" background="1">
    <webPr xml="1" sourceData="1" url="Z:\Dosis pacientes\Alertas_Intervencionismo\SIEMENS_HEMODINAMICAS_ALERTIN\20221018-20221019.xml" htmlTables="1" htmlFormat="all"/>
  </connection>
  <connection id="457" name="20221019-20221020" type="4" refreshedVersion="0" background="1">
    <webPr xml="1" sourceData="1" url="Z:\Dosis pacientes\Alertas_Intervencionismo\SIEMENS_HEMODINAMICAS_ALERTIN\20221019-20221020.xml" htmlTables="1" htmlFormat="all"/>
  </connection>
  <connection id="458" name="20221019-202210201" type="4" refreshedVersion="0" background="1">
    <webPr xml="1" sourceData="1" url="Z:\Dosis pacientes\Alertas_Intervencionismo\SIEMENS_HEMODINAMICAS_ALERTIN\20221019-20221020.xml" htmlTables="1" htmlFormat="all"/>
  </connection>
  <connection id="459" name="20221020-20221024" type="4" refreshedVersion="0" background="1">
    <webPr xml="1" sourceData="1" url="Z:\Dosis pacientes\Alertas_Intervencionismo\SIEMENS_HEMODINAMICAS_ALERTIN\20221020-20221024.xml" htmlTables="1" htmlFormat="all"/>
  </connection>
  <connection id="460" name="20221024-20221025" type="4" refreshedVersion="0" background="1">
    <webPr xml="1" sourceData="1" url="Z:\Dosis pacientes\Alertas_Intervencionismo\SIEMENS_HEMODINAMICAS_ALERTIN\20221024-20221025.xml" htmlTables="1" htmlFormat="all"/>
  </connection>
  <connection id="461" name="20221024-202210251" type="4" refreshedVersion="0" background="1">
    <webPr xml="1" sourceData="1" url="Z:\Dosis pacientes\Alertas_Intervencionismo\SIEMENS_HEMODINAMICAS_ALERTIN\20221024-20221025.xml" htmlTables="1" htmlFormat="all"/>
  </connection>
  <connection id="462" name="20221024-202210252" type="4" refreshedVersion="0" background="1">
    <webPr xml="1" sourceData="1" url="Z:\Dosis pacientes\Alertas_Intervencionismo\SIEMENS_HEMODINAMICAS_ALERTIN\20221024-20221025.xml" htmlTables="1" htmlFormat="all"/>
  </connection>
  <connection id="463" name="20221024-202210253" type="4" refreshedVersion="0" background="1">
    <webPr xml="1" sourceData="1" url="Z:\Dosis pacientes\Alertas_Intervencionismo\SIEMENS_HEMODINAMICAS_ALERTIN\20221024-20221025.xml" htmlTables="1" htmlFormat="all"/>
  </connection>
  <connection id="464" name="20221024-202210254" type="4" refreshedVersion="0" background="1">
    <webPr xml="1" sourceData="1" url="Z:\Dosis pacientes\Alertas_Intervencionismo\SIEMENS_HEMODINAMICAS_ALERTIN\20221024-20221025.xml" htmlTables="1" htmlFormat="all"/>
  </connection>
  <connection id="465" name="20221024-202210255" type="4" refreshedVersion="0" background="1">
    <webPr xml="1" sourceData="1" url="Z:\Dosis pacientes\Alertas_Intervencionismo\SIEMENS_HEMODINAMICAS_ALERTIN\20221024-20221025.xml" htmlTables="1" htmlFormat="all"/>
  </connection>
  <connection id="466" name="20221025-20221102" type="4" refreshedVersion="0" background="1">
    <webPr xml="1" sourceData="1" url="Z:\Dosis pacientes\Alertas_Intervencionismo\SIEMENS_HEMODINAMICAS_ALERTIN\20221025-20221102.xml" htmlTables="1" htmlFormat="all"/>
  </connection>
  <connection id="467" name="20221102-20221103" type="4" refreshedVersion="0" background="1">
    <webPr xml="1" sourceData="1" url="Z:\Dosis pacientes\Alertas_Intervencionismo\SIEMENS_HEMODINAMICAS_ALERTIN\20221102-20221103.xml" htmlTables="1" htmlFormat="all"/>
  </connection>
  <connection id="468" name="20221103-20221104" type="4" refreshedVersion="0" background="1">
    <webPr xml="1" sourceData="1" url="Z:\Dosis pacientes\Alertas_Intervencionismo\SIEMENS_HEMODINAMICAS_ALERTIN\20221103-20221104.xml" htmlTables="1" htmlFormat="all"/>
  </connection>
  <connection id="469" name="20221104-20221107" type="4" refreshedVersion="0" background="1">
    <webPr xml="1" sourceData="1" url="Z:\Dosis pacientes\Alertas_Intervencionismo\SIEMENS_HEMODINAMICAS_ALERTIN\20221104-20221107.xml" htmlTables="1" htmlFormat="all"/>
  </connection>
  <connection id="470" name="20221107-20221108" type="4" refreshedVersion="0" background="1">
    <webPr xml="1" sourceData="1" url="Z:\Dosis pacientes\Alertas_Intervencionismo\SIEMENS_HEMODINAMICAS_ALERTIN\20221107-20221108.xml" htmlTables="1" htmlFormat="all"/>
  </connection>
  <connection id="471" name="20221108-20221109" type="4" refreshedVersion="0" background="1">
    <webPr xml="1" sourceData="1" url="Z:\Dosis pacientes\Alertas_Intervencionismo\SIEMENS_HEMODINAMICAS_ALERTIN\20221108-20221109.xml" htmlTables="1" htmlFormat="all"/>
  </connection>
  <connection id="472" name="20221109-20221110" type="4" refreshedVersion="0" background="1">
    <webPr xml="1" sourceData="1" url="Z:\Dosis pacientes\Alertas_Intervencionismo\SIEMENS_HEMODINAMICAS_ALERTIN\20221109-20221110.xml" htmlTables="1" htmlFormat="all"/>
  </connection>
  <connection id="473" name="20221110-20221111" type="4" refreshedVersion="0" background="1">
    <webPr xml="1" sourceData="1" url="Z:\Dosis pacientes\Alertas_Intervencionismo\SIEMENS_HEMODINAMICAS_ALERTIN\20221110-20221111.xml" htmlTables="1" htmlFormat="all"/>
  </connection>
  <connection id="474" name="20221111-20221114" type="4" refreshedVersion="0" background="1">
    <webPr xml="1" sourceData="1" url="Z:\Dosis pacientes\Alertas_Intervencionismo\SIEMENS_HEMODINAMICAS_ALERTIN\20221111-20221114.xml" htmlTables="1" htmlFormat="all"/>
  </connection>
  <connection id="475" name="20221114-20221115" type="4" refreshedVersion="0" background="1">
    <webPr xml="1" sourceData="1" url="Z:\Dosis pacientes\Alertas_Intervencionismo\SIEMENS_HEMODINAMICAS_ALERTIN\20221114-20221115.xml" htmlTables="1" htmlFormat="all"/>
  </connection>
  <connection id="476" name="20221115-20221116" type="4" refreshedVersion="0" background="1">
    <webPr xml="1" sourceData="1" url="Z:\Dosis pacientes\Alertas_Intervencionismo\SIEMENS_HEMODINAMICAS_ALERTIN\20221115-20221116.xml" htmlTables="1" htmlFormat="all"/>
  </connection>
  <connection id="477" name="20221116-20221117" type="4" refreshedVersion="0" background="1">
    <webPr xml="1" sourceData="1" url="Z:\Dosis pacientes\Alertas_Intervencionismo\SIEMENS_HEMODINAMICAS_ALERTIN\20221116-20221117.xml" htmlTables="1" htmlFormat="all"/>
  </connection>
  <connection id="478" name="20221117-20221118" type="4" refreshedVersion="0" background="1">
    <webPr xml="1" sourceData="1" url="Z:\Dosis pacientes\Alertas_Intervencionismo\SIEMENS_HEMODINAMICAS_ALERTIN\20221117-20221118.xml" htmlTables="1" htmlFormat="all"/>
  </connection>
  <connection id="479" name="20221122-20221123" type="4" refreshedVersion="0" background="1">
    <webPr xml="1" sourceData="1" url="Z:\Dosis pacientes\Alertas_Intervencionismo\SIEMENS_HEMODINAMICAS_ALERTIN\20221122-20221123.xml" htmlTables="1" htmlFormat="all"/>
  </connection>
  <connection id="480" name="20221122-202211231" type="4" refreshedVersion="0" background="1">
    <webPr xml="1" sourceData="1" url="Z:\Dosis pacientes\Alertas_Intervencionismo\SIEMENS_HEMODINAMICAS_ALERTIN\20221122-20221123.xml" htmlTables="1" htmlFormat="all"/>
  </connection>
  <connection id="481" name="20221123-20221124" type="4" refreshedVersion="0" background="1">
    <webPr xml="1" sourceData="1" url="Z:\Dosis pacientes\Alertas_Intervencionismo\SIEMENS_HEMODINAMICAS_ALERTIN\20221123-20221124.xml" htmlTables="1" htmlFormat="all"/>
  </connection>
  <connection id="482" name="20221124-20221125" type="4" refreshedVersion="0" background="1">
    <webPr xml="1" sourceData="1" url="Z:\Dosis pacientes\Alertas_Intervencionismo\SIEMENS_HEMODINAMICAS_ALERTIN\20221124-20221125.xml" htmlTables="1" htmlFormat="all"/>
  </connection>
  <connection id="483" name="20221125-20221128" type="4" refreshedVersion="0" background="1">
    <webPr xml="1" sourceData="1" url="Z:\Dosis pacientes\Alertas_Intervencionismo\SIEMENS_HEMODINAMICAS_ALERTIN\20221125-20221128.xml" htmlTables="1" htmlFormat="all"/>
  </connection>
  <connection id="484" name="20221128-20221129" type="4" refreshedVersion="0" background="1">
    <webPr xml="1" sourceData="1" url="Z:\Dosis pacientes\Alertas_Intervencionismo\SIEMENS_HEMODINAMICAS_ALERTIN\20221128-20221129.xml" htmlTables="1" htmlFormat="all"/>
  </connection>
  <connection id="485" name="20221128-202211291" type="4" refreshedVersion="0" background="1">
    <webPr xml="1" sourceData="1" url="Z:\Dosis pacientes\Alertas_Intervencionismo\SIEMENS_HEMODINAMICAS_ALERTIN\20221128-20221129.xml" htmlTables="1" htmlFormat="all"/>
  </connection>
  <connection id="486" name="20221129-20221201" type="4" refreshedVersion="0" background="1">
    <webPr xml="1" sourceData="1" url="Z:\Dosis pacientes\Alertas_Intervencionismo\SIEMENS_HEMODINAMICAS_ALERTIN\20221129-20221201.xml" htmlTables="1" htmlFormat="all"/>
  </connection>
  <connection id="487" name="20221201-20221202" type="4" refreshedVersion="0" background="1">
    <webPr xml="1" sourceData="1" url="Z:\Dosis pacientes\Alertas_Intervencionismo\SIEMENS_HEMODINAMICAS_ALERTIN\20221201-20221202.xml" htmlTables="1" htmlFormat="all"/>
  </connection>
  <connection id="488" name="20221202-20221205" type="4" refreshedVersion="0" background="1">
    <webPr xml="1" sourceData="1" url="Z:\Dosis pacientes\Alertas_Intervencionismo\SIEMENS_HEMODINAMICAS_ALERTIN\20221202-20221205.xml" htmlTables="1" htmlFormat="all"/>
  </connection>
  <connection id="489" name="20221202-202212051" type="4" refreshedVersion="0" background="1">
    <webPr xml="1" sourceData="1" url="Z:\Dosis pacientes\Alertas_Intervencionismo\SIEMENS_HEMODINAMICAS_ALERTIN\20221202-20221205.xml" htmlTables="1" htmlFormat="all"/>
  </connection>
  <connection id="490" name="20221205-20221207" type="4" refreshedVersion="0" background="1">
    <webPr xml="1" sourceData="1" url="Z:\Dosis pacientes\Alertas_Intervencionismo\SIEMENS_HEMODINAMICAS_ALERTIN\20221205-20221207.xml" htmlTables="1" htmlFormat="all"/>
  </connection>
  <connection id="491" name="20221205-202212071" type="4" refreshedVersion="0" background="1">
    <webPr xml="1" sourceData="1" url="Z:\Dosis pacientes\Alertas_Intervencionismo\SIEMENS_HEMODINAMICAS_ALERTIN\20221205-20221207.xml" htmlTables="1" htmlFormat="all"/>
  </connection>
  <connection id="492" name="20221207-20221209" type="4" refreshedVersion="0" background="1">
    <webPr xml="1" sourceData="1" url="Z:\Dosis pacientes\Alertas_Intervencionismo\SIEMENS_HEMODINAMICAS_ALERTIN\20221207-20221209.xml" htmlTables="1" htmlFormat="all"/>
  </connection>
  <connection id="493" name="20221209-20221212" type="4" refreshedVersion="0" background="1">
    <webPr xml="1" sourceData="1" url="Z:\Dosis pacientes\Alertas_Intervencionismo\SIEMENS_HEMODINAMICAS_ALERTIN\20221209-20221212.xml" htmlTables="1" htmlFormat="all"/>
  </connection>
  <connection id="494" name="20221212-20221213" type="4" refreshedVersion="0" background="1">
    <webPr xml="1" sourceData="1" url="Z:\Dosis pacientes\Alertas_Intervencionismo\SIEMENS_HEMODINAMICAS_ALERTIN\20221212-20221213.xml" htmlTables="1" htmlFormat="all"/>
  </connection>
  <connection id="495" name="20221213-20221214" type="4" refreshedVersion="0" background="1">
    <webPr xml="1" sourceData="1" url="Z:\Dosis pacientes\Alertas_Intervencionismo\SIEMENS_HEMODINAMICAS_ALERTIN\20221213-20221214.xml" htmlTables="1" htmlFormat="all"/>
  </connection>
  <connection id="496" name="20221215-20221215" type="4" refreshedVersion="0" background="1">
    <webPr xml="1" sourceData="1" url="Z:\Dosis pacientes\Alertas_Intervencionismo\SIEMENS_HEMODINAMICAS_ALERTIN\20221215-20221215.xml" htmlTables="1" htmlFormat="all"/>
  </connection>
  <connection id="497" name="20221215-20221216" type="4" refreshedVersion="0" background="1">
    <webPr xml="1" sourceData="1" url="Z:\Dosis pacientes\Alertas_Intervencionismo\SIEMENS_HEMODINAMICAS_ALERTIN\20221215-20221216.xml" htmlTables="1" htmlFormat="all"/>
  </connection>
  <connection id="498" name="20221216-20221219" type="4" refreshedVersion="0" background="1">
    <webPr xml="1" sourceData="1" url="Z:\Dosis pacientes\Alertas_Intervencionismo\SIEMENS_HEMODINAMICAS_ALERTIN\20221216-20221219.xml" htmlTables="1" htmlFormat="all"/>
  </connection>
  <connection id="499" name="20221216-202212191" type="4" refreshedVersion="0" background="1">
    <webPr xml="1" sourceData="1" url="Z:\Dosis pacientes\Alertas_Intervencionismo\SIEMENS_HEMODINAMICAS_ALERTIN\20221216-20221219.xml" htmlTables="1" htmlFormat="all"/>
  </connection>
  <connection id="500" name="20221221-20221221" type="4" refreshedVersion="0" background="1">
    <webPr xml="1" sourceData="1" url="Z:\Dosis pacientes\Alertas_Intervencionismo\SIEMENS_HEMODINAMICAS_ALERTIN\20221221-20221221.xml" htmlTables="1" htmlFormat="all"/>
  </connection>
  <connection id="501" name="20221222-20221222" type="4" refreshedVersion="0" background="1">
    <webPr xml="1" sourceData="1" url="Z:\Dosis pacientes\Alertas_Intervencionismo\SIEMENS_HEMODINAMICAS_ALERTIN\20221222-20221222.xml" htmlTables="1" htmlFormat="all"/>
  </connection>
  <connection id="502" name="20221227-20221228" type="4" refreshedVersion="0" background="1">
    <webPr xml="1" sourceData="1" url="Z:\Dosis pacientes\Alertas_Intervencionismo\SIEMENS_HEMODINAMICAS_ALERTIN\20221227-20221228.xml" htmlTables="1" htmlFormat="all"/>
  </connection>
  <connection id="503" name="20221227-202212281" type="4" refreshedVersion="0" background="1">
    <webPr xml="1" sourceData="1" url="Z:\Dosis pacientes\Alertas_Intervencionismo\SIEMENS_HEMODINAMICAS_ALERTIN\20221227-20221228.xml" htmlTables="1" htmlFormat="all"/>
  </connection>
  <connection id="504" name="20221227-202212282" type="4" refreshedVersion="0" background="1">
    <webPr xml="1" sourceData="1" url="Z:\Dosis pacientes\Alertas_Intervencionismo\SIEMENS_HEMODINAMICAS_ALERTIN\20221227-20221228.xml" htmlTables="1" htmlFormat="all"/>
  </connection>
  <connection id="505" name="20221228-20221229" type="4" refreshedVersion="0" background="1">
    <webPr xml="1" sourceData="1" url="Z:\Dosis pacientes\Alertas_Intervencionismo\SIEMENS_HEMODINAMICAS_ALERTIN\20221228-20221229.xml" htmlTables="1" htmlFormat="all"/>
  </connection>
  <connection id="506" name="20230105-20230109" type="4" refreshedVersion="0" background="1">
    <webPr xml="1" sourceData="1" url="Z:\Dosis pacientes\Alertas_Intervencionismo\SIEMENS_HEMODINAMICAS_ALERTIN\20230105-20230109.xml" htmlTables="1" htmlFormat="all"/>
  </connection>
  <connection id="507" name="20230109-20230110" type="4" refreshedVersion="0" background="1">
    <webPr xml="1" sourceData="1" url="Z:\Dosis pacientes\Alertas_Intervencionismo\SIEMENS_HEMODINAMICAS_ALERTIN\20230109-20230110.xml" htmlTables="1" htmlFormat="all"/>
  </connection>
  <connection id="508" name="20230109-202301101" type="4" refreshedVersion="0" background="1">
    <webPr xml="1" sourceData="1" url="Z:\Dosis pacientes\Alertas_Intervencionismo\SIEMENS_HEMODINAMICAS_ALERTIN\20230109-20230110.xml" htmlTables="1" htmlFormat="all"/>
  </connection>
  <connection id="509" name="20230110-20230111" type="4" refreshedVersion="0" background="1">
    <webPr xml="1" sourceData="1" url="Z:\Dosis pacientes\Alertas_Intervencionismo\SIEMENS_HEMODINAMICAS_ALERTIN\20230110-20230111.xml" htmlTables="1" htmlFormat="all"/>
  </connection>
  <connection id="510" name="20230111-20230112" type="4" refreshedVersion="0" background="1">
    <webPr xml="1" sourceData="1" url="Z:\Dosis pacientes\Alertas_Intervencionismo\SIEMENS_HEMODINAMICAS_ALERTIN\20230111-20230112.xml" htmlTables="1" htmlFormat="all"/>
  </connection>
  <connection id="511" name="20230112-20230113" type="4" refreshedVersion="0" background="1">
    <webPr xml="1" sourceData="1" url="Z:\Dosis pacientes\Alertas_Intervencionismo\SIEMENS_HEMODINAMICAS_ALERTIN\20230112-20230113.xml" htmlTables="1" htmlFormat="all"/>
  </connection>
  <connection id="512" name="20230116-20230117" type="4" refreshedVersion="0" background="1">
    <webPr xml="1" sourceData="1" url="Z:\Dosis pacientes\Alertas_Intervencionismo\SIEMENS_HEMODINAMICAS_ALERTIN\20230116-20230117.xml" htmlTables="1" htmlFormat="all"/>
  </connection>
  <connection id="513" name="20230116-202301171" type="4" refreshedVersion="0" background="1">
    <webPr xml="1" sourceData="1" url="Z:\Dosis pacientes\Alertas_Intervencionismo\SIEMENS_HEMODINAMICAS_ALERTIN\20230116-20230117.xml" htmlTables="1" htmlFormat="all"/>
  </connection>
  <connection id="514" name="20230117-20230118" type="4" refreshedVersion="0" background="1">
    <webPr xml="1" sourceData="1" url="Z:\Dosis pacientes\Alertas_Intervencionismo\SIEMENS_HEMODINAMICAS_ALERTIN\20230117-20230118.xml" htmlTables="1" htmlFormat="all"/>
  </connection>
  <connection id="515" name="20230118-20230119" type="4" refreshedVersion="0" background="1">
    <webPr xml="1" sourceData="1" url="Z:\Dosis pacientes\Alertas_Intervencionismo\SIEMENS_HEMODINAMICAS_ALERTIN\20230118-20230119.xml" htmlTables="1" htmlFormat="all"/>
  </connection>
  <connection id="516" name="20230119-20230120" type="4" refreshedVersion="0" background="1">
    <webPr xml="1" sourceData="1" url="Z:\Dosis pacientes\Alertas_Intervencionismo\SIEMENS_HEMODINAMICAS_ALERTIN\20230119-20230120.xml" htmlTables="1" htmlFormat="all"/>
  </connection>
  <connection id="517" name="20230120-20230123" type="4" refreshedVersion="0" background="1">
    <webPr xml="1" sourceData="1" url="Z:\Dosis pacientes\Alertas_Intervencionismo\SIEMENS_HEMODINAMICAS_ALERTIN\20230120-20230123.xml" htmlTables="1" htmlFormat="all"/>
  </connection>
  <connection id="518" name="20230120-202301231" type="4" refreshedVersion="0" background="1">
    <webPr xml="1" sourceData="1" url="Z:\Dosis pacientes\Alertas_Intervencionismo\SIEMENS_HEMODINAMICAS_ALERTIN\20230120-20230123.xml" htmlTables="1" htmlFormat="all"/>
  </connection>
  <connection id="519" name="20230124-20230125" type="4" refreshedVersion="0" background="1">
    <webPr xml="1" sourceData="1" url="Z:\Dosis pacientes\Alertas_Intervencionismo\SIEMENS_HEMODINAMICAS_ALERTIN\20230124-20230125.xml" htmlTables="1" htmlFormat="all"/>
  </connection>
  <connection id="520" name="20230124-202301251" type="4" refreshedVersion="0" background="1">
    <webPr xml="1" sourceData="1" url="Z:\Dosis pacientes\Alertas_Intervencionismo\SIEMENS_HEMODINAMICAS_ALERTIN\20230124-20230125.xml" htmlTables="1" htmlFormat="all"/>
  </connection>
  <connection id="521" name="20230124-202301252" type="4" refreshedVersion="0" background="1">
    <webPr xml="1" sourceData="1" url="Z:\Dosis pacientes\Alertas_Intervencionismo\SIEMENS_HEMODINAMICAS_ALERTIN\20230124-20230125.xml" htmlTables="1" htmlFormat="all"/>
  </connection>
  <connection id="522" name="20230124-202301253" type="4" refreshedVersion="0" background="1">
    <webPr xml="1" sourceData="1" url="Z:\Dosis pacientes\Alertas_Intervencionismo\SIEMENS_HEMODINAMICAS_ALERTIN\20230124-20230125.xml" htmlTables="1" htmlFormat="all"/>
  </connection>
  <connection id="523" name="20230125-20230130" type="4" refreshedVersion="0" background="1">
    <webPr xml="1" sourceData="1" url="Z:\Dosis pacientes\Alertas_Intervencionismo\SIEMENS_HEMODINAMICAS_ALERTIN\20230125-20230130.xml" htmlTables="1" htmlFormat="all"/>
  </connection>
  <connection id="524" name="20230125-202301301" type="4" refreshedVersion="0" background="1">
    <webPr xml="1" sourceData="1" url="Z:\Dosis pacientes\Alertas_Intervencionismo\SIEMENS_HEMODINAMICAS_ALERTIN\20230125-20230130.xml" htmlTables="1" htmlFormat="all"/>
  </connection>
  <connection id="525" name="20230130-20230201" type="4" refreshedVersion="0" background="1">
    <webPr xml="1" sourceData="1" url="Z:\Dosis pacientes\Alertas_Intervencionismo\SIEMENS_HEMODINAMICAS_ALERTIN\20230130-20230201.xml" htmlTables="1" htmlFormat="all"/>
  </connection>
  <connection id="526" name="20230201-20230202" type="4" refreshedVersion="0" background="1">
    <webPr xml="1" sourceData="1" url="Z:\Dosis pacientes\Alertas_Intervencionismo\SIEMENS_HEMODINAMICAS_ALERTIN\20230201-20230202.xml" htmlTables="1" htmlFormat="all"/>
  </connection>
  <connection id="527" name="20230201-202302021" type="4" refreshedVersion="0" background="1">
    <webPr xml="1" sourceData="1" url="Z:\Dosis pacientes\Alertas_Intervencionismo\SIEMENS_HEMODINAMICAS_ALERTIN\20230201-20230202.xml" htmlTables="1" htmlFormat="all"/>
  </connection>
  <connection id="528" name="20230206-20230206" type="4" refreshedVersion="0" background="1">
    <webPr xml="1" sourceData="1" url="Z:\Dosis pacientes\Alertas_Intervencionismo\SIEMENS_HEMODINAMICAS_ALERTIN\20230206-20230206.xml" htmlTables="1" htmlFormat="all"/>
  </connection>
  <connection id="529" name="20230206-202302061" type="4" refreshedVersion="0" background="1">
    <webPr xml="1" sourceData="1" url="Z:\Dosis pacientes\Alertas_Intervencionismo\SIEMENS_HEMODINAMICAS_ALERTIN\20230206-20230206.xml" htmlTables="1" htmlFormat="all"/>
  </connection>
  <connection id="530" name="20230206-20230208" type="4" refreshedVersion="0" background="1">
    <webPr xml="1" sourceData="1" url="Z:\Dosis pacientes\Alertas_Intervencionismo\SIEMENS_HEMODINAMICAS_ALERTIN\20230206-20230208.xml" htmlTables="1" htmlFormat="all"/>
  </connection>
  <connection id="531" name="20230206-202302081" type="4" refreshedVersion="0" background="1">
    <webPr xml="1" sourceData="1" url="Z:\Dosis pacientes\Alertas_Intervencionismo\SIEMENS_HEMODINAMICAS_ALERTIN\20230206-20230208.xml" htmlTables="1" htmlFormat="all"/>
  </connection>
  <connection id="532" name="20230208-20230210" type="4" refreshedVersion="0" background="1">
    <webPr xml="1" sourceData="1" url="Z:\Dosis pacientes\Alertas_Intervencionismo\SIEMENS_HEMODINAMICAS_ALERTIN\20230208-20230210.xml" htmlTables="1" htmlFormat="all"/>
  </connection>
  <connection id="533" name="20230210-20230213" type="4" refreshedVersion="0" background="1">
    <webPr xml="1" sourceData="1" url="Z:\Dosis pacientes\Alertas_Intervencionismo\SIEMENS_HEMODINAMICAS_ALERTIN\20230210-20230213.xml" htmlTables="1" htmlFormat="all"/>
  </connection>
  <connection id="534" name="20230213-20230214" type="4" refreshedVersion="0" background="1">
    <webPr xml="1" sourceData="1" url="Z:\Dosis pacientes\Alertas_Intervencionismo\SIEMENS_HEMODINAMICAS_ALERTIN\20230213-20230214.xml" htmlTables="1" htmlFormat="all"/>
  </connection>
  <connection id="535" name="20230213-202302141" type="4" refreshedVersion="0" background="1">
    <webPr xml="1" sourceData="1" url="Z:\Dosis pacientes\Alertas_Intervencionismo\SIEMENS_HEMODINAMICAS_ALERTIN\20230213-20230214.xml" htmlTables="1" htmlFormat="all"/>
  </connection>
  <connection id="536" name="20230213-202302142" type="4" refreshedVersion="0" background="1">
    <webPr xml="1" sourceData="1" url="Z:\Dosis pacientes\Alertas_Intervencionismo\SIEMENS_HEMODINAMICAS_ALERTIN\20230213-20230214.xml" htmlTables="1" htmlFormat="all"/>
  </connection>
  <connection id="537" name="20230214-20230217" type="4" refreshedVersion="0" background="1">
    <webPr xml="1" sourceData="1" url="Z:\Dosis pacientes\Alertas_Intervencionismo\SIEMENS_HEMODINAMICAS_ALERTIN\20230214-20230217.xml" htmlTables="1" htmlFormat="all"/>
  </connection>
  <connection id="538" name="20230219-20230221" type="4" refreshedVersion="0" background="1">
    <webPr xml="1" sourceData="1" url="Z:\Dosis pacientes\Alertas_Intervencionismo\SIEMENS_HEMODINAMICAS_ALERTIN\20230219-20230221.xml" htmlTables="1" htmlFormat="all"/>
  </connection>
  <connection id="539" name="20230221-20230222" type="4" refreshedVersion="0" background="1">
    <webPr xml="1" sourceData="1" url="Z:\Dosis pacientes\Alertas_Intervencionismo\SIEMENS_HEMODINAMICAS_ALERTIN\20230221-20230222.xml" htmlTables="1" htmlFormat="all"/>
  </connection>
  <connection id="540" name="20230221-202302221" type="4" refreshedVersion="0" background="1">
    <webPr xml="1" sourceData="1" url="Z:\Dosis pacientes\Alertas_Intervencionismo\SIEMENS_HEMODINAMICAS_ALERTIN\20230221-20230222.xml" htmlTables="1" htmlFormat="all"/>
  </connection>
  <connection id="541" name="20230221-202302222" type="4" refreshedVersion="0" background="1">
    <webPr xml="1" sourceData="1" url="Z:\Dosis pacientes\Alertas_Intervencionismo\SIEMENS_HEMODINAMICAS_ALERTIN\20230221-20230222.xml" htmlTables="1" htmlFormat="all"/>
  </connection>
  <connection id="542" name="20230222-20230227" type="4" refreshedVersion="0" background="1">
    <webPr xml="1" sourceData="1" url="Z:\Dosis pacientes\Alertas_Intervencionismo\SIEMENS_HEMODINAMICAS_ALERTIN\20230222-20230227.xml" htmlTables="1" htmlFormat="all"/>
  </connection>
  <connection id="543" name="20230222-202302271" type="4" refreshedVersion="0" background="1">
    <webPr xml="1" sourceData="1" url="Z:\Dosis pacientes\Alertas_Intervencionismo\SIEMENS_HEMODINAMICAS_ALERTIN\20230222-20230227.xml" htmlTables="1" htmlFormat="all"/>
  </connection>
  <connection id="544" name="20230222-202302272" type="4" refreshedVersion="0" background="1">
    <webPr xml="1" sourceData="1" url="Z:\Dosis pacientes\Alertas_Intervencionismo\SIEMENS_HEMODINAMICAS_ALERTIN\20230222-20230227.xml" htmlTables="1" htmlFormat="all"/>
  </connection>
  <connection id="545" name="20230222-202302273" type="4" refreshedVersion="0" background="1">
    <webPr xml="1" sourceData="1" url="Z:\Dosis pacientes\Alertas_Intervencionismo\SIEMENS_HEMODINAMICAS_ALERTIN\20230222-20230227.xml" htmlTables="1" htmlFormat="all"/>
  </connection>
  <connection id="546" name="20230222-202302274" type="4" refreshedVersion="0" background="1">
    <webPr xml="1" sourceData="1" url="Z:\Dosis pacientes\Alertas_Intervencionismo\SIEMENS_HEMODINAMICAS_ALERTIN\20230222-20230227.xml" htmlTables="1" htmlFormat="all"/>
  </connection>
  <connection id="547" name="20230222-202302275" type="4" refreshedVersion="0" background="1">
    <webPr xml="1" sourceData="1" url="Z:\Dosis pacientes\Alertas_Intervencionismo\SIEMENS_HEMODINAMICAS_ALERTIN\20230222-20230227.xml" htmlTables="1" htmlFormat="all"/>
  </connection>
  <connection id="548" name="20230222-202302276" type="4" refreshedVersion="0" background="1">
    <webPr xml="1" sourceData="1" url="Z:\Dosis pacientes\Alertas_Intervencionismo\SIEMENS_HEMODINAMICAS_ALERTIN\20230222-20230227.xml" htmlTables="1" htmlFormat="all"/>
  </connection>
  <connection id="549" name="20230227-20230306" type="4" refreshedVersion="0" background="1">
    <webPr xml="1" sourceData="1" url="Z:\Dosis pacientes\Alertas_Intervencionismo\SIEMENS_HEMODINAMICAS_ALERTIN\20230227-20230306.xml" htmlTables="1" htmlFormat="all"/>
  </connection>
  <connection id="550" name="20230227-202303061" type="4" refreshedVersion="0" background="1">
    <webPr xml="1" sourceData="1" url="Z:\Dosis pacientes\Alertas_Intervencionismo\SIEMENS_HEMODINAMICAS_ALERTIN\20230227-20230306.xml" htmlTables="1" htmlFormat="all"/>
  </connection>
  <connection id="551" name="20230307-20230308" type="4" refreshedVersion="0" background="1">
    <webPr xml="1" sourceData="1" url="Z:\Dosis pacientes\Alertas_Intervencionismo\SIEMENS_HEMODINAMICAS_ALERTIN\20230307-20230308.xml" htmlTables="1" htmlFormat="all"/>
  </connection>
  <connection id="552" name="20230308-20230309" type="4" refreshedVersion="0" background="1">
    <webPr xml="1" sourceData="1" url="Z:\Dosis pacientes\Alertas_Intervencionismo\SIEMENS_HEMODINAMICAS_ALERTIN\20230308-20230309.xml" htmlTables="1" htmlFormat="all"/>
  </connection>
  <connection id="553" name="20230308-202303091" type="4" refreshedVersion="0" background="1">
    <webPr xml="1" sourceData="1" url="Z:\Dosis pacientes\Alertas_Intervencionismo\SIEMENS_HEMODINAMICAS_ALERTIN\20230308-20230309.xml" htmlTables="1" htmlFormat="all"/>
  </connection>
  <connection id="554" name="20230309-20230310" type="4" refreshedVersion="0" background="1">
    <webPr xml="1" sourceData="1" url="Z:\Dosis pacientes\Alertas_Intervencionismo\SIEMENS_HEMODINAMICAS_ALERTIN\20230309-20230310.xml" htmlTables="1" htmlFormat="all"/>
  </connection>
  <connection id="555" name="20230309-202303101" type="4" refreshedVersion="0" background="1">
    <webPr xml="1" sourceData="1" url="Z:\Dosis pacientes\Alertas_Intervencionismo\SIEMENS_HEMODINAMICAS_ALERTIN\20230309-20230310.xml" htmlTables="1" htmlFormat="all"/>
  </connection>
  <connection id="556" name="20230310-20230314" type="4" refreshedVersion="0" background="1">
    <webPr xml="1" sourceData="1" url="Z:\Dosis pacientes\Alertas_Intervencionismo\SIEMENS_HEMODINAMICAS_ALERTIN\20230310-20230314.xml" htmlTables="1" htmlFormat="all"/>
  </connection>
  <connection id="557" name="20230310-202303141" type="4" refreshedVersion="0" background="1">
    <webPr xml="1" sourceData="1" url="Z:\Dosis pacientes\Alertas_Intervencionismo\SIEMENS_HEMODINAMICAS_ALERTIN\20230310-20230314.xml" htmlTables="1" htmlFormat="all"/>
  </connection>
  <connection id="558" name="20230314-20230316" type="4" refreshedVersion="0" background="1">
    <webPr xml="1" sourceData="1" url="Z:\Dosis pacientes\Alertas_Intervencionismo\SIEMENS_HEMODINAMICAS_ALERTIN\20230314-20230316.xml" htmlTables="1" htmlFormat="all"/>
  </connection>
  <connection id="559" name="20230314-202303161" type="4" refreshedVersion="0" background="1">
    <webPr xml="1" sourceData="1" url="Z:\Dosis pacientes\Alertas_Intervencionismo\SIEMENS_HEMODINAMICAS_ALERTIN\20230314-20230316.xml" htmlTables="1" htmlFormat="all"/>
  </connection>
  <connection id="560" name="20230324-20230324" type="4" refreshedVersion="0" background="1">
    <webPr xml="1" sourceData="1" url="Z:\Dosis pacientes\Alertas_Intervencionismo\SIEMENS_HEMODINAMICAS_ALERTIN\20230324-20230324.xml" htmlTables="1" htmlFormat="all"/>
  </connection>
  <connection id="561" name="20230330-20230331" type="4" refreshedVersion="0" background="1">
    <webPr xml="1" sourceData="1" url="Z:\Dosis pacientes\Alertas_Intervencionismo\SIEMENS_HEMODINAMICAS_ALERTIN\20230330-20230331.xml" htmlTables="1" htmlFormat="all"/>
  </connection>
  <connection id="562" name="20230330-202303311" type="4" refreshedVersion="0" background="1">
    <webPr xml="1" sourceData="1" url="Z:\Dosis pacientes\Alertas_Intervencionismo\SIEMENS_HEMODINAMICAS_ALERTIN\20230330-20230331.xml" htmlTables="1" htmlFormat="all"/>
  </connection>
  <connection id="563" name="20230331-20230411" type="4" refreshedVersion="0" background="1">
    <webPr xml="1" sourceData="1" url="Z:\Dosis pacientes\Alertas_Intervencionismo\SIEMENS_HEMODINAMICAS_ALERTIN\20230331-20230411.xml" htmlTables="1" htmlFormat="all"/>
  </connection>
  <connection id="564" name="20230401-20230403" type="4" refreshedVersion="0" background="1">
    <webPr xml="1" sourceData="1" url="Z:\Dosis pacientes\Alertas_Intervencionismo\SIEMENS_HEMODINAMICAS_ALERTIN\20230401-20230403.xml" htmlTables="1" htmlFormat="all"/>
  </connection>
  <connection id="565" name="20230401-202304031" type="4" refreshedVersion="0" background="1">
    <webPr xml="1" sourceData="1" url="Z:\Dosis pacientes\Alertas_Intervencionismo\SIEMENS_HEMODINAMICAS_ALERTIN\20230401-20230403.xml" htmlTables="1" htmlFormat="all"/>
  </connection>
  <connection id="566" name="20230411-20230412" type="4" refreshedVersion="0" background="1">
    <webPr xml="1" sourceData="1" url="Z:\Dosis pacientes\Alertas_Intervencionismo\SIEMENS_HEMODINAMICAS_ALERTIN\20230411-20230412.xml" htmlTables="1" htmlFormat="all"/>
  </connection>
  <connection id="567" name="20230412-20230413" type="4" refreshedVersion="0" background="1">
    <webPr xml="1" sourceData="1" url="Z:\Dosis pacientes\Alertas_Intervencionismo\SIEMENS_HEMODINAMICAS_ALERTIN\20230412-20230413.xml" htmlTables="1" htmlFormat="all"/>
  </connection>
  <connection id="568" name="20230413-20230414" type="4" refreshedVersion="0" background="1">
    <webPr xml="1" sourceData="1" url="Z:\Dosis pacientes\Alertas_Intervencionismo\SIEMENS_HEMODINAMICAS_ALERTIN\20230413-20230414.xml" htmlTables="1" htmlFormat="all"/>
  </connection>
  <connection id="569" name="20230414-20230417" type="4" refreshedVersion="0" background="1">
    <webPr xml="1" sourceData="1" url="Z:\Dosis pacientes\Alertas_Intervencionismo\SIEMENS_HEMODINAMICAS_ALERTIN\20230414-20230417.xml" htmlTables="1" htmlFormat="all"/>
  </connection>
  <connection id="570" name="20230417-20230418" type="4" refreshedVersion="0" background="1">
    <webPr xml="1" sourceData="1" url="Z:\Dosis pacientes\Alertas_Intervencionismo\SIEMENS_HEMODINAMICAS_ALERTIN\20230417-20230418.xml" htmlTables="1" htmlFormat="all"/>
  </connection>
  <connection id="571" name="20230418-20230419" type="4" refreshedVersion="0" background="1">
    <webPr xml="1" sourceData="1" url="Z:\Dosis pacientes\Alertas_Intervencionismo\SIEMENS_HEMODINAMICAS_ALERTIN\20230418-20230419.xml" htmlTables="1" htmlFormat="all"/>
  </connection>
  <connection id="572" name="20230419-20230420" type="4" refreshedVersion="0" background="1">
    <webPr xml="1" sourceData="1" url="Z:\Dosis pacientes\Alertas_Intervencionismo\SIEMENS_HEMODINAMICAS_ALERTIN\20230419-20230420.xml" htmlTables="1" htmlFormat="all"/>
  </connection>
  <connection id="573" name="20230423-20230425" type="4" refreshedVersion="0" background="1">
    <webPr xml="1" sourceData="1" url="Z:\Dosis pacientes\Alertas_Intervencionismo\SIEMENS_HEMODINAMICAS_ALERTIN\20230423-20230425.xml" htmlTables="1" htmlFormat="all"/>
  </connection>
  <connection id="574" name="20230423-202304251" type="4" refreshedVersion="0" background="1">
    <webPr xml="1" sourceData="1" url="Z:\Dosis pacientes\Alertas_Intervencionismo\SIEMENS_HEMODINAMICAS_ALERTIN\20230423-20230425.xml" htmlTables="1" htmlFormat="all"/>
  </connection>
  <connection id="575" name="20230428-20230429" type="4" refreshedVersion="0" background="1">
    <webPr xml="1" sourceData="1" url="Z:\Dosis pacientes\Alertas_Intervencionismo\SIEMENS_HEMODINAMICAS_ALERTIN\20230428-20230429.xml" htmlTables="1" htmlFormat="all"/>
  </connection>
  <connection id="576" name="20230428-202304291" type="4" refreshedVersion="0" background="1">
    <webPr xml="1" sourceData="1" url="Z:\Dosis pacientes\Alertas_Intervencionismo\SIEMENS_HEMODINAMICAS_ALERTIN\20230428-20230429.xml" htmlTables="1" htmlFormat="all"/>
  </connection>
  <connection id="577" name="20230429-20230504" type="4" refreshedVersion="0" background="1">
    <webPr xml="1" sourceData="1" url="Z:\Dosis pacientes\Alertas_Intervencionismo\SIEMENS_HEMODINAMICAS_ALERTIN\20230429-20230504.xml" htmlTables="1" htmlFormat="all"/>
  </connection>
  <connection id="578" name="20230429-202305041" type="4" refreshedVersion="0" background="1">
    <webPr xml="1" sourceData="1" url="Z:\Dosis pacientes\Alertas_Intervencionismo\SIEMENS_HEMODINAMICAS_ALERTIN\20230429-20230504.xml" htmlTables="1" htmlFormat="all"/>
  </connection>
  <connection id="579" name="20230429-202305042" type="4" refreshedVersion="0" background="1">
    <webPr xml="1" sourceData="1" url="Z:\Dosis pacientes\Alertas_Intervencionismo\SIEMENS_HEMODINAMICAS_ALERTIN\20230429-20230504.xml" htmlTables="1" htmlFormat="all"/>
  </connection>
  <connection id="580" name="20230429-202305043" type="4" refreshedVersion="0" background="1">
    <webPr xml="1" sourceData="1" url="Z:\Dosis pacientes\Alertas_Intervencionismo\SIEMENS_HEMODINAMICAS_ALERTIN\20230429-20230504.xml" htmlTables="1" htmlFormat="all"/>
  </connection>
  <connection id="581" name="20230504-20230510" type="4" refreshedVersion="0" background="1">
    <webPr xml="1" sourceData="1" url="Z:\Dosis pacientes\Alertas_Intervencionismo\SIEMENS_HEMODINAMICAS_ALERTIN\20230504-20230510.xml" htmlTables="1" htmlFormat="all"/>
  </connection>
  <connection id="582" name="20230510-20230511" type="4" refreshedVersion="0" background="1">
    <webPr xml="1" sourceData="1" url="Z:\Dosis pacientes\Alertas_Intervencionismo\SIEMENS_HEMODINAMICAS_ALERTIN\20230510-20230511.xml" htmlTables="1" htmlFormat="all"/>
  </connection>
  <connection id="583" name="20230514-20230515" type="4" refreshedVersion="0" background="1">
    <webPr xml="1" sourceData="1" url="Z:\Dosis pacientes\Alertas_Intervencionismo\SIEMENS_HEMODINAMICAS_ALERTIN\20230514-20230515.xml" htmlTables="1" htmlFormat="all"/>
  </connection>
  <connection id="584" name="20230514-202305151" type="4" refreshedVersion="0" background="1">
    <webPr xml="1" sourceData="1" url="Z:\Dosis pacientes\Alertas_Intervencionismo\SIEMENS_HEMODINAMICAS_ALERTIN\20230514-20230515.xml" htmlTables="1" htmlFormat="all"/>
  </connection>
  <connection id="585" name="20230514-202305152" type="4" refreshedVersion="0" background="1">
    <webPr xml="1" sourceData="1" url="Z:\Dosis pacientes\Alertas_Intervencionismo\SIEMENS_HEMODINAMICAS_ALERTIN\20230514-20230515.xml" htmlTables="1" htmlFormat="all"/>
  </connection>
  <connection id="586" name="20230519-20230520" type="4" refreshedVersion="0" background="1">
    <webPr xml="1" sourceData="1" url="Z:\Dosis pacientes\Alertas_Intervencionismo\SIEMENS_HEMODINAMICAS_ALERTIN\20230519-20230520.xml" htmlTables="1" htmlFormat="all"/>
  </connection>
  <connection id="587" name="20230528-20230529" type="4" refreshedVersion="0" background="1">
    <webPr xml="1" sourceData="1" url="Z:\Dosis pacientes\Alertas_Intervencionismo\SIEMENS_HEMODINAMICAS_ALERTIN\20230528-20230529.xml" htmlTables="1" htmlFormat="all"/>
  </connection>
  <connection id="588" name="20230529-20230530" type="4" refreshedVersion="0" background="1">
    <webPr xml="1" sourceData="1" url="Z:\Dosis pacientes\Alertas_Intervencionismo\SIEMENS_HEMODINAMICAS_ALERTIN\20230529-20230530.xml" htmlTables="1" htmlFormat="all"/>
  </connection>
  <connection id="589" name="20230530-20230531" type="4" refreshedVersion="0" background="1">
    <webPr xml="1" sourceData="1" url="Z:\Dosis pacientes\Alertas_Intervencionismo\SIEMENS_HEMODINAMICAS_ALERTIN\20230530-20230531.xml" htmlTables="1" htmlFormat="all"/>
  </connection>
  <connection id="590" name="20230531-20230602" type="4" refreshedVersion="0" background="1">
    <webPr xml="1" sourceData="1" url="Z:\Dosis pacientes\Alertas_Intervencionismo\SIEMENS_HEMODINAMICAS_ALERTIN\20230531-20230602.xml" htmlTables="1" htmlFormat="all"/>
  </connection>
  <connection id="591" name="20230531-202306021" type="4" refreshedVersion="0" background="1">
    <webPr xml="1" sourceData="1" url="Z:\Dosis pacientes\Alertas_Intervencionismo\SIEMENS_HEMODINAMICAS_ALERTIN\20230531-20230602.xml" htmlTables="1" htmlFormat="all"/>
  </connection>
  <connection id="592" name="20230602-20230605" type="4" refreshedVersion="0" background="1">
    <webPr xml="1" sourceData="1" url="Z:\Dosis pacientes\Alertas_Intervencionismo\SIEMENS_HEMODINAMICAS_ALERTIN\20230602-20230605.xml" htmlTables="1" htmlFormat="all"/>
  </connection>
  <connection id="593" name="20230602-202306051" type="4" refreshedVersion="0" background="1">
    <webPr xml="1" sourceData="1" url="Z:\Dosis pacientes\Alertas_Intervencionismo\SIEMENS_HEMODINAMICAS_ALERTIN\20230602-20230605.xml" htmlTables="1" htmlFormat="all"/>
  </connection>
  <connection id="594" name="20230602-202306052" type="4" refreshedVersion="0" background="1">
    <webPr xml="1" sourceData="1" url="Z:\Dosis pacientes\Alertas_Intervencionismo\SIEMENS_HEMODINAMICAS_ALERTIN\20230602-20230605.xml" htmlTables="1" htmlFormat="all"/>
  </connection>
  <connection id="595" name="20230607-20230607" type="4" refreshedVersion="0" background="1">
    <webPr xml="1" sourceData="1" url="Z:\Dosis pacientes\Alertas_Intervencionismo\SIEMENS_HEMODINAMICAS_ALERTIN\20230607-20230607.xml" htmlTables="1" htmlFormat="all"/>
  </connection>
  <connection id="596" name="20230607-20230608" type="4" refreshedVersion="0" background="1">
    <webPr xml="1" sourceData="1" url="Z:\Dosis pacientes\Alertas_Intervencionismo\SIEMENS_HEMODINAMICAS_ALERTIN\20230607-20230608.xml" htmlTables="1" htmlFormat="all"/>
  </connection>
  <connection id="597" name="20230608-20230609" type="4" refreshedVersion="0" background="1">
    <webPr xml="1" sourceData="1" url="Z:\Dosis pacientes\Alertas_Intervencionismo\SIEMENS_HEMODINAMICAS_ALERTIN\20230608-20230609.xml" htmlTables="1" htmlFormat="all"/>
  </connection>
  <connection id="598" name="20230608-202306091" type="4" refreshedVersion="0" background="1">
    <webPr xml="1" sourceData="1" url="Z:\Dosis pacientes\Alertas_Intervencionismo\SIEMENS_HEMODINAMICAS_ALERTIN\20230608-20230609.xml" htmlTables="1" htmlFormat="all"/>
  </connection>
  <connection id="599" name="20230608-202306092" type="4" refreshedVersion="0" background="1">
    <webPr xml="1" sourceData="1" url="Z:\Dosis pacientes\Alertas_Intervencionismo\SIEMENS_HEMODINAMICAS_ALERTIN\20230608-20230609.xml" htmlTables="1" htmlFormat="all"/>
  </connection>
  <connection id="600" name="20230609-20230612" type="4" refreshedVersion="0" background="1">
    <webPr xml="1" sourceData="1" url="Z:\Dosis pacientes\Alertas_Intervencionismo\SIEMENS_HEMODINAMICAS_ALERTIN\20230609-20230612.xml" htmlTables="1" htmlFormat="all"/>
  </connection>
  <connection id="601" name="20230609-202306121" type="4" refreshedVersion="0" background="1">
    <webPr xml="1" sourceData="1" url="Z:\Dosis pacientes\Alertas_Intervencionismo\SIEMENS_HEMODINAMICAS_ALERTIN\20230609-20230612.xml" htmlTables="1" htmlFormat="all"/>
  </connection>
  <connection id="602" name="20230609-202306122" type="4" refreshedVersion="0" background="1">
    <webPr xml="1" sourceData="1" url="Z:\Dosis pacientes\Alertas_Intervencionismo\SIEMENS_HEMODINAMICAS_ALERTIN\20230609-20230612.xml" htmlTables="1" htmlFormat="all"/>
  </connection>
  <connection id="603" name="20230612-20230614" type="4" refreshedVersion="0" background="1">
    <webPr xml="1" sourceData="1" url="Z:\Dosis pacientes\Alertas_Intervencionismo\SIEMENS_HEMODINAMICAS_ALERTIN\20230612-20230614.xml" htmlTables="1" htmlFormat="all"/>
  </connection>
  <connection id="604" name="20230612-202306141" type="4" refreshedVersion="0" background="1">
    <webPr xml="1" sourceData="1" url="Z:\Dosis pacientes\Alertas_Intervencionismo\SIEMENS_HEMODINAMICAS_ALERTIN\20230612-20230614.xml" htmlTables="1" htmlFormat="all"/>
  </connection>
  <connection id="605" name="20230614-20230616" type="4" refreshedVersion="0" background="1">
    <webPr xml="1" sourceData="1" url="Z:\Dosis pacientes\Alertas_Intervencionismo\SIEMENS_HEMODINAMICAS_ALERTIN\20230614-20230616.xml" htmlTables="1" htmlFormat="all"/>
  </connection>
  <connection id="606" name="20230614-202306161" type="4" refreshedVersion="0" background="1">
    <webPr xml="1" sourceData="1" url="Z:\Dosis pacientes\Alertas_Intervencionismo\SIEMENS_HEMODINAMICAS_ALERTIN\20230614-20230616.xml" htmlTables="1" htmlFormat="all"/>
  </connection>
  <connection id="607" name="20230614-202306162" type="4" refreshedVersion="0" background="1">
    <webPr xml="1" sourceData="1" url="Z:\Dosis pacientes\Alertas_Intervencionismo\SIEMENS_HEMODINAMICAS_ALERTIN\20230614-20230616.xml" htmlTables="1" htmlFormat="all"/>
  </connection>
  <connection id="608" name="20230619-20230620" type="4" refreshedVersion="0" background="1">
    <webPr xml="1" sourceData="1" url="Z:\Dosis pacientes\Alertas_Intervencionismo\SIEMENS_HEMODINAMICAS_ALERTIN\20230619-20230620.xml" htmlTables="1" htmlFormat="all"/>
  </connection>
  <connection id="609" name="20230619-202306201" type="4" refreshedVersion="0" background="1">
    <webPr xml="1" sourceData="1" url="Z:\Dosis pacientes\Alertas_Intervencionismo\SIEMENS_HEMODINAMICAS_ALERTIN\20230619-20230620.xml" htmlTables="1" htmlFormat="all"/>
  </connection>
  <connection id="610" name="20230619-202306202" type="4" refreshedVersion="0" background="1">
    <webPr xml="1" sourceData="1" url="Z:\Dosis pacientes\Alertas_Intervencionismo\SIEMENS_HEMODINAMICAS_ALERTIN\20230619-20230620.xml" htmlTables="1" htmlFormat="all"/>
  </connection>
  <connection id="611" name="20230620-20230622" type="4" refreshedVersion="0" background="1">
    <webPr xml="1" sourceData="1" url="Z:\Dosis pacientes\Alertas_Intervencionismo\SIEMENS_HEMODINAMICAS_ALERTIN\20230620-20230622.xml" htmlTables="1" htmlFormat="all"/>
  </connection>
  <connection id="612" name="20230622-20230623" type="4" refreshedVersion="0" background="1">
    <webPr xml="1" sourceData="1" url="Z:\Dosis pacientes\Alertas_Intervencionismo\SIEMENS_HEMODINAMICAS_ALERTIN\20230622-20230623.xml" htmlTables="1" htmlFormat="all"/>
  </connection>
  <connection id="613" name="20230622-202306231" type="4" refreshedVersion="0" background="1">
    <webPr xml="1" sourceData="1" url="Z:\Dosis pacientes\Alertas_Intervencionismo\SIEMENS_HEMODINAMICAS_ALERTIN\20230622-20230623.xml" htmlTables="1" htmlFormat="all"/>
  </connection>
  <connection id="614" name="20230627-20230628" type="4" refreshedVersion="0" background="1">
    <webPr xml="1" sourceData="1" url="Z:\Dosis pacientes\Alertas_Intervencionismo\SIEMENS_HEMODINAMICAS_ALERTIN\20230627-20230628.xml" htmlTables="1" htmlFormat="all"/>
  </connection>
  <connection id="615" name="20230627-202306281" type="4" refreshedVersion="0" background="1">
    <webPr xml="1" sourceData="1" url="Z:\Dosis pacientes\Alertas_Intervencionismo\SIEMENS_HEMODINAMICAS_ALERTIN\20230627-20230628.xml" htmlTables="1" htmlFormat="all"/>
  </connection>
  <connection id="616" name="20230627-202306282" type="4" refreshedVersion="0" background="1">
    <webPr xml="1" sourceData="1" url="Z:\Dosis pacientes\Alertas_Intervencionismo\SIEMENS_HEMODINAMICAS_ALERTIN\20230627-20230628.xml" htmlTables="1" htmlFormat="all"/>
  </connection>
  <connection id="617" name="20230628-20230703" type="4" refreshedVersion="0" background="1">
    <webPr xml="1" sourceData="1" url="Z:\Dosis pacientes\Alertas_Intervencionismo\SIEMENS_HEMODINAMICAS_ALERTIN\20230628-20230703.xml" htmlTables="1" htmlFormat="all"/>
  </connection>
  <connection id="618" name="20230703-20230704" type="4" refreshedVersion="0" background="1">
    <webPr xml="1" sourceData="1" url="Z:\Dosis pacientes\Alertas_Intervencionismo\SIEMENS_HEMODINAMICAS_ALERTIN\20230703-20230704.xml" htmlTables="1" htmlFormat="all"/>
  </connection>
  <connection id="619" name="20230703-202307041" type="4" refreshedVersion="0" background="1">
    <webPr xml="1" sourceData="1" url="Z:\Dosis pacientes\Alertas_Intervencionismo\SIEMENS_HEMODINAMICAS_ALERTIN\20230703-20230704.xml" htmlTables="1" htmlFormat="all"/>
  </connection>
  <connection id="620" name="20230703-202307042" type="4" refreshedVersion="0" background="1">
    <webPr xml="1" sourceData="1" url="Z:\Dosis pacientes\Alertas_Intervencionismo\SIEMENS_HEMODINAMICAS_ALERTIN\20230703-20230704.xml" htmlTables="1" htmlFormat="all"/>
  </connection>
  <connection id="621" name="20230704-20230707" type="4" refreshedVersion="0" background="1">
    <webPr xml="1" sourceData="1" url="Z:\Dosis pacientes\Alertas_Intervencionismo\SIEMENS_HEMODINAMICAS_ALERTIN\20230704-20230707.xml" htmlTables="1" htmlFormat="all"/>
  </connection>
  <connection id="622" name="20230704-202307071" type="4" refreshedVersion="0" background="1">
    <webPr xml="1" sourceData="1" url="Z:\Dosis pacientes\Alertas_Intervencionismo\SIEMENS_HEMODINAMICAS_ALERTIN\20230704-20230707.xml" htmlTables="1" htmlFormat="all"/>
  </connection>
  <connection id="623" name="20230704-202307072" type="4" refreshedVersion="0" background="1">
    <webPr xml="1" sourceData="1" url="Z:\Dosis pacientes\Alertas_Intervencionismo\SIEMENS_HEMODINAMICAS_ALERTIN\20230704-20230707.xml" htmlTables="1" htmlFormat="all"/>
  </connection>
  <connection id="624" name="20230707-20230710" type="4" refreshedVersion="0" background="1">
    <webPr xml="1" sourceData="1" url="Z:\Dosis pacientes\Alertas_Intervencionismo\SIEMENS_HEMODINAMICAS_ALERTIN\20230707-20230710.xml" htmlTables="1" htmlFormat="all"/>
  </connection>
  <connection id="625" name="20230707-202307101" type="4" refreshedVersion="0" background="1">
    <webPr xml="1" sourceData="1" url="Z:\Dosis pacientes\Alertas_Intervencionismo\SIEMENS_HEMODINAMICAS_ALERTIN\20230707-20230710.xml" htmlTables="1" htmlFormat="all"/>
  </connection>
  <connection id="626" name="20230707-202307102" type="4" refreshedVersion="0" background="1">
    <webPr xml="1" sourceData="1" url="Z:\Dosis pacientes\Alertas_Intervencionismo\SIEMENS_HEMODINAMICAS_ALERTIN\20230707-20230710.xml" htmlTables="1" htmlFormat="all"/>
  </connection>
  <connection id="627" name="20230707-202307103" type="4" refreshedVersion="0" background="1">
    <webPr xml="1" sourceData="1" url="Z:\Dosis pacientes\Alertas_Intervencionismo\SIEMENS_HEMODINAMICAS_ALERTIN\20230707-20230710.xml" htmlTables="1" htmlFormat="all"/>
  </connection>
  <connection id="628" name="20230707-202307104" type="4" refreshedVersion="0" background="1">
    <webPr xml="1" sourceData="1" url="Z:\Dosis pacientes\Alertas_Intervencionismo\SIEMENS_HEMODINAMICAS_ALERTIN\20230707-20230710.xml" htmlTables="1" htmlFormat="all"/>
  </connection>
  <connection id="629" name="20230707-202307105" type="4" refreshedVersion="0" background="1">
    <webPr xml="1" sourceData="1" url="Z:\Dosis pacientes\Alertas_Intervencionismo\SIEMENS_HEMODINAMICAS_ALERTIN\20230707-20230710.xml" htmlTables="1" htmlFormat="all"/>
  </connection>
  <connection id="630" name="20230707-202307106" type="4" refreshedVersion="0" background="1">
    <webPr xml="1" sourceData="1" url="Z:\Dosis pacientes\Alertas_Intervencionismo\SIEMENS_HEMODINAMICAS_ALERTIN\20230707-20230710.xml" htmlTables="1" htmlFormat="all"/>
  </connection>
  <connection id="631" name="20230710-20230717" type="4" refreshedVersion="0" background="1">
    <webPr xml="1" sourceData="1" url="Z:\Dosis pacientes\Alertas_Intervencionismo\SIEMENS_HEMODINAMICAS_ALERTIN\20230710-20230717.xml" htmlTables="1" htmlFormat="all"/>
  </connection>
  <connection id="632" name="20230717-20230718" type="4" refreshedVersion="0" background="1">
    <webPr xml="1" sourceData="1" url="Z:\Dosis pacientes\Alertas_Intervencionismo\SIEMENS_HEMODINAMICAS_ALERTIN\20230717-20230718.xml" htmlTables="1" htmlFormat="all"/>
  </connection>
  <connection id="633" name="20230719-20230720" type="4" refreshedVersion="0" background="1">
    <webPr xml="1" sourceData="1" url="Z:\Dosis pacientes\Alertas_Intervencionismo\SIEMENS_HEMODINAMICAS_ALERTIN\20230719-20230720.xml" htmlTables="1" htmlFormat="all"/>
  </connection>
  <connection id="634" name="20230719-202307201" type="4" refreshedVersion="0" background="1">
    <webPr xml="1" sourceData="1" url="Z:\Dosis pacientes\Alertas_Intervencionismo\SIEMENS_HEMODINAMICAS_ALERTIN\20230719-20230720.xml" htmlTables="1" htmlFormat="all"/>
  </connection>
  <connection id="635" name="20230719-202307202" type="4" refreshedVersion="0" background="1">
    <webPr xml="1" sourceData="1" url="Z:\Dosis pacientes\Alertas_Intervencionismo\SIEMENS_HEMODINAMICAS_ALERTIN\20230719-20230720.xml" htmlTables="1" htmlFormat="all"/>
  </connection>
  <connection id="636" name="20230719-202307203" type="4" refreshedVersion="0" background="1">
    <webPr xml="1" sourceData="1" url="Z:\Dosis pacientes\Alertas_Intervencionismo\SIEMENS_HEMODINAMICAS_ALERTIN\20230719-20230720.xml" htmlTables="1" htmlFormat="all"/>
  </connection>
  <connection id="637" name="20230720-20230724" type="4" refreshedVersion="0" background="1">
    <webPr xml="1" sourceData="1" url="Z:\Dosis pacientes\Alertas_Intervencionismo\SIEMENS_HEMODINAMICAS_ALERTIN\20230720-20230724.xml" htmlTables="1" htmlFormat="all"/>
  </connection>
  <connection id="638" name="20230720-202307241" type="4" refreshedVersion="0" background="1">
    <webPr xml="1" sourceData="1" url="Z:\Dosis pacientes\Alertas_Intervencionismo\SIEMENS_HEMODINAMICAS_ALERTIN\20230720-20230724.xml" htmlTables="1" htmlFormat="all"/>
  </connection>
  <connection id="639" name="20230724-20230726" type="4" refreshedVersion="0" background="1">
    <webPr xml="1" sourceData="1" url="Z:\Dosis pacientes\Alertas_Intervencionismo\SIEMENS_HEMODINAMICAS_ALERTIN\20230724-20230726.xml" htmlTables="1" htmlFormat="all"/>
  </connection>
  <connection id="640" name="20230724-202307261" type="4" refreshedVersion="0" background="1">
    <webPr xml="1" sourceData="1" url="Z:\Dosis pacientes\Alertas_Intervencionismo\SIEMENS_HEMODINAMICAS_ALERTIN\20230724-20230726.xml" htmlTables="1" htmlFormat="all"/>
  </connection>
  <connection id="641" name="20230724-202307262" type="4" refreshedVersion="0" background="1">
    <webPr xml="1" sourceData="1" url="Z:\Dosis pacientes\Alertas_Intervencionismo\SIEMENS_HEMODINAMICAS_ALERTIN\20230724-20230726.xml" htmlTables="1" htmlFormat="all"/>
  </connection>
  <connection id="642" name="20230724-202307263" type="4" refreshedVersion="0" background="1">
    <webPr xml="1" sourceData="1" url="Z:\Dosis pacientes\Alertas_Intervencionismo\SIEMENS_HEMODINAMICAS_ALERTIN\20230724-20230726.xml" htmlTables="1" htmlFormat="all"/>
  </connection>
  <connection id="643" name="20230726-20230730" type="4" refreshedVersion="0" background="1">
    <webPr xml="1" sourceData="1" url="Z:\Dosis pacientes\Alertas_Intervencionismo\SIEMENS_HEMODINAMICAS_ALERTIN\20230726-20230730.xml" htmlTables="1" htmlFormat="all"/>
  </connection>
  <connection id="644" name="20230731-20230801" type="4" refreshedVersion="0" background="1">
    <webPr xml="1" sourceData="1" url="Z:\Dosis pacientes\Alertas_Intervencionismo\SIEMENS_HEMODINAMICAS_ALERTIN\20230731-20230801.xml" htmlTables="1" htmlFormat="all"/>
  </connection>
  <connection id="645" name="20230801-20230802" type="4" refreshedVersion="0" background="1">
    <webPr xml="1" sourceData="1" url="Z:\Dosis pacientes\Alertas_Intervencionismo\SIEMENS_HEMODINAMICAS_ALERTIN\20230801-20230802.xml" htmlTables="1" htmlFormat="all"/>
  </connection>
  <connection id="646" name="20230801-202308021" type="4" refreshedVersion="0" background="1">
    <webPr xml="1" sourceData="1" url="Z:\Dosis pacientes\Alertas_Intervencionismo\SIEMENS_HEMODINAMICAS_ALERTIN\20230801-20230802.xml" htmlTables="1" htmlFormat="all"/>
  </connection>
  <connection id="647" name="20230802-20230804" type="4" refreshedVersion="0" background="1">
    <webPr xml="1" sourceData="1" url="Z:\Dosis pacientes\Alertas_Intervencionismo\SIEMENS_HEMODINAMICAS_ALERTIN\20230802-20230804.xml" htmlTables="1" htmlFormat="all"/>
  </connection>
  <connection id="648" name="20230802-202308041" type="4" refreshedVersion="0" background="1">
    <webPr xml="1" sourceData="1" url="Z:\Dosis pacientes\Alertas_Intervencionismo\SIEMENS_HEMODINAMICAS_ALERTIN\20230802-20230804.xml" htmlTables="1" htmlFormat="all"/>
  </connection>
  <connection id="649" name="20230802-202308042" type="4" refreshedVersion="0" background="1">
    <webPr xml="1" sourceData="1" url="Z:\Dosis pacientes\Alertas_Intervencionismo\SIEMENS_HEMODINAMICAS_ALERTIN\20230802-20230804.xml" htmlTables="1" htmlFormat="all"/>
  </connection>
  <connection id="650" name="20230804-20230807" type="4" refreshedVersion="0" background="1">
    <webPr xml="1" sourceData="1" url="Z:\Dosis pacientes\Alertas_Intervencionismo\SIEMENS_HEMODINAMICAS_ALERTIN\20230804-20230807.xml" htmlTables="1" htmlFormat="all"/>
  </connection>
  <connection id="651" name="20230807-20230808" type="4" refreshedVersion="0" background="1">
    <webPr xml="1" sourceData="1" url="Z:\Dosis pacientes\Alertas_Intervencionismo\SIEMENS_HEMODINAMICAS_ALERTIN\20230807-20230808.xml" htmlTables="1" htmlFormat="all"/>
  </connection>
  <connection id="652" name="20230807-202308081" type="4" refreshedVersion="0" background="1">
    <webPr xml="1" sourceData="1" url="Z:\Dosis pacientes\Alertas_Intervencionismo\SIEMENS_HEMODINAMICAS_ALERTIN\20230807-20230808.xml" htmlTables="1" htmlFormat="all"/>
  </connection>
  <connection id="653" name="20230808-20230810" type="4" refreshedVersion="0" background="1">
    <webPr xml="1" sourceData="1" url="Z:\Dosis pacientes\Alertas_Intervencionismo\SIEMENS_HEMODINAMICAS_ALERTIN\20230808-20230810.xml" htmlTables="1" htmlFormat="all"/>
  </connection>
  <connection id="654" name="20230810-20230811" type="4" refreshedVersion="0" background="1">
    <webPr xml="1" sourceData="1" url="Z:\Dosis pacientes\Alertas_Intervencionismo\SIEMENS_HEMODINAMICAS_ALERTIN\20230810-20230811.xml" htmlTables="1" htmlFormat="all"/>
  </connection>
  <connection id="655" name="20230810-202308111" type="4" refreshedVersion="0" background="1">
    <webPr xml="1" sourceData="1" url="Z:\Dosis pacientes\Alertas_Intervencionismo\SIEMENS_HEMODINAMICAS_ALERTIN\20230810-20230811.xml" htmlTables="1" htmlFormat="all"/>
  </connection>
  <connection id="656" name="20230810-202308112" type="4" refreshedVersion="0" background="1">
    <webPr xml="1" sourceData="1" url="Z:\Dosis pacientes\Alertas_Intervencionismo\SIEMENS_HEMODINAMICAS_ALERTIN\20230810-20230811.xml" htmlTables="1" htmlFormat="all"/>
  </connection>
  <connection id="657" name="20230811-20230814" type="4" refreshedVersion="0" background="1">
    <webPr xml="1" sourceData="1" url="Z:\Dosis pacientes\Alertas_Intervencionismo\SIEMENS_HEMODINAMICAS_ALERTIN\20230811-20230814.xml" htmlTables="1" htmlFormat="all"/>
  </connection>
  <connection id="658" name="20230811-202308141" type="4" refreshedVersion="0" background="1">
    <webPr xml="1" sourceData="1" url="Z:\Dosis pacientes\Alertas_Intervencionismo\SIEMENS_HEMODINAMICAS_ALERTIN\20230811-20230814.xml" htmlTables="1" htmlFormat="all"/>
  </connection>
  <connection id="659" name="20230811-202308142" type="4" refreshedVersion="0" background="1">
    <webPr xml="1" sourceData="1" url="Z:\Dosis pacientes\Alertas_Intervencionismo\SIEMENS_HEMODINAMICAS_ALERTIN\20230811-20230814.xml" htmlTables="1" htmlFormat="all"/>
  </connection>
  <connection id="660" name="20230811-202308143" type="4" refreshedVersion="0" background="1">
    <webPr xml="1" sourceData="1" url="Z:\Dosis pacientes\Alertas_Intervencionismo\SIEMENS_HEMODINAMICAS_ALERTIN\20230811-20230814.xml" htmlTables="1" htmlFormat="all"/>
  </connection>
  <connection id="661" name="20230814-20230823" type="4" refreshedVersion="0" background="1">
    <webPr xml="1" sourceData="1" url="Z:\Dosis pacientes\Alertas_Intervencionismo\SIEMENS_HEMODINAMICAS_ALERTIN\20230814-20230823.xml" htmlTables="1" htmlFormat="all"/>
  </connection>
  <connection id="662" name="20230814-202308231" type="4" refreshedVersion="0" background="1">
    <webPr xml="1" sourceData="1" url="Z:\Dosis pacientes\Alertas_Intervencionismo\SIEMENS_HEMODINAMICAS_ALERTIN\20230814-20230823.xml" htmlTables="1" htmlFormat="all"/>
  </connection>
  <connection id="663" name="20230814-202308232" type="4" refreshedVersion="0" background="1">
    <webPr xml="1" sourceData="1" url="Z:\Dosis pacientes\Alertas_Intervencionismo\SIEMENS_HEMODINAMICAS_ALERTIN\20230814-20230823.xml" htmlTables="1" htmlFormat="all"/>
  </connection>
  <connection id="664" name="20230814-202308233" type="4" refreshedVersion="0" background="1">
    <webPr xml="1" sourceData="1" url="Z:\Dosis pacientes\Alertas_Intervencionismo\SIEMENS_HEMODINAMICAS_ALERTIN\20230814-20230823.xml" htmlTables="1" htmlFormat="all"/>
  </connection>
  <connection id="665" name="20230823-20230828" type="4" refreshedVersion="0" background="1">
    <webPr xml="1" sourceData="1" url="Z:\Dosis pacientes\Alertas_Intervencionismo\SIEMENS_HEMODINAMICAS_ALERTIN\20230823-20230828.xml" htmlTables="1" htmlFormat="all"/>
  </connection>
  <connection id="666" name="20230823-202308281" type="4" refreshedVersion="0" background="1">
    <webPr xml="1" sourceData="1" url="Z:\Dosis pacientes\Alertas_Intervencionismo\SIEMENS_HEMODINAMICAS_ALERTIN\20230823-20230828.xml" htmlTables="1" htmlFormat="all"/>
  </connection>
  <connection id="667" name="20230828-20230829" type="4" refreshedVersion="0" background="1">
    <webPr xml="1" sourceData="1" url="Z:\Dosis pacientes\Alertas_Intervencionismo\SIEMENS_HEMODINAMICAS_ALERTIN\20230828-20230829.xml" htmlTables="1" htmlFormat="all"/>
  </connection>
  <connection id="668" name="20230828-202308291" type="4" refreshedVersion="0" background="1">
    <webPr xml="1" sourceData="1" url="Z:\Dosis pacientes\Alertas_Intervencionismo\SIEMENS_HEMODINAMICAS_ALERTIN\20230828-20230829.xml" htmlTables="1" htmlFormat="all"/>
  </connection>
  <connection id="669" name="20230829-20230831" type="4" refreshedVersion="0" background="1">
    <webPr xml="1" sourceData="1" url="Z:\Dosis pacientes\Alertas_Intervencionismo\SIEMENS_HEMODINAMICAS_ALERTIN\20230829-20230831.xml" htmlTables="1" htmlFormat="all"/>
  </connection>
  <connection id="670" name="20230901-20230901" type="4" refreshedVersion="0" background="1">
    <webPr xml="1" sourceData="1" url="Z:\Dosis pacientes\Alertas_Intervencionismo\SIEMENS_HEMODINAMICAS_ALERTIN\20230901-20230901.xml" htmlTables="1" htmlFormat="all"/>
  </connection>
  <connection id="671" name="20230901-202309011" type="4" refreshedVersion="0" background="1">
    <webPr xml="1" sourceData="1" url="Z:\Dosis pacientes\Alertas_Intervencionismo\SIEMENS_HEMODINAMICAS_ALERTIN\20230901-20230901.xml" htmlTables="1" htmlFormat="all"/>
  </connection>
  <connection id="672" name="20230901-202309012" type="4" refreshedVersion="0" background="1">
    <webPr xml="1" sourceData="1" url="Z:\Dosis pacientes\Alertas_Intervencionismo\SIEMENS_HEMODINAMICAS_ALERTIN\20230901-20230901.xml" htmlTables="1" htmlFormat="all"/>
  </connection>
  <connection id="673" name="20230901-20230904" type="4" refreshedVersion="0" background="1">
    <webPr xml="1" sourceData="1" url="Z:\Dosis pacientes\Alertas_Intervencionismo\SIEMENS_HEMODINAMICAS_ALERTIN\20230901-20230904.xml" htmlTables="1" htmlFormat="all"/>
  </connection>
  <connection id="674" name="20230904-20230905" type="4" refreshedVersion="0" background="1">
    <webPr xml="1" sourceData="1" url="Z:\Dosis pacientes\Alertas_Intervencionismo\SIEMENS_HEMODINAMICAS_ALERTIN\20230904-20230905.xml" htmlTables="1" htmlFormat="all"/>
  </connection>
  <connection id="675" name="20230904-202309051" type="4" refreshedVersion="0" background="1">
    <webPr xml="1" sourceData="1" url="Z:\Dosis pacientes\Alertas_Intervencionismo\SIEMENS_HEMODINAMICAS_ALERTIN\20230904-20230905.xml" htmlTables="1" htmlFormat="all"/>
  </connection>
  <connection id="676" name="20230905-20230907" type="4" refreshedVersion="0" background="1">
    <webPr xml="1" sourceData="1" url="Z:\Dosis pacientes\Alertas_Intervencionismo\SIEMENS_HEMODINAMICAS_ALERTIN\20230905-20230907.xml" htmlTables="1" htmlFormat="all"/>
  </connection>
  <connection id="677" name="20230905-202309071" type="4" refreshedVersion="0" background="1">
    <webPr xml="1" sourceData="1" url="Z:\Dosis pacientes\Alertas_Intervencionismo\SIEMENS_HEMODINAMICAS_ALERTIN\20230905-20230907.xml" htmlTables="1" htmlFormat="all"/>
  </connection>
  <connection id="678" name="20230905-202309072" type="4" refreshedVersion="0" background="1">
    <webPr xml="1" sourceData="1" url="Z:\Dosis pacientes\Alertas_Intervencionismo\SIEMENS_HEMODINAMICAS_ALERTIN\20230905-20230907.xml" htmlTables="1" htmlFormat="all"/>
  </connection>
  <connection id="679" name="20230907-20230911" type="4" refreshedVersion="0" background="1">
    <webPr xml="1" sourceData="1" url="Z:\Dosis pacientes\Alertas_Intervencionismo\SIEMENS_HEMODINAMICAS_ALERTIN\20230907-20230911.xml" htmlTables="1" htmlFormat="all"/>
  </connection>
  <connection id="680" name="20230907-202309111" type="4" refreshedVersion="0" background="1">
    <webPr xml="1" sourceData="1" url="Z:\Dosis pacientes\Alertas_Intervencionismo\SIEMENS_HEMODINAMICAS_ALERTIN\20230907-20230911.xml" htmlTables="1" htmlFormat="all"/>
  </connection>
  <connection id="681" name="20230911-20230913" type="4" refreshedVersion="0" background="1">
    <webPr xml="1" sourceData="1" url="Z:\Dosis pacientes\Alertas_Intervencionismo\SIEMENS_HEMODINAMICAS_ALERTIN\20230911-20230913.xml" htmlTables="1" htmlFormat="all"/>
  </connection>
  <connection id="682" name="20230914-20230915" type="4" refreshedVersion="0" background="1">
    <webPr xml="1" sourceData="1" url="Z:\Dosis pacientes\Alertas_Intervencionismo\SIEMENS_HEMODINAMICAS_ALERTIN\20230914-20230915.xml" htmlTables="1" htmlFormat="all"/>
  </connection>
  <connection id="683" name="20230918-20230919" type="4" refreshedVersion="0" background="1">
    <webPr xml="1" sourceData="1" url="Z:\Dosis pacientes\Alertas_Intervencionismo\SIEMENS_HEMODINAMICAS_ALERTIN\20230918-20230919.xml" htmlTables="1" htmlFormat="all"/>
  </connection>
  <connection id="684" name="20230919-20230920" type="4" refreshedVersion="0" background="1">
    <webPr xml="1" sourceData="1" url="Z:\Dosis pacientes\Alertas_Intervencionismo\SIEMENS_HEMODINAMICAS_ALERTIN\20230919-20230920.xml" htmlTables="1" htmlFormat="all"/>
  </connection>
  <connection id="685" name="20230920-20230921" type="4" refreshedVersion="0" background="1">
    <webPr xml="1" sourceData="1" url="Z:\Dosis pacientes\Alertas_Intervencionismo\SIEMENS_HEMODINAMICAS_ALERTIN\20230920-20230921.xml" htmlTables="1" htmlFormat="all"/>
  </connection>
  <connection id="686" name="20230922-20230927" type="4" refreshedVersion="0" background="1">
    <webPr xml="1" sourceData="1" url="Z:\Dosis pacientes\Alertas_Intervencionismo\SIEMENS_HEMODINAMICAS_ALERTIN\20230922-20230927.xml" htmlTables="1" htmlFormat="all"/>
  </connection>
  <connection id="687" name="20230927-20230928" type="4" refreshedVersion="0" background="1">
    <webPr xml="1" sourceData="1" url="Z:\Dosis pacientes\Alertas_Intervencionismo\SIEMENS_HEMODINAMICAS_ALERTIN\20230927-20230928.xml" htmlTables="1" htmlFormat="all"/>
  </connection>
  <connection id="688" name="20230927-202309281" type="4" refreshedVersion="0" background="1">
    <webPr xml="1" sourceData="1" url="Z:\Dosis pacientes\Alertas_Intervencionismo\SIEMENS_HEMODINAMICAS_ALERTIN\20230927-20230928.xml" htmlTables="1" htmlFormat="all"/>
  </connection>
  <connection id="689" name="20230927-202309282" type="4" refreshedVersion="0" background="1">
    <webPr xml="1" sourceData="1" url="Z:\Dosis pacientes\Alertas_Intervencionismo\SIEMENS_HEMODINAMICAS_ALERTIN\20230927-20230928.xml" htmlTables="1" htmlFormat="all"/>
  </connection>
  <connection id="690" name="20230928-20231002" type="4" refreshedVersion="0" background="1">
    <webPr xml="1" sourceData="1" url="Z:\Dosis pacientes\Alertas_Intervencionismo\SIEMENS_HEMODINAMICAS_ALERTIN\20230928-20231002.xml" htmlTables="1" htmlFormat="all"/>
  </connection>
  <connection id="691" name="20231002-20231003" type="4" refreshedVersion="0" background="1">
    <webPr xml="1" sourceData="1" url="Z:\Dosis pacientes\Alertas_Intervencionismo\SIEMENS_HEMODINAMICAS_ALERTIN\20231002-20231003.xml" htmlTables="1" htmlFormat="all"/>
  </connection>
  <connection id="692" name="20231003-20231004" type="4" refreshedVersion="0" background="1">
    <webPr xml="1" sourceData="1" url="Z:\Dosis pacientes\Alertas_Intervencionismo\SIEMENS_HEMODINAMICAS_ALERTIN\20231003-20231004.xml" htmlTables="1" htmlFormat="all"/>
  </connection>
  <connection id="693" name="20231004-20231005" type="4" refreshedVersion="0" background="1">
    <webPr xml="1" sourceData="1" url="Z:\Dosis pacientes\Alertas_Intervencionismo\SIEMENS_HEMODINAMICAS_ALERTIN\20231004-20231005.xml" htmlTables="1" htmlFormat="all"/>
  </connection>
  <connection id="694" name="20231004-202310051" type="4" refreshedVersion="0" background="1">
    <webPr xml="1" sourceData="1" url="Z:\Dosis pacientes\Alertas_Intervencionismo\SIEMENS_HEMODINAMICAS_ALERTIN\20231004-20231005.xml" htmlTables="1" htmlFormat="all"/>
  </connection>
  <connection id="695" name="20231004-202310052" type="4" refreshedVersion="0" background="1">
    <webPr xml="1" sourceData="1" url="Z:\Dosis pacientes\Alertas_Intervencionismo\SIEMENS_HEMODINAMICAS_ALERTIN\20231004-20231005.xml" htmlTables="1" htmlFormat="all"/>
  </connection>
  <connection id="696" name="20231004-202310053" type="4" refreshedVersion="0" background="1">
    <webPr xml="1" sourceData="1" url="Z:\Dosis pacientes\Alertas_Intervencionismo\SIEMENS_HEMODINAMICAS_ALERTIN\20231004-20231005.xml" htmlTables="1" htmlFormat="all"/>
  </connection>
  <connection id="697" name="20231005-20231010" type="4" refreshedVersion="0" background="1">
    <webPr xml="1" sourceData="1" url="Z:\Dosis pacientes\Alertas_Intervencionismo\SIEMENS_HEMODINAMICAS_ALERTIN\20231005-20231010.xml" htmlTables="1" htmlFormat="all"/>
  </connection>
  <connection id="698" name="20231010-20231011" type="4" refreshedVersion="0" background="1">
    <webPr xml="1" sourceData="1" url="Z:\Dosis pacientes\Alertas_Intervencionismo\SIEMENS_HEMODINAMICAS_ALERTIN\20231010-20231011.xml" htmlTables="1" htmlFormat="all"/>
  </connection>
  <connection id="699" name="20231010-202310111" type="4" refreshedVersion="0" background="1">
    <webPr xml="1" sourceData="1" url="Z:\Dosis pacientes\Alertas_Intervencionismo\SIEMENS_HEMODINAMICAS_ALERTIN\20231010-20231011.xml" htmlTables="1" htmlFormat="all"/>
  </connection>
  <connection id="700" name="20231011-20231013" type="4" refreshedVersion="0" background="1">
    <webPr xml="1" sourceData="1" url="Z:\Dosis pacientes\Alertas_Intervencionismo\SIEMENS_HEMODINAMICAS_ALERTIN\20231011-20231013.xml" htmlTables="1" htmlFormat="all"/>
  </connection>
  <connection id="701" name="20231013-20231016" type="4" refreshedVersion="0" background="1">
    <webPr xml="1" sourceData="1" url="Z:\Dosis pacientes\Alertas_Intervencionismo\SIEMENS_HEMODINAMICAS_ALERTIN\20231013-20231016.xml" htmlTables="1" htmlFormat="all"/>
  </connection>
  <connection id="702" name="20231016-20231017" type="4" refreshedVersion="0" background="1">
    <webPr xml="1" sourceData="1" url="Z:\Dosis pacientes\Alertas_Intervencionismo\SIEMENS_HEMODINAMICAS_ALERTIN\20231016-20231017.xml" htmlTables="1" htmlFormat="all"/>
  </connection>
  <connection id="703" name="20231017-20231018" type="4" refreshedVersion="0" background="1">
    <webPr xml="1" sourceData="1" url="Z:\Dosis pacientes\Alertas_Intervencionismo\SIEMENS_HEMODINAMICAS_ALERTIN\20231017-20231018.xml" htmlTables="1" htmlFormat="all"/>
  </connection>
  <connection id="704" name="20231017-202310181" type="4" refreshedVersion="0" background="1">
    <webPr xml="1" sourceData="1" url="Z:\Dosis pacientes\Alertas_Intervencionismo\SIEMENS_HEMODINAMICAS_ALERTIN\20231017-20231018.xml" htmlTables="1" htmlFormat="all"/>
  </connection>
  <connection id="705" name="20231017-202310182" type="4" refreshedVersion="0" background="1">
    <webPr xml="1" sourceData="1" url="Z:\Dosis pacientes\Alertas_Intervencionismo\SIEMENS_HEMODINAMICAS_ALERTIN\20231017-20231018.xml" htmlTables="1" htmlFormat="all"/>
  </connection>
  <connection id="706" name="20231017-202310183" type="4" refreshedVersion="0" background="1">
    <webPr xml="1" sourceData="1" url="Z:\Dosis pacientes\Alertas_Intervencionismo\SIEMENS_HEMODINAMICAS_ALERTIN\20231017-20231018.xml" htmlTables="1" htmlFormat="all"/>
  </connection>
  <connection id="707" name="20231017-202310184" type="4" refreshedVersion="0" background="1">
    <webPr xml="1" sourceData="1" url="Z:\Dosis pacientes\Alertas_Intervencionismo\SIEMENS_HEMODINAMICAS_ALERTIN\20231017-20231018.xml" htmlTables="1" htmlFormat="all"/>
  </connection>
  <connection id="708" name="20231018-20231024" type="4" refreshedVersion="0" background="1">
    <webPr xml="1" sourceData="1" url="Z:\Dosis pacientes\Alertas_Intervencionismo\SIEMENS_HEMODINAMICAS_ALERTIN\20231018-20231024.xml" htmlTables="1" htmlFormat="all"/>
  </connection>
  <connection id="709" name="20231018-202310241" type="4" refreshedVersion="0" background="1">
    <webPr xml="1" sourceData="1" url="Z:\Dosis pacientes\Alertas_Intervencionismo\SIEMENS_HEMODINAMICAS_ALERTIN\20231018-20231024.xml" htmlTables="1" htmlFormat="all"/>
  </connection>
  <connection id="710" name="20231018-202310242" type="4" refreshedVersion="0" background="1">
    <webPr xml="1" sourceData="1" url="Z:\Dosis pacientes\Alertas_Intervencionismo\SIEMENS_HEMODINAMICAS_ALERTIN\20231018-20231024.xml" htmlTables="1" htmlFormat="all"/>
  </connection>
  <connection id="711" name="20231024-20231027" type="4" refreshedVersion="0" background="1">
    <webPr xml="1" sourceData="1" url="Z:\Dosis pacientes\Alertas_Intervencionismo\SIEMENS_HEMODINAMICAS_ALERTIN\20231024-20231027.xml" htmlTables="1" htmlFormat="all"/>
  </connection>
  <connection id="712" name="20231027-20231030" type="4" refreshedVersion="0" background="1">
    <webPr xml="1" sourceData="1" url="Z:\Dosis pacientes\Alertas_Intervencionismo\SIEMENS_HEMODINAMICAS_ALERTIN\20231027-20231030.xml" htmlTables="1" htmlFormat="all"/>
  </connection>
  <connection id="713" name="20231027-202310301" type="4" refreshedVersion="0" background="1">
    <webPr xml="1" sourceData="1" url="Z:\Dosis pacientes\Alertas_Intervencionismo\SIEMENS_HEMODINAMICAS_ALERTIN\20231027-20231030.xml" htmlTables="1" htmlFormat="all"/>
  </connection>
  <connection id="714" name="20231030-20231101" type="4" refreshedVersion="0" background="1">
    <webPr xml="1" sourceData="1" url="Z:\Dosis pacientes\Alertas_Intervencionismo\SIEMENS_HEMODINAMICAS_ALERTIN\20231030-20231101.xml" htmlTables="1" htmlFormat="all"/>
  </connection>
  <connection id="715" name="20231101-20231102" type="4" refreshedVersion="0" background="1">
    <webPr xml="1" sourceData="1" url="Z:\Dosis pacientes\Alertas_Intervencionismo\SIEMENS_HEMODINAMICAS_ALERTIN\20231101-20231102.xml" htmlTables="1" htmlFormat="all"/>
  </connection>
  <connection id="716" name="20231102-20231103" type="4" refreshedVersion="0" background="1">
    <webPr xml="1" sourceData="1" url="Z:\Dosis pacientes\Alertas_Intervencionismo\SIEMENS_HEMODINAMICAS_ALERTIN\20231102-20231103.xml" htmlTables="1" htmlFormat="all"/>
  </connection>
  <connection id="717" name="20231106-20231109" type="4" refreshedVersion="0" background="1">
    <webPr xml="1" sourceData="1" url="Z:\Dosis pacientes\Alertas_Intervencionismo\SIEMENS_HEMODINAMICAS_ALERTIN\20231106-20231109.xml" htmlTables="1" htmlFormat="all"/>
  </connection>
  <connection id="718" name="20231109-20231110" type="4" refreshedVersion="0" background="1">
    <webPr xml="1" sourceData="1" url="Z:\Dosis pacientes\Alertas_Intervencionismo\SIEMENS_HEMODINAMICAS_ALERTIN\20231109-20231110.xml" htmlTables="1" htmlFormat="all"/>
  </connection>
  <connection id="719" name="20231110-20231113" type="4" refreshedVersion="0" background="1">
    <webPr xml="1" sourceData="1" url="Z:\Dosis pacientes\Alertas_Intervencionismo\SIEMENS_HEMODINAMICAS_ALERTIN\20231110-20231113.xml" htmlTables="1" htmlFormat="all"/>
  </connection>
  <connection id="720" name="20231110-202311131" type="4" refreshedVersion="0" background="1">
    <webPr xml="1" sourceData="1" url="Z:\Dosis pacientes\Alertas_Intervencionismo\SIEMENS_HEMODINAMICAS_ALERTIN\20231110-20231113.xml" htmlTables="1" htmlFormat="all"/>
  </connection>
  <connection id="721" name="20231110-202311132" type="4" refreshedVersion="0" background="1">
    <webPr xml="1" sourceData="1" url="Z:\Dosis pacientes\Alertas_Intervencionismo\SIEMENS_HEMODINAMICAS_ALERTIN\20231110-20231113.xml" htmlTables="1" htmlFormat="all"/>
  </connection>
  <connection id="722" name="20231113-20231115" type="4" refreshedVersion="0" background="1">
    <webPr xml="1" sourceData="1" url="Z:\Dosis pacientes\Alertas_Intervencionismo\SIEMENS_HEMODINAMICAS_ALERTIN\20231113-20231115.xml" htmlTables="1" htmlFormat="all"/>
  </connection>
  <connection id="723" name="20231115-20231116" type="4" refreshedVersion="0" background="1">
    <webPr xml="1" sourceData="1" url="Z:\Dosis pacientes\Alertas_Intervencionismo\SIEMENS_HEMODINAMICAS_ALERTIN\20231115-20231116.xml" htmlTables="1" htmlFormat="all"/>
  </connection>
  <connection id="724" name="20231115-202311161" type="4" refreshedVersion="0" background="1">
    <webPr xml="1" sourceData="1" url="Z:\Dosis pacientes\Alertas_Intervencionismo\SIEMENS_HEMODINAMICAS_ALERTIN\20231115-20231116.xml" htmlTables="1" htmlFormat="all"/>
  </connection>
  <connection id="725" name="20231116-20231120" type="4" refreshedVersion="0" background="1">
    <webPr xml="1" sourceData="1" url="Z:\Dosis pacientes\Alertas_Intervencionismo\SIEMENS_HEMODINAMICAS_ALERTIN\20231116-20231120.xml" htmlTables="1" htmlFormat="all"/>
  </connection>
  <connection id="726" name="20231116-202311201" type="4" refreshedVersion="0" background="1">
    <webPr xml="1" sourceData="1" url="Z:\Dosis pacientes\Alertas_Intervencionismo\SIEMENS_HEMODINAMICAS_ALERTIN\20231116-20231120.xml" htmlTables="1" htmlFormat="all"/>
  </connection>
  <connection id="727" name="20231120-20231122" type="4" refreshedVersion="0" background="1">
    <webPr xml="1" sourceData="1" url="Z:\Dosis pacientes\Alertas_Intervencionismo\SIEMENS_HEMODINAMICAS_ALERTIN\20231120-20231122.xml" htmlTables="1" htmlFormat="all"/>
  </connection>
  <connection id="728" name="20231122-20231123" type="4" refreshedVersion="0" background="1">
    <webPr xml="1" sourceData="1" url="Z:\Dosis pacientes\Alertas_Intervencionismo\SIEMENS_HEMODINAMICAS_ALERTIN\20231122-20231123.xml" htmlTables="1" htmlFormat="all"/>
  </connection>
  <connection id="729" name="20231122-202311231" type="4" refreshedVersion="0" background="1">
    <webPr xml="1" sourceData="1" url="Z:\Dosis pacientes\Alertas_Intervencionismo\SIEMENS_HEMODINAMICAS_ALERTIN\20231122-20231123.xml" htmlTables="1" htmlFormat="all"/>
  </connection>
  <connection id="730" name="20231123-20231128" type="4" refreshedVersion="0" background="1">
    <webPr xml="1" sourceData="1" url="Z:\Dosis pacientes\Alertas_Intervencionismo\SIEMENS_HEMODINAMICAS_ALERTIN\20231123-20231128.xml" htmlTables="1" htmlFormat="all"/>
  </connection>
  <connection id="731" name="20231123-202311281" type="4" refreshedVersion="0" background="1">
    <webPr xml="1" sourceData="1" url="Z:\Dosis pacientes\Alertas_Intervencionismo\SIEMENS_HEMODINAMICAS_ALERTIN\20231123-20231128.xml" htmlTables="1" htmlFormat="all"/>
  </connection>
  <connection id="732" name="20231129-20231130" type="4" refreshedVersion="0" background="1">
    <webPr xml="1" sourceData="1" url="Z:\Dosis pacientes\Alertas_Intervencionismo\SIEMENS_HEMODINAMICAS_ALERTIN\20231129-20231130.xml" htmlTables="1" htmlFormat="all"/>
  </connection>
  <connection id="733" name="20231201-20231201" type="4" refreshedVersion="0" background="1">
    <webPr xml="1" sourceData="1" url="Z:\Dosis pacientes\Alertas_Intervencionismo\SIEMENS_HEMODINAMICAS_ALERTIN\20231201-20231201.xml" htmlTables="1" htmlFormat="all"/>
  </connection>
  <connection id="734" name="20231201-20231204" type="4" refreshedVersion="0" background="1">
    <webPr xml="1" sourceData="1" url="Z:\Dosis pacientes\Alertas_Intervencionismo\SIEMENS_HEMODINAMICAS_ALERTIN\20231201-20231204.xml" htmlTables="1" htmlFormat="all"/>
  </connection>
  <connection id="735" name="20231204-20231205" type="4" refreshedVersion="0" background="1">
    <webPr xml="1" sourceData="1" url="Z:\Dosis pacientes\Alertas_Intervencionismo\SIEMENS_HEMODINAMICAS_ALERTIN\20231204-20231205.xml" htmlTables="1" htmlFormat="all"/>
  </connection>
  <connection id="736" name="20231204-202312051" type="4" refreshedVersion="0" background="1">
    <webPr xml="1" sourceData="1" url="Z:\Dosis pacientes\Alertas_Intervencionismo\SIEMENS_HEMODINAMICAS_ALERTIN\20231204-20231205.xml" htmlTables="1" htmlFormat="all"/>
  </connection>
  <connection id="737" name="20231205-20231207" type="4" refreshedVersion="0" background="1">
    <webPr xml="1" sourceData="1" url="Z:\Dosis pacientes\Alertas_Intervencionismo\SIEMENS_HEMODINAMICAS_ALERTIN\20231205-20231207.xml" htmlTables="1" htmlFormat="all"/>
  </connection>
  <connection id="738" name="20231205-202312071" type="4" refreshedVersion="0" background="1">
    <webPr xml="1" sourceData="1" url="Z:\Dosis pacientes\Alertas_Intervencionismo\SIEMENS_HEMODINAMICAS_ALERTIN\20231205-20231207.xml" htmlTables="1" htmlFormat="all"/>
  </connection>
  <connection id="739" name="20231207-20231211" type="4" refreshedVersion="0" background="1">
    <webPr xml="1" sourceData="1" url="Z:\Dosis pacientes\Alertas_Intervencionismo\SIEMENS_HEMODINAMICAS_ALERTIN\20231207-20231211.xml" htmlTables="1" htmlFormat="all"/>
  </connection>
  <connection id="740" name="20231211-20231212" type="4" refreshedVersion="0" background="1">
    <webPr xml="1" sourceData="1" url="Z:\Dosis pacientes\Alertas_Intervencionismo\SIEMENS_HEMODINAMICAS_ALERTIN\20231211-20231212.xml" htmlTables="1" htmlFormat="all"/>
  </connection>
  <connection id="741" name="20231212-20231213" type="4" refreshedVersion="0" background="1">
    <webPr xml="1" sourceData="1" url="Z:\Dosis pacientes\Alertas_Intervencionismo\SIEMENS_HEMODINAMICAS_ALERTIN\20231212-20231213.xml" htmlTables="1" htmlFormat="all"/>
  </connection>
  <connection id="742" name="20231213-20231214" type="4" refreshedVersion="0" background="1">
    <webPr xml="1" sourceData="1" url="Z:\Dosis pacientes\Alertas_Intervencionismo\SIEMENS_HEMODINAMICAS_ALERTIN\20231213-20231214.xml" htmlTables="1" htmlFormat="all"/>
  </connection>
  <connection id="743" name="20231214-20231215" type="4" refreshedVersion="0" background="1">
    <webPr xml="1" sourceData="1" url="Z:\Dosis pacientes\Alertas_Intervencionismo\SIEMENS_HEMODINAMICAS_ALERTIN\20231214-20231215.xml" htmlTables="1" htmlFormat="all"/>
  </connection>
  <connection id="744" name="20231218-20231219" type="4" refreshedVersion="0" background="1">
    <webPr xml="1" sourceData="1" url="Z:\Dosis pacientes\Alertas_Intervencionismo\SIEMENS_HEMODINAMICAS_ALERTIN\20231218-20231219.xml" htmlTables="1" htmlFormat="all"/>
  </connection>
  <connection id="745" name="20231219-20231220" type="4" refreshedVersion="0" background="1">
    <webPr xml="1" sourceData="1" url="Z:\Dosis pacientes\Alertas_Intervencionismo\SIEMENS_HEMODINAMICAS_ALERTIN\20231219-20231220.xml" htmlTables="1" htmlFormat="all"/>
  </connection>
  <connection id="746" name="20231219-202312201" type="4" refreshedVersion="0" background="1">
    <webPr xml="1" sourceData="1" url="Z:\Dosis pacientes\Alertas_Intervencionismo\SIEMENS_HEMODINAMICAS_ALERTIN\20231219-20231220.xml" htmlTables="1" htmlFormat="all"/>
  </connection>
  <connection id="747" name="20231219-202312202" type="4" refreshedVersion="0" background="1">
    <webPr xml="1" sourceData="1" url="Z:\Dosis pacientes\Alertas_Intervencionismo\SIEMENS_HEMODINAMICAS_ALERTIN\20231219-20231220.xml" htmlTables="1" htmlFormat="all"/>
  </connection>
  <connection id="748" name="20231219-202312203" type="4" refreshedVersion="0" background="1">
    <webPr xml="1" sourceData="1" url="Z:\Dosis pacientes\Alertas_Intervencionismo\SIEMENS_HEMODINAMICAS_ALERTIN\20231219-20231220.xml" htmlTables="1" htmlFormat="all"/>
  </connection>
  <connection id="749" name="20231219-202312204" type="4" refreshedVersion="0" background="1">
    <webPr xml="1" sourceData="1" url="Z:\Dosis pacientes\Alertas_Intervencionismo\SIEMENS_HEMODINAMICAS_ALERTIN\20231219-20231220.xml" htmlTables="1" htmlFormat="all"/>
  </connection>
  <connection id="750" name="20231220-20231221" type="4" refreshedVersion="0" background="1">
    <webPr xml="1" sourceData="1" url="Z:\Dosis pacientes\Alertas_Intervencionismo\SIEMENS_HEMODINAMICAS_ALERTIN\20231220-20231221.xml" htmlTables="1" htmlFormat="all"/>
  </connection>
  <connection id="751" name="20231221-20231222" type="4" refreshedVersion="0" background="1">
    <webPr xml="1" sourceData="1" url="Z:\Dosis pacientes\Alertas_Intervencionismo\SIEMENS_HEMODINAMICAS_ALERTIN\20231221-20231222.xml" htmlTables="1" htmlFormat="all"/>
  </connection>
  <connection id="752" name="20231221-202312221" type="4" refreshedVersion="0" background="1">
    <webPr xml="1" sourceData="1" url="Z:\Dosis pacientes\Alertas_Intervencionismo\SIEMENS_HEMODINAMICAS_ALERTIN\20231221-20231222.xml" htmlTables="1" htmlFormat="all"/>
  </connection>
  <connection id="753" name="20231222-20231226" type="4" refreshedVersion="0" background="1">
    <webPr xml="1" sourceData="1" url="Z:\Dosis pacientes\Alertas_Intervencionismo\SIEMENS_HEMODINAMICAS_ALERTIN\20231222-20231226.xml" htmlTables="1" htmlFormat="all"/>
  </connection>
  <connection id="754" name="20231226-20231227" type="4" refreshedVersion="0" background="1">
    <webPr xml="1" sourceData="1" url="Z:\Dosis pacientes\Alertas_Intervencionismo\SIEMENS_HEMODINAMICAS_ALERTIN\20231226-20231227.xml" htmlTables="1" htmlFormat="all"/>
  </connection>
  <connection id="755" name="20231226-202312271" type="4" refreshedVersion="0" background="1">
    <webPr xml="1" sourceData="1" url="Z:\Dosis pacientes\Alertas_Intervencionismo\SIEMENS_HEMODINAMICAS_ALERTIN\20231226-20231227.xml" htmlTables="1" htmlFormat="all"/>
  </connection>
  <connection id="756" name="20231227-20231228" type="4" refreshedVersion="0" background="1">
    <webPr xml="1" sourceData="1" url="Z:\Dosis pacientes\Alertas_Intervencionismo\SIEMENS_HEMODINAMICAS_ALERTIN\20231227-20231228.xml" htmlTables="1" htmlFormat="all"/>
  </connection>
  <connection id="757" name="20231227-202312281" type="4" refreshedVersion="0" background="1">
    <webPr xml="1" sourceData="1" url="Z:\Dosis pacientes\Alertas_Intervencionismo\SIEMENS_HEMODINAMICAS_ALERTIN\20231227-20231228.xml" htmlTables="1" htmlFormat="all"/>
  </connection>
  <connection id="758" name="20231228-20231229" type="4" refreshedVersion="0" background="1">
    <webPr xml="1" sourceData="1" url="Z:\Dosis pacientes\Alertas_Intervencionismo\SIEMENS_HEMODINAMICAS_ALERTIN\20231228-20231229.xml" htmlTables="1" htmlFormat="all"/>
  </connection>
  <connection id="759" name="20231228-202312291" type="4" refreshedVersion="0" background="1">
    <webPr xml="1" sourceData="1" url="Z:\Dosis pacientes\Alertas_Intervencionismo\SIEMENS_HEMODINAMICAS_ALERTIN\20231228-20231229.xml" htmlTables="1" htmlFormat="all"/>
  </connection>
  <connection id="760" name="20231229-20240102" type="4" refreshedVersion="0" background="1">
    <webPr xml="1" sourceData="1" url="Z:\Dosis pacientes\Alertas_Intervencionismo\SIEMENS_HEMODINAMICAS_ALERTIN\20231229-20240102.xml" htmlTables="1" htmlFormat="all"/>
  </connection>
  <connection id="761" name="20240102-20240103" type="4" refreshedVersion="0" background="1">
    <webPr xml="1" sourceData="1" url="Z:\Dosis pacientes\Alertas_Intervencionismo\SIEMENS_HEMODINAMICAS_ALERTIN\20240102-20240103.xml" htmlTables="1" htmlFormat="all"/>
  </connection>
  <connection id="762" name="20240103-20240104" type="4" refreshedVersion="0" background="1">
    <webPr xml="1" sourceData="1" url="Z:\Dosis pacientes\Alertas_Intervencionismo\SIEMENS_HEMODINAMICAS_ALERTIN\20240103-20240104.xml" htmlTables="1" htmlFormat="all"/>
  </connection>
  <connection id="763" name="20240104-20240105" type="4" refreshedVersion="0" background="1">
    <webPr xml="1" sourceData="1" url="Z:\Dosis pacientes\Alertas_Intervencionismo\SIEMENS_HEMODINAMICAS_ALERTIN\20240104-20240105.xml" htmlTables="1" htmlFormat="all"/>
  </connection>
  <connection id="764" name="20240108-20240109" type="4" refreshedVersion="0" background="1">
    <webPr xml="1" sourceData="1" url="Z:\Dosis pacientes\Alertas_Intervencionismo\SIEMENS_HEMODINAMICAS_ALERTIN\20240108-20240109.xml" htmlTables="1" htmlFormat="all"/>
  </connection>
  <connection id="765" name="20240109-20240110" type="4" refreshedVersion="0" background="1">
    <webPr xml="1" sourceData="1" url="Z:\Dosis pacientes\Alertas_Intervencionismo\SIEMENS_HEMODINAMICAS_ALERTIN\20240109-20240110.xml" htmlTables="1" htmlFormat="all"/>
  </connection>
  <connection id="766" name="20240110-20240111" type="4" refreshedVersion="0" background="1">
    <webPr xml="1" sourceData="1" url="Z:\Dosis pacientes\Alertas_Intervencionismo\SIEMENS_HEMODINAMICAS_ALERTIN\20240110-20240111.xml" htmlTables="1" htmlFormat="all"/>
  </connection>
  <connection id="767" name="20240111-20240112" type="4" refreshedVersion="0" background="1">
    <webPr xml="1" sourceData="1" url="Z:\Dosis pacientes\Alertas_Intervencionismo\SIEMENS_HEMODINAMICAS_ALERTIN\20240111-20240112.xml" htmlTables="1" htmlFormat="all"/>
  </connection>
  <connection id="768" name="20240112-20240115" type="4" refreshedVersion="0" background="1">
    <webPr xml="1" sourceData="1" url="Z:\Dosis pacientes\Alertas_Intervencionismo\SIEMENS_HEMODINAMICAS_ALERTIN\20240112-20240115.xml" htmlTables="1" htmlFormat="all"/>
  </connection>
  <connection id="769" name="20240115-20240116" type="4" refreshedVersion="0" background="1">
    <webPr xml="1" sourceData="1" url="Z:\Dosis pacientes\Alertas_Intervencionismo\SIEMENS_HEMODINAMICAS_ALERTIN\20240115-20240116.xml" htmlTables="1" htmlFormat="all"/>
  </connection>
  <connection id="770" name="20240116-20240117" type="4" refreshedVersion="0" background="1">
    <webPr xml="1" sourceData="1" url="Z:\Dosis pacientes\Alertas_Intervencionismo\SIEMENS_HEMODINAMICAS_ALERTIN\20240116-20240117.xml" htmlTables="1" htmlFormat="all"/>
  </connection>
  <connection id="771" name="20240117-20240118" type="4" refreshedVersion="0" background="1">
    <webPr xml="1" sourceData="1" url="Z:\Dosis pacientes\Alertas_Intervencionismo\SIEMENS_HEMODINAMICAS_ALERTIN\20240117-20240118.xml" htmlTables="1" htmlFormat="all"/>
  </connection>
  <connection id="772" name="20240117-202401181" type="4" refreshedVersion="0" background="1">
    <webPr xml="1" sourceData="1" url="Z:\Dosis pacientes\Alertas_Intervencionismo\SIEMENS_HEMODINAMICAS_ALERTIN\20240117-20240118.xml" htmlTables="1" htmlFormat="all"/>
  </connection>
  <connection id="773" name="20240118-20240119" type="4" refreshedVersion="0" background="1">
    <webPr xml="1" sourceData="1" url="Z:\Dosis pacientes\Alertas_Intervencionismo\SIEMENS_HEMODINAMICAS_ALERTIN\20240118-20240119.xml" htmlTables="1" htmlFormat="all"/>
  </connection>
  <connection id="774" name="20240121-20240122" type="4" refreshedVersion="0" background="1">
    <webPr xml="1" sourceData="1" url="Z:\Dosis pacientes\Alertas_Intervencionismo\SIEMENS_HEMODINAMICAS_ALERTIN\20240121-20240122.xml" htmlTables="1" htmlFormat="all"/>
  </connection>
  <connection id="775" name="20240122-20240123" type="4" refreshedVersion="0" background="1">
    <webPr xml="1" sourceData="1" url="Z:\Dosis pacientes\Alertas_Intervencionismo\SIEMENS_HEMODINAMICAS_ALERTIN\20240122-20240123.xml" htmlTables="1" htmlFormat="all"/>
  </connection>
  <connection id="776" name="20240123-20240124" type="4" refreshedVersion="0" background="1">
    <webPr xml="1" sourceData="1" url="Z:\Dosis pacientes\Alertas_Intervencionismo\SIEMENS_HEMODINAMICAS_ALERTIN\20240123-20240124.xml" htmlTables="1" htmlFormat="all"/>
  </connection>
  <connection id="777" name="20240124-20240125" type="4" refreshedVersion="0" background="1">
    <webPr xml="1" sourceData="1" url="Z:\Dosis pacientes\Alertas_Intervencionismo\SIEMENS_HEMODINAMICAS_ALERTIN\20240124-20240125.xml" htmlTables="1" htmlFormat="all"/>
  </connection>
  <connection id="778" name="20240125-20240126" type="4" refreshedVersion="0" background="1">
    <webPr xml="1" sourceData="1" url="Z:\Dosis pacientes\Alertas_Intervencionismo\SIEMENS_HEMODINAMICAS_ALERTIN\20240125-20240126.xml" htmlTables="1" htmlFormat="all"/>
  </connection>
  <connection id="779" name="20240126-20240129" type="4" refreshedVersion="0" background="1">
    <webPr xml="1" sourceData="1" url="Z:\Dosis pacientes\Alertas_Intervencionismo\SIEMENS_HEMODINAMICAS_ALERTIN\20240126-20240129.xml" htmlTables="1" htmlFormat="all"/>
  </connection>
  <connection id="780" name="20240129-20240130" type="4" refreshedVersion="0" background="1">
    <webPr xml="1" sourceData="1" url="Z:\Dosis pacientes\Alertas_Intervencionismo\SIEMENS_HEMODINAMICAS_ALERTIN\20240129-20240130.xml" htmlTables="1" htmlFormat="all"/>
  </connection>
  <connection id="781" name="20240130-20240131" type="4" refreshedVersion="0" background="1">
    <webPr xml="1" sourceData="1" url="Z:\Dosis pacientes\Alertas_Intervencionismo\SIEMENS_HEMODINAMICAS_ALERTIN\20240130-20240131.xml" htmlTables="1" htmlFormat="all"/>
  </connection>
  <connection id="782" name="20240131-20240201" type="4" refreshedVersion="0" background="1">
    <webPr xml="1" sourceData="1" url="Z:\Dosis pacientes\Alertas_Intervencionismo\SIEMENS_HEMODINAMICAS_ALERTIN\20240131-20240201.xml" htmlTables="1" htmlFormat="all"/>
  </connection>
  <connection id="783" name="20240201-20240202" type="4" refreshedVersion="0" background="1">
    <webPr xml="1" sourceData="1" url="Z:\Dosis pacientes\Alertas_Intervencionismo\SIEMENS_HEMODINAMICAS_ALERTIN\20240201-20240202.xml" htmlTables="1" htmlFormat="all"/>
  </connection>
  <connection id="784" name="20240202-20240205" type="4" refreshedVersion="0" background="1">
    <webPr xml="1" sourceData="1" url="Z:\Dosis pacientes\Alertas_Intervencionismo\SIEMENS_HEMODINAMICAS_ALERTIN\20240202-20240205.xml" htmlTables="1" htmlFormat="all"/>
  </connection>
  <connection id="785" name="20240205-20240206" type="4" refreshedVersion="0" background="1">
    <webPr xml="1" sourceData="1" url="Z:\Dosis pacientes\Alertas_Intervencionismo\SIEMENS_HEMODINAMICAS_ALERTIN\20240205-20240206.xml" htmlTables="1" htmlFormat="all"/>
  </connection>
  <connection id="786" name="20240206-20240207" type="4" refreshedVersion="0" background="1">
    <webPr xml="1" sourceData="1" url="Z:\Dosis pacientes\Alertas_Intervencionismo\SIEMENS_HEMODINAMICAS_ALERTIN\20240206-20240207.xml" htmlTables="1" htmlFormat="all"/>
  </connection>
  <connection id="787" name="20240207-20240208" type="4" refreshedVersion="0" background="1">
    <webPr xml="1" sourceData="1" url="Z:\Dosis pacientes\Alertas_Intervencionismo\SIEMENS_HEMODINAMICAS_ALERTIN\20240207-20240208.xml" htmlTables="1" htmlFormat="all"/>
  </connection>
  <connection id="788" name="20240208-20240209" type="4" refreshedVersion="0" background="1">
    <webPr xml="1" sourceData="1" url="Z:\Dosis pacientes\Alertas_Intervencionismo\SIEMENS_HEMODINAMICAS_ALERTIN\20240208-20240209.xml" htmlTables="1" htmlFormat="all"/>
  </connection>
  <connection id="789" name="20240209-20240212" type="4" refreshedVersion="0" background="1">
    <webPr xml="1" sourceData="1" url="Z:\Dosis pacientes\Alertas_Intervencionismo\SIEMENS_HEMODINAMICAS_ALERTIN\20240209-20240212.xml" htmlTables="1" htmlFormat="all"/>
  </connection>
  <connection id="790" name="20240212-20240213" type="4" refreshedVersion="0" background="1">
    <webPr xml="1" sourceData="1" url="Z:\Dosis pacientes\Alertas_Intervencionismo\SIEMENS_HEMODINAMICAS_ALERTIN\20240212-20240213.xml" htmlTables="1" htmlFormat="all"/>
  </connection>
  <connection id="791" name="20240213-20240214" type="4" refreshedVersion="0" background="1">
    <webPr xml="1" sourceData="1" url="Z:\Dosis pacientes\Alertas_Intervencionismo\SIEMENS_HEMODINAMICAS_ALERTIN\20240213-20240214.xml" htmlTables="1" htmlFormat="all"/>
  </connection>
  <connection id="792" name="20240214-20240215" type="4" refreshedVersion="0" background="1">
    <webPr xml="1" sourceData="1" url="Z:\Dosis pacientes\Alertas_Intervencionismo\SIEMENS_HEMODINAMICAS_ALERTIN\20240214-20240215.xml" htmlTables="1" htmlFormat="all"/>
  </connection>
  <connection id="793" name="20240215-20240216" type="4" refreshedVersion="0" background="1">
    <webPr xml="1" sourceData="1" url="Z:\Dosis pacientes\Alertas_Intervencionismo\SIEMENS_HEMODINAMICAS_ALERTIN\20240215-20240216.xml" htmlTables="1" htmlFormat="all"/>
  </connection>
  <connection id="794" name="20240216-20240219" type="4" refreshedVersion="0" background="1">
    <webPr xml="1" sourceData="1" url="Z:\Dosis pacientes\Alertas_Intervencionismo\SIEMENS_HEMODINAMICAS_ALERTIN\20240216-20240219.xml" htmlTables="1" htmlFormat="all"/>
  </connection>
  <connection id="795" name="20240219-20240220" type="4" refreshedVersion="0" background="1">
    <webPr xml="1" sourceData="1" url="Z:\Dosis pacientes\Alertas_Intervencionismo\SIEMENS_HEMODINAMICAS_ALERTIN\20240219-20240220.xml" htmlTables="1" htmlFormat="all"/>
  </connection>
  <connection id="796" name="20240220-20240221" type="4" refreshedVersion="0" background="1">
    <webPr xml="1" sourceData="1" url="Z:\Dosis pacientes\Alertas_Intervencionismo\SIEMENS_HEMODINAMICAS_ALERTIN\20240220-20240221.xml" htmlTables="1" htmlFormat="all"/>
  </connection>
  <connection id="797" name="20240221-20240222" type="4" refreshedVersion="0" background="1">
    <webPr xml="1" sourceData="1" url="Z:\Dosis pacientes\Alertas_Intervencionismo\SIEMENS_HEMODINAMICAS_ALERTIN\20240221-20240222.xml" htmlTables="1" htmlFormat="all"/>
  </connection>
  <connection id="798" name="20240222-20240223" type="4" refreshedVersion="0" background="1">
    <webPr xml="1" sourceData="1" url="Z:\Dosis pacientes\Alertas_Intervencionismo\SIEMENS_HEMODINAMICAS_ALERTIN\20240222-20240223.xml" htmlTables="1" htmlFormat="all"/>
  </connection>
  <connection id="799" name="20240223-20240226" type="4" refreshedVersion="0" background="1">
    <webPr xml="1" sourceData="1" url="Z:\Dosis pacientes\Alertas_Intervencionismo\SIEMENS_HEMODINAMICAS_ALERTIN\20240223-20240226.xml" htmlTables="1" htmlFormat="all"/>
  </connection>
  <connection id="800" name="20240226-20240227" type="4" refreshedVersion="0" background="1">
    <webPr xml="1" sourceData="1" url="Z:\Dosis pacientes\Alertas_Intervencionismo\SIEMENS_HEMODINAMICAS_ALERTIN\20240226-20240227.xml" htmlTables="1" htmlFormat="all"/>
  </connection>
  <connection id="801" name="20240227-20240228" type="4" refreshedVersion="0" background="1">
    <webPr xml="1" sourceData="1" url="Z:\Dosis pacientes\Alertas_Intervencionismo\SIEMENS_HEMODINAMICAS_ALERTIN\20240227-20240228.xml" htmlTables="1" htmlFormat="all"/>
  </connection>
  <connection id="802" name="20240228-20240229" type="4" refreshedVersion="0" background="1">
    <webPr xml="1" sourceData="1" url="Z:\Dosis pacientes\Alertas_Intervencionismo\SIEMENS_HEMODINAMICAS_ALERTIN\20240228-20240229.xml" htmlTables="1" htmlFormat="all"/>
  </connection>
  <connection id="803" name="20240229-20240301" type="4" refreshedVersion="0" background="1">
    <webPr xml="1" sourceData="1" url="Z:\Dosis pacientes\Alertas_Intervencionismo\SIEMENS_HEMODINAMICAS_ALERTIN\20240229-20240301.xml" htmlTables="1" htmlFormat="all"/>
  </connection>
  <connection id="804" name="20240301-20240304" type="4" refreshedVersion="0" background="1">
    <webPr xml="1" sourceData="1" url="Z:\Dosis pacientes\Alertas_Intervencionismo\SIEMENS_HEMODINAMICAS_ALERTIN\20240301-20240304.xml" htmlTables="1" htmlFormat="all"/>
  </connection>
  <connection id="805" name="20240304-20240305" type="4" refreshedVersion="0" background="1">
    <webPr xml="1" sourceData="1" url="Z:\Dosis pacientes\Alertas_Intervencionismo\SIEMENS_HEMODINAMICAS_ALERTIN\20240304-20240305.xml" htmlTables="1" htmlFormat="all"/>
  </connection>
  <connection id="806" name="20240305-20240306" type="4" refreshedVersion="0" background="1">
    <webPr xml="1" sourceData="1" url="Z:\Dosis pacientes\Alertas_Intervencionismo\SIEMENS_HEMODINAMICAS_ALERTIN\20240305-20240306.xml" htmlTables="1" htmlFormat="all"/>
  </connection>
  <connection id="807" name="20240306-20240307" type="4" refreshedVersion="0" background="1">
    <webPr xml="1" sourceData="1" url="Z:\Dosis pacientes\Alertas_Intervencionismo\SIEMENS_HEMODINAMICAS_ALERTIN\20240306-20240307.xml" htmlTables="1" htmlFormat="all"/>
  </connection>
  <connection id="808" name="20240307-20240308" type="4" refreshedVersion="0" background="1">
    <webPr xml="1" sourceData="1" url="Z:\Dosis pacientes\Alertas_Intervencionismo\SIEMENS_HEMODINAMICAS_ALERTIN\20240307-20240308.xml" htmlTables="1" htmlFormat="all"/>
  </connection>
  <connection id="809" name="20240308-20240311" type="4" refreshedVersion="0" background="1">
    <webPr xml="1" sourceData="1" url="Z:\Dosis pacientes\Alertas_Intervencionismo\SIEMENS_HEMODINAMICAS_ALERTIN\20240308-20240311.xml" htmlTables="1" htmlFormat="all"/>
  </connection>
  <connection id="810" name="20240311-20240312" type="4" refreshedVersion="0" background="1">
    <webPr xml="1" sourceData="1" url="Z:\Dosis pacientes\Alertas_Intervencionismo\SIEMENS_HEMODINAMICAS_ALERTIN\20240311-20240312.xml" htmlTables="1" htmlFormat="all"/>
  </connection>
  <connection id="811" name="20240312-20240313" type="4" refreshedVersion="0" background="1">
    <webPr xml="1" sourceData="1" url="Z:\Dosis pacientes\Alertas_Intervencionismo\SIEMENS_HEMODINAMICAS_ALERTIN\20240312-20240313.xml" htmlTables="1" htmlFormat="all"/>
  </connection>
  <connection id="812" name="20240313-20240314" type="4" refreshedVersion="0" background="1">
    <webPr xml="1" sourceData="1" url="Z:\Dosis pacientes\Alertas_Intervencionismo\SIEMENS_HEMODINAMICAS_ALERTIN\20240313-20240314.xml" htmlTables="1" htmlFormat="all"/>
  </connection>
  <connection id="813" name="20240314-20240315" type="4" refreshedVersion="0" background="1">
    <webPr xml="1" sourceData="1" url="Z:\Dosis pacientes\Alertas_Intervencionismo\SIEMENS_HEMODINAMICAS_ALERTIN\20240314-20240315.xml" htmlTables="1" htmlFormat="all"/>
  </connection>
  <connection id="814" name="20240315-20240318" type="4" refreshedVersion="0" background="1">
    <webPr xml="1" sourceData="1" url="Z:\Dosis pacientes\Alertas_Intervencionismo\SIEMENS_HEMODINAMICAS_ALERTIN\20240315-20240318.xml" htmlTables="1" htmlFormat="all"/>
  </connection>
  <connection id="815" name="20240315-202403181" type="4" refreshedVersion="0" background="1">
    <webPr xml="1" sourceData="1" url="Z:\Dosis pacientes\Alertas_Intervencionismo\SIEMENS_HEMODINAMICAS_ALERTIN\20240315-20240318.xml" htmlTables="1" htmlFormat="all"/>
  </connection>
  <connection id="816" name="20240318-20240319" type="4" refreshedVersion="0" background="1">
    <webPr xml="1" sourceData="1" url="Z:\Dosis pacientes\Alertas_Intervencionismo\SIEMENS_HEMODINAMICAS_ALERTIN\20240318-20240319.xml" htmlTables="1" htmlFormat="all"/>
  </connection>
  <connection id="817" name="20240319-20240320" type="4" refreshedVersion="0" background="1">
    <webPr xml="1" sourceData="1" url="Z:\Dosis pacientes\Alertas_Intervencionismo\SIEMENS_HEMODINAMICAS_ALERTIN\20240319-20240320.xml" htmlTables="1" htmlFormat="all"/>
  </connection>
  <connection id="818" name="20240320-20240321" type="4" refreshedVersion="0" background="1">
    <webPr xml="1" sourceData="1" url="Z:\Dosis pacientes\Alertas_Intervencionismo\SIEMENS_HEMODINAMICAS_ALERTIN\20240320-20240321.xml" htmlTables="1" htmlFormat="all"/>
  </connection>
  <connection id="819" name="20240321-20240322" type="4" refreshedVersion="0" background="1">
    <webPr xml="1" sourceData="1" url="Z:\Dosis pacientes\Alertas_Intervencionismo\SIEMENS_HEMODINAMICAS_ALERTIN\20240321-20240322.xml" htmlTables="1" htmlFormat="all"/>
  </connection>
  <connection id="820" name="20240326-20240327" type="4" refreshedVersion="0" background="1">
    <webPr xml="1" sourceData="1" url="Z:\Dosis pacientes\Alertas_Intervencionismo\SIEMENS_HEMODINAMICAS_ALERTIN\20240326-20240327.xml" htmlTables="1" htmlFormat="all"/>
  </connection>
  <connection id="821" name="20240327-20240401" type="4" refreshedVersion="0" background="1">
    <webPr xml="1" sourceData="1" url="Z:\Dosis pacientes\Alertas_Intervencionismo\SIEMENS_HEMODINAMICAS_ALERTIN\20240327-20240401.xml" htmlTables="1" htmlFormat="all"/>
  </connection>
  <connection id="822" name="20240401-20240402" type="4" refreshedVersion="0" background="1">
    <webPr xml="1" sourceData="1" url="Z:\Dosis pacientes\Alertas_Intervencionismo\SIEMENS_HEMODINAMICAS_ALERTIN\20240401-20240402.xml" htmlTables="1" htmlFormat="all"/>
  </connection>
  <connection id="823" name="20240402-20240403" type="4" refreshedVersion="0" background="1">
    <webPr xml="1" sourceData="1" url="Z:\Dosis pacientes\Alertas_Intervencionismo\SIEMENS_HEMODINAMICAS_ALERTIN\20240402-20240403.xml" htmlTables="1" htmlFormat="all"/>
  </connection>
  <connection id="824" name="20240403-20240404" type="4" refreshedVersion="0" background="1">
    <webPr xml="1" sourceData="1" url="Z:\Dosis pacientes\Alertas_Intervencionismo\SIEMENS_HEMODINAMICAS_ALERTIN\20240403-20240404.xml" htmlTables="1" htmlFormat="all"/>
  </connection>
  <connection id="825" name="20240404-20240405" type="4" refreshedVersion="0" background="1">
    <webPr xml="1" sourceData="1" url="Z:\Dosis pacientes\Alertas_Intervencionismo\SIEMENS_HEMODINAMICAS_ALERTIN\20240404-20240405.xml" htmlTables="1" htmlFormat="all"/>
  </connection>
  <connection id="826" name="20240405-20240408" type="4" refreshedVersion="0" background="1">
    <webPr xml="1" sourceData="1" url="Z:\Dosis pacientes\Alertas_Intervencionismo\SIEMENS_HEMODINAMICAS_ALERTIN\20240405-20240408.xml" htmlTables="1" htmlFormat="all"/>
  </connection>
  <connection id="827" name="20240408-20240409" type="4" refreshedVersion="0" background="1">
    <webPr xml="1" sourceData="1" url="Z:\Dosis pacientes\Alertas_Intervencionismo\SIEMENS_HEMODINAMICAS_ALERTIN\20240408-20240409.xml" htmlTables="1" htmlFormat="all"/>
  </connection>
  <connection id="828" name="20240409-20240410" type="4" refreshedVersion="0" background="1">
    <webPr xml="1" sourceData="1" url="Z:\Dosis pacientes\Alertas_Intervencionismo\SIEMENS_HEMODINAMICAS_ALERTIN\20240409-20240410.xml" htmlTables="1" htmlFormat="all"/>
  </connection>
  <connection id="829" name="20240410-20240411" type="4" refreshedVersion="0" background="1">
    <webPr xml="1" sourceData="1" url="Z:\Dosis pacientes\Alertas_Intervencionismo\SIEMENS_HEMODINAMICAS_ALERTIN\20240410-20240411.xml" htmlTables="1" htmlFormat="all"/>
  </connection>
  <connection id="830" name="20240411-20240412" type="4" refreshedVersion="0" background="1">
    <webPr xml="1" sourceData="1" url="Z:\Dosis pacientes\Alertas_Intervencionismo\SIEMENS_HEMODINAMICAS_ALERTIN\20240411-20240412.xml" htmlTables="1" htmlFormat="all"/>
  </connection>
  <connection id="831" name="20240412-20240415" type="4" refreshedVersion="0" background="1">
    <webPr xml="1" sourceData="1" url="Z:\Dosis pacientes\Alertas_Intervencionismo\SIEMENS_HEMODINAMICAS_ALERTIN\20240412-20240415.xml" htmlTables="1" htmlFormat="all"/>
  </connection>
  <connection id="832" name="20240415-20240416" type="4" refreshedVersion="0" background="1">
    <webPr xml="1" sourceData="1" url="Z:\Dosis pacientes\Alertas_Intervencionismo\SIEMENS_HEMODINAMICAS_ALERTIN\20240415-20240416.xml" htmlTables="1" htmlFormat="all"/>
  </connection>
  <connection id="833" name="20240416-20240417" type="4" refreshedVersion="0" background="1">
    <webPr xml="1" sourceData="1" url="Z:\Dosis pacientes\Alertas_Intervencionismo\SIEMENS_HEMODINAMICAS_ALERTIN\20240416-20240417.xml" htmlTables="1" htmlFormat="all"/>
  </connection>
  <connection id="834" name="20240417-20240418" type="4" refreshedVersion="0" background="1">
    <webPr xml="1" sourceData="1" url="Z:\Dosis pacientes\Alertas_Intervencionismo\SIEMENS_HEMODINAMICAS_ALERTIN\20240417-20240418.xml" htmlTables="1" htmlFormat="all"/>
  </connection>
  <connection id="835" name="20240418-20240419" type="4" refreshedVersion="0" background="1">
    <webPr xml="1" sourceData="1" url="Z:\Dosis pacientes\Alertas_Intervencionismo\SIEMENS_HEMODINAMICAS_ALERTIN\20240418-20240419.xml" htmlTables="1" htmlFormat="all"/>
  </connection>
  <connection id="836" name="20240419-20240422" type="4" refreshedVersion="0" background="1">
    <webPr xml="1" sourceData="1" url="Z:\Dosis pacientes\Alertas_Intervencionismo\SIEMENS_HEMODINAMICAS_ALERTIN\20240419-20240422.xml" htmlTables="1" htmlFormat="all"/>
  </connection>
  <connection id="837" name="20240422-20240424" type="4" refreshedVersion="0" background="1">
    <webPr xml="1" sourceData="1" url="Z:\Dosis pacientes\Alertas_Intervencionismo\SIEMENS_HEMODINAMICAS_ALERTIN\20240422-20240424.xml" htmlTables="1" htmlFormat="all"/>
  </connection>
  <connection id="838" name="20240424-20240425" type="4" refreshedVersion="0" background="1">
    <webPr xml="1" sourceData="1" url="Z:\Dosis pacientes\Alertas_Intervencionismo\SIEMENS_HEMODINAMICAS_ALERTIN\20240424-20240425.xml" htmlTables="1" htmlFormat="all"/>
  </connection>
  <connection id="839" name="20240424-202404251" type="4" refreshedVersion="0" background="1">
    <webPr xml="1" sourceData="1" url="Z:\Dosis pacientes\Alertas_Intervencionismo\SIEMENS_HEMODINAMICAS_ALERTIN\20240424-20240425.xml" htmlTables="1" htmlFormat="all"/>
  </connection>
  <connection id="840" name="20240424-202404252" type="4" refreshedVersion="0" background="1">
    <webPr xml="1" sourceData="1" url="Z:\Dosis pacientes\Alertas_Intervencionismo\SIEMENS_HEMODINAMICAS_ALERTIN\20240424-20240425.xml" htmlTables="1" htmlFormat="all"/>
  </connection>
  <connection id="841" name="20240425-20240429" type="4" refreshedVersion="0" background="1">
    <webPr xml="1" sourceData="1" url="Z:\Dosis pacientes\Alertas_Intervencionismo\SIEMENS_HEMODINAMICAS_ALERTIN\20240425-20240429.xml" htmlTables="1" htmlFormat="all"/>
  </connection>
  <connection id="842" name="20240429-20240430" type="4" refreshedVersion="0" background="1">
    <webPr xml="1" sourceData="1" url="Z:\Dosis pacientes\Alertas_Intervencionismo\SIEMENS_HEMODINAMICAS_ALERTIN\20240429-20240430.xml" htmlTables="1" htmlFormat="all"/>
  </connection>
  <connection id="843" name="20240429-202404301" type="4" refreshedVersion="0" background="1">
    <webPr xml="1" sourceData="1" url="Z:\Dosis pacientes\Alertas_Intervencionismo\SIEMENS_HEMODINAMICAS_ALERTIN\20240429-20240430.xml" htmlTables="1" htmlFormat="all"/>
  </connection>
  <connection id="844" name="20240429-202404302" type="4" refreshedVersion="0" background="1">
    <webPr xml="1" sourceData="1" url="Z:\Dosis pacientes\Alertas_Intervencionismo\SIEMENS_HEMODINAMICAS_ALERTIN\20240429-20240430.xml" htmlTables="1" htmlFormat="all"/>
  </connection>
  <connection id="845" name="20240430-20240502" type="4" refreshedVersion="0" background="1">
    <webPr xml="1" sourceData="1" url="Z:\Dosis pacientes\Alertas_Intervencionismo\SIEMENS_HEMODINAMICAS_ALERTIN\20240430-20240502.xml" htmlTables="1" htmlFormat="all"/>
  </connection>
  <connection id="846" name="20240506-20240507" type="4" refreshedVersion="0" background="1">
    <webPr xml="1" sourceData="1" url="Z:\Dosis pacientes\Alertas_Intervencionismo\SIEMENS_HEMODINAMICAS_ALERTIN\20240506-20240507.xml" htmlTables="1" htmlFormat="all"/>
  </connection>
  <connection id="847" name="20240507-20240508" type="4" refreshedVersion="0" background="1">
    <webPr xml="1" sourceData="1" url="Z:\Dosis pacientes\Alertas_Intervencionismo\SIEMENS_HEMODINAMICAS_ALERTIN\20240507-20240508.xml" htmlTables="1" htmlFormat="all"/>
  </connection>
  <connection id="848" name="20240508-20240509" type="4" refreshedVersion="0" background="1">
    <webPr xml="1" sourceData="1" url="Z:\Dosis pacientes\Alertas_Intervencionismo\SIEMENS_HEMODINAMICAS_ALERTIN\20240508-20240509.xml" htmlTables="1" htmlFormat="all"/>
  </connection>
  <connection id="849" name="20240509-20240510" type="4" refreshedVersion="0" background="1">
    <webPr xml="1" sourceData="1" url="Z:\Dosis pacientes\Alertas_Intervencionismo\SIEMENS_HEMODINAMICAS_ALERTIN\20240509-20240510.xml" htmlTables="1" htmlFormat="all"/>
  </connection>
  <connection id="850" name="20240509-202405101" type="4" refreshedVersion="0" background="1">
    <webPr xml="1" sourceData="1" url="Z:\Dosis pacientes\Alertas_Intervencionismo\SIEMENS_HEMODINAMICAS_ALERTIN\20240509-20240510.xml" htmlTables="1" htmlFormat="all"/>
  </connection>
  <connection id="851" name="20240509-202405102" type="4" refreshedVersion="0" background="1">
    <webPr xml="1" sourceData="1" url="Z:\Dosis pacientes\Alertas_Intervencionismo\SIEMENS_HEMODINAMICAS_ALERTIN\20240509-20240510.xml" htmlTables="1" htmlFormat="all"/>
  </connection>
  <connection id="852" name="20240510-20240514" type="4" refreshedVersion="0" background="1">
    <webPr xml="1" sourceData="1" url="Z:\Dosis pacientes\Alertas_Intervencionismo\SIEMENS_HEMODINAMICAS_ALERTIN\20240510-20240514.xml" htmlTables="1" htmlFormat="all"/>
  </connection>
  <connection id="853" name="20240514-20240515" type="4" refreshedVersion="0" background="1">
    <webPr xml="1" sourceData="1" url="Z:\Dosis pacientes\Alertas_Intervencionismo\SIEMENS_HEMODINAMICAS_ALERTIN\20240514-20240515.xml" htmlTables="1" htmlFormat="all"/>
  </connection>
  <connection id="854" name="20240515-20240516" type="4" refreshedVersion="0" background="1">
    <webPr xml="1" sourceData="1" url="Z:\Dosis pacientes\Alertas_Intervencionismo\SIEMENS_HEMODINAMICAS_ALERTIN\20240515-20240516.xml" htmlTables="1" htmlFormat="all"/>
  </connection>
  <connection id="855" name="20240516-20240517" type="4" refreshedVersion="0" background="1">
    <webPr xml="1" sourceData="1" url="Z:\Dosis pacientes\Alertas_Intervencionismo\SIEMENS_HEMODINAMICAS_ALERTIN\20240516-20240517.xml" htmlTables="1" htmlFormat="all"/>
  </connection>
  <connection id="856" name="20240517-20240520" type="4" refreshedVersion="0" background="1">
    <webPr xml="1" sourceData="1" url="Z:\Dosis pacientes\Alertas_Intervencionismo\SIEMENS_HEMODINAMICAS_ALERTIN\20240517-20240520.xml" htmlTables="1" htmlFormat="all"/>
  </connection>
  <connection id="857" name="20240520-20240521" type="4" refreshedVersion="0" background="1">
    <webPr xml="1" sourceData="1" url="Z:\Dosis pacientes\Alertas_Intervencionismo\SIEMENS_HEMODINAMICAS_ALERTIN\20240520-20240521.xml" htmlTables="1" htmlFormat="all"/>
  </connection>
  <connection id="858" name="20240521-20240522" type="4" refreshedVersion="0" background="1">
    <webPr xml="1" sourceData="1" url="Z:\Dosis pacientes\Alertas_Intervencionismo\SIEMENS_HEMODINAMICAS_ALERTIN\20240521-20240522.xml" htmlTables="1" htmlFormat="all"/>
  </connection>
  <connection id="859" name="20240523-20240524" type="4" refreshedVersion="0" background="1">
    <webPr xml="1" sourceData="1" url="Z:\Dosis pacientes\Alertas_Intervencionismo\SIEMENS_HEMODINAMICAS_ALERTIN\20240523-20240524.xml" htmlTables="1" htmlFormat="all"/>
  </connection>
  <connection id="860" name="20240523-202405241" type="4" refreshedVersion="0" background="1">
    <webPr xml="1" sourceData="1" url="Z:\Dosis pacientes\Alertas_Intervencionismo\SIEMENS_HEMODINAMICAS_ALERTIN\20240523-20240524.xml" htmlTables="1" htmlFormat="all"/>
  </connection>
  <connection id="861" name="20240524-20240527" type="4" refreshedVersion="0" background="1">
    <webPr xml="1" sourceData="1" url="Z:\Dosis pacientes\Alertas_Intervencionismo\SIEMENS_HEMODINAMICAS_ALERTIN\20240524-20240527.xml" htmlTables="1" htmlFormat="all"/>
  </connection>
  <connection id="862" name="20240527-20240528" type="4" refreshedVersion="0" background="1">
    <webPr xml="1" sourceData="1" url="Z:\Dosis pacientes\Alertas_Intervencionismo\SIEMENS_HEMODINAMICAS_ALERTIN\20240527-20240528.xml" htmlTables="1" htmlFormat="all"/>
  </connection>
  <connection id="863" name="20240528-20240529" type="4" refreshedVersion="0" background="1">
    <webPr xml="1" sourceData="1" url="Z:\Dosis pacientes\Alertas_Intervencionismo\SIEMENS_HEMODINAMICAS_ALERTIN\20240528-20240529.xml" htmlTables="1" htmlFormat="all"/>
  </connection>
  <connection id="864" name="20240529-20240530" type="4" refreshedVersion="0" background="1">
    <webPr xml="1" sourceData="1" url="Z:\Dosis pacientes\Alertas_Intervencionismo\SIEMENS_HEMODINAMICAS_ALERTIN\20240529-20240530.xml" htmlTables="1" htmlFormat="all"/>
  </connection>
  <connection id="865" name="20240530-20240531" type="4" refreshedVersion="0" background="1">
    <webPr xml="1" sourceData="1" url="Z:\Dosis pacientes\Alertas_Intervencionismo\SIEMENS_HEMODINAMICAS_ALERTIN\20240530-20240531.xml" htmlTables="1" htmlFormat="all"/>
  </connection>
  <connection id="866" name="20240530-202405311" type="4" refreshedVersion="0" background="1">
    <webPr xml="1" sourceData="1" url="Z:\Dosis pacientes\Alertas_Intervencionismo\SIEMENS_HEMODINAMICAS_ALERTIN\20240530-20240531.xml" htmlTables="1" htmlFormat="all"/>
  </connection>
  <connection id="867" name="20240531-20240603" type="4" refreshedVersion="0" background="1">
    <webPr xml="1" sourceData="1" url="Z:\Dosis pacientes\Alertas_Intervencionismo\SIEMENS_HEMODINAMICAS_ALERTIN\20240531-20240603.xml" htmlTables="1" htmlFormat="all"/>
  </connection>
  <connection id="868" name="20240603-20240604" type="4" refreshedVersion="0" background="1">
    <webPr xml="1" sourceData="1" url="Z:\Dosis pacientes\Alertas_Intervencionismo\SIEMENS_HEMODINAMICAS_ALERTIN\20240603-20240604.xml" htmlTables="1" htmlFormat="all"/>
  </connection>
  <connection id="869" name="20240604-20240605" type="4" refreshedVersion="0" background="1">
    <webPr xml="1" sourceData="1" url="Z:\Dosis pacientes\Alertas_Intervencionismo\SIEMENS_HEMODINAMICAS_ALERTIN\20240604-20240605.xml" htmlTables="1" htmlFormat="all"/>
  </connection>
  <connection id="870" name="20240605-20240606" type="4" refreshedVersion="0" background="1">
    <webPr xml="1" sourceData="1" url="Z:\Dosis pacientes\Alertas_Intervencionismo\SIEMENS_HEMODINAMICAS_ALERTIN\20240605-20240606.xml" htmlTables="1" htmlFormat="all"/>
  </connection>
  <connection id="871" name="20240605-202406061" type="4" refreshedVersion="0" background="1">
    <webPr xml="1" sourceData="1" url="Z:\Dosis pacientes\Alertas_Intervencionismo\SIEMENS_HEMODINAMICAS_ALERTIN\20240605-20240606.xml" htmlTables="1" htmlFormat="all"/>
  </connection>
  <connection id="872" name="20240605-202406062" type="4" refreshedVersion="0" background="1">
    <webPr xml="1" sourceData="1" url="Z:\Dosis pacientes\Alertas_Intervencionismo\SIEMENS_HEMODINAMICAS_ALERTIN\20240605-20240606.xml" htmlTables="1" htmlFormat="all"/>
  </connection>
  <connection id="873" name="20240611-20240612" type="4" refreshedVersion="0" background="1">
    <webPr xml="1" sourceData="1" url="Z:\Dosis pacientes\Alertas_Intervencionismo\SIEMENS_HEMODINAMICAS_ALERTIN\20240611-20240612.xml" htmlTables="1" htmlFormat="all"/>
  </connection>
  <connection id="874" name="20240612-20240613" type="4" refreshedVersion="0" background="1">
    <webPr xml="1" sourceData="1" url="Z:\Dosis pacientes\Alertas_Intervencionismo\SIEMENS_HEMODINAMICAS_ALERTIN\20240612-20240613.xml" htmlTables="1" htmlFormat="all"/>
  </connection>
  <connection id="875" name="20240613-20240614" type="4" refreshedVersion="0" background="1">
    <webPr xml="1" sourceData="1" url="Z:\Dosis pacientes\Alertas_Intervencionismo\SIEMENS_HEMODINAMICAS_ALERTIN\20240613-20240614.xml" htmlTables="1" htmlFormat="all"/>
  </connection>
  <connection id="876" name="20240614-20240617" type="4" refreshedVersion="0" background="1">
    <webPr xml="1" sourceData="1" url="Z:\Dosis pacientes\Alertas_Intervencionismo\SIEMENS_HEMODINAMICAS_ALERTIN\20240614-20240617.xml" htmlTables="1" htmlFormat="all"/>
  </connection>
  <connection id="877" name="20240617-20240618" type="4" refreshedVersion="0" background="1">
    <webPr xml="1" sourceData="1" url="Z:\Dosis pacientes\Alertas_Intervencionismo\SIEMENS_HEMODINAMICAS_ALERTIN\20240617-20240618.xml" htmlTables="1" htmlFormat="all"/>
  </connection>
  <connection id="878" name="20240618-20240619" type="4" refreshedVersion="0" background="1">
    <webPr xml="1" sourceData="1" url="Z:\Dosis pacientes\Alertas_Intervencionismo\SIEMENS_HEMODINAMICAS_ALERTIN\20240618-20240619.xml" htmlTables="1" htmlFormat="all"/>
  </connection>
  <connection id="879" name="20240619-20240620" type="4" refreshedVersion="0" background="1">
    <webPr xml="1" sourceData="1" url="Z:\Dosis pacientes\Alertas_Intervencionismo\SIEMENS_HEMODINAMICAS_ALERTIN\20240619-20240620.xml" htmlTables="1" htmlFormat="all"/>
  </connection>
  <connection id="880" name="20240620-20240621" type="4" refreshedVersion="0" background="1">
    <webPr xml="1" sourceData="1" url="Z:\Dosis pacientes\Alertas_Intervencionismo\SIEMENS_HEMODINAMICAS_ALERTIN\20240620-20240621.xml" htmlTables="1" htmlFormat="all"/>
  </connection>
  <connection id="881" name="20240621-20240624" type="4" refreshedVersion="0" background="1">
    <webPr xml="1" sourceData="1" url="Z:\Dosis pacientes\Alertas_Intervencionismo\SIEMENS_HEMODINAMICAS_ALERTIN\20240621-20240624.xml" htmlTables="1" htmlFormat="all"/>
  </connection>
  <connection id="882" name="20240624-20240625" type="4" refreshedVersion="0" background="1">
    <webPr xml="1" sourceData="1" url="Z:\Dosis pacientes\Alertas_Intervencionismo\SIEMENS_HEMODINAMICAS_ALERTIN\20240624-20240625.xml" htmlTables="1" htmlFormat="all"/>
  </connection>
  <connection id="883" name="20240625-20240626" type="4" refreshedVersion="0" background="1">
    <webPr xml="1" sourceData="1" url="Z:\Dosis pacientes\Alertas_Intervencionismo\SIEMENS_HEMODINAMICAS_ALERTIN\20240625-20240626.xml" htmlTables="1" htmlFormat="all"/>
  </connection>
  <connection id="884" name="20240626-20240627" type="4" refreshedVersion="0" background="1">
    <webPr xml="1" sourceData="1" url="Z:\Dosis pacientes\Alertas_Intervencionismo\SIEMENS_HEMODINAMICAS_ALERTIN\20240626-20240627.xml" htmlTables="1" htmlFormat="all"/>
  </connection>
  <connection id="885" name="20240627-20240628" type="4" refreshedVersion="0" background="1">
    <webPr xml="1" sourceData="1" url="Z:\Dosis pacientes\Alertas_Intervencionismo\SIEMENS_HEMODINAMICAS_ALERTIN\20240627-20240628.xml" htmlTables="1" htmlFormat="all"/>
  </connection>
  <connection id="886" name="20240628-20240701" type="4" refreshedVersion="0" background="1">
    <webPr xml="1" sourceData="1" url="Z:\Dosis pacientes\Alertas_Intervencionismo\SIEMENS_HEMODINAMICAS_ALERTIN\20240628-20240701.xml" htmlTables="1" htmlFormat="all"/>
  </connection>
  <connection id="887" name="20240701-20240702" type="4" refreshedVersion="0" background="1">
    <webPr xml="1" sourceData="1" url="Z:\Dosis pacientes\Alertas_Intervencionismo\SIEMENS_HEMODINAMICAS_ALERTIN\20240701-20240702.xml" htmlTables="1" htmlFormat="all"/>
  </connection>
  <connection id="888" name="20240702-20240703" type="4" refreshedVersion="0" background="1">
    <webPr xml="1" sourceData="1" url="Z:\Dosis pacientes\Alertas_Intervencionismo\SIEMENS_HEMODINAMICAS_ALERTIN\20240702-20240703.xml" htmlTables="1" htmlFormat="all"/>
  </connection>
  <connection id="889" name="20240705-20240708" type="4" refreshedVersion="0" background="1">
    <webPr xml="1" sourceData="1" url="Z:\Dosis pacientes\Alertas_Intervencionismo\SIEMENS_HEMODINAMICAS_ALERTIN\20240705-20240708.xml" htmlTables="1" htmlFormat="all"/>
  </connection>
  <connection id="890" name="20240708-20240709" type="4" refreshedVersion="0" background="1">
    <webPr xml="1" sourceData="1" url="Z:\Dosis pacientes\Alertas_Intervencionismo\SIEMENS_HEMODINAMICAS_ALERTIN\20240708-20240709.xml" htmlTables="1" htmlFormat="all"/>
  </connection>
  <connection id="891" name="20240709-20240710" type="4" refreshedVersion="0" background="1">
    <webPr xml="1" sourceData="1" url="Z:\Dosis pacientes\Alertas_Intervencionismo\SIEMENS_HEMODINAMICAS_ALERTIN\20240709-20240710.xml" htmlTables="1" htmlFormat="all"/>
  </connection>
  <connection id="892" name="20240710-20240711" type="4" refreshedVersion="0" background="1">
    <webPr xml="1" sourceData="1" url="Z:\Dosis pacientes\Alertas_Intervencionismo\SIEMENS_HEMODINAMICAS_ALERTIN\20240710-20240711.xml" htmlTables="1" htmlFormat="all"/>
  </connection>
  <connection id="893" name="20240711-20240712" type="4" refreshedVersion="0" background="1">
    <webPr xml="1" sourceData="1" url="Z:\Dosis pacientes\Alertas_Intervencionismo\SIEMENS_HEMODINAMICAS_ALERTIN\20240711-20240712.xml" htmlTables="1" htmlFormat="all"/>
  </connection>
  <connection id="894" name="20240715-20240716" type="4" refreshedVersion="0" background="1">
    <webPr xml="1" sourceData="1" url="Z:\Dosis pacientes\Alertas_Intervencionismo\SIEMENS_HEMODINAMICAS_ALERTIN\20240715-20240716.xml" htmlTables="1" htmlFormat="all"/>
  </connection>
  <connection id="895" name="20240715-202407161" type="4" refreshedVersion="0" background="1">
    <webPr xml="1" sourceData="1" url="Z:\Dosis pacientes\Alertas_Intervencionismo\SIEMENS_HEMODINAMICAS_ALERTIN\20240715-20240716.xml" htmlTables="1" htmlFormat="all"/>
  </connection>
  <connection id="896" name="20240719-20240723" type="4" refreshedVersion="0" background="1">
    <webPr xml="1" sourceData="1" url="Z:\Dosis pacientes\Alertas_Intervencionismo\SIEMENS_HEMODINAMICAS_ALERTIN\20240719-20240723.xml" htmlTables="1" htmlFormat="all"/>
  </connection>
  <connection id="897" name="20240724-20240725" type="4" refreshedVersion="0" background="1">
    <webPr xml="1" sourceData="1" url="Z:\Dosis pacientes\Alertas_Intervencionismo\SIEMENS_HEMODINAMICAS_ALERTIN\20240724-20240725.xml" htmlTables="1" htmlFormat="all"/>
  </connection>
  <connection id="898" name="20240725-20240726" type="4" refreshedVersion="0" background="1">
    <webPr xml="1" sourceData="1" url="Z:\Dosis pacientes\Alertas_Intervencionismo\SIEMENS_HEMODINAMICAS_ALERTIN\20240725-20240726.xml" htmlTables="1" htmlFormat="all"/>
  </connection>
  <connection id="899" name="20240726-20240729" type="4" refreshedVersion="0" background="1">
    <webPr xml="1" sourceData="1" url="Z:\Dosis pacientes\Alertas_Intervencionismo\SIEMENS_HEMODINAMICAS_ALERTIN\20240726-20240729.xml" htmlTables="1" htmlFormat="all"/>
  </connection>
  <connection id="900" name="20240729-20240730" type="4" refreshedVersion="0" background="1">
    <webPr xml="1" sourceData="1" url="Z:\Dosis pacientes\Alertas_Intervencionismo\SIEMENS_HEMODINAMICAS_ALERTIN\20240729-20240730.xml" htmlTables="1" htmlFormat="all"/>
  </connection>
</connections>
</file>

<file path=xl/sharedStrings.xml><?xml version="1.0" encoding="utf-8"?>
<sst xmlns="http://schemas.openxmlformats.org/spreadsheetml/2006/main" count="262" uniqueCount="25">
  <si>
    <t>HIBRIDO</t>
  </si>
  <si>
    <t>DSA Extremities LD</t>
  </si>
  <si>
    <t>Equipo</t>
  </si>
  <si>
    <t>Servicio</t>
  </si>
  <si>
    <t>ID paciente</t>
  </si>
  <si>
    <t>Nombre paciente</t>
  </si>
  <si>
    <t>Fecha intervención</t>
  </si>
  <si>
    <t>Hora intervención</t>
  </si>
  <si>
    <t>Procedimiento</t>
  </si>
  <si>
    <r>
      <t>PDA total 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</si>
  <si>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Dosis Pref (Gy)</t>
  </si>
  <si>
    <t>Tiempo irradiación (min)</t>
  </si>
  <si>
    <t>letra K</t>
  </si>
  <si>
    <t>H</t>
  </si>
  <si>
    <t>I</t>
  </si>
  <si>
    <t>A</t>
  </si>
  <si>
    <t>Q</t>
  </si>
  <si>
    <t>AC</t>
  </si>
  <si>
    <t>AB</t>
  </si>
  <si>
    <t>AF</t>
  </si>
  <si>
    <t>0.01177</t>
  </si>
  <si>
    <t>NECESITA SEGUIMIENTO</t>
  </si>
  <si>
    <t/>
  </si>
  <si>
    <t>:</t>
  </si>
  <si>
    <t>Tiempo irradiación adquisición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</si>
</sst>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49" fontId="0" fillId="0" borderId="2" xfId="0" applyNumberFormat="1" applyFont="1" applyBorder="1"/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Patient_Sex" form="unqualified" type="xsd:string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Map ID="1" Name="root_Map" RootElement="root" SchemaID="Schema1" ShowImportExportValidationErrors="false" AutoFit="true" Append="false" PreserveSortAFLayout="true" PreserveFormat="true">
    <DataBinding FileBinding="true" ConnectionID="6" DataBindingLoadMode="1"/>
  </Map>
  <Map ID="2" Name="root_Map1" RootElement="root" SchemaID="Schema2" ShowImportExportValidationErrors="false" AutoFit="true" Append="false" PreserveSortAFLayout="true" PreserveFormat="true">
    <DataBinding FileBinding="true" ConnectionID="5" DataBindingLoadMode="1"/>
  </Map>
  <Map ID="11" Name="root_Map10" RootElement="root" SchemaID="Schema11" ShowImportExportValidationErrors="false" AutoFit="true" Append="false" PreserveSortAFLayout="true" PreserveFormat="true">
    <DataBinding FileBinding="true" ConnectionID="29" DataBindingLoadMode="1"/>
  </Map>
  <Map ID="290" Name="root_Map100" RootElement="root" SchemaID="Schema101" ShowImportExportValidationErrors="false" AutoFit="true" Append="false" PreserveSortAFLayout="true" PreserveFormat="true">
    <DataBinding FileBinding="true" ConnectionID="101" DataBindingLoadMode="1"/>
  </Map>
  <Map ID="388" Name="root_Map101" RootElement="root" SchemaID="Schema102" ShowImportExportValidationErrors="false" AutoFit="true" Append="false" PreserveSortAFLayout="true" PreserveFormat="true">
    <DataBinding FileBinding="true" ConnectionID="102" DataBindingLoadMode="1"/>
  </Map>
  <Map ID="486" Name="root_Map102" RootElement="root" SchemaID="Schema103" ShowImportExportValidationErrors="false" AutoFit="true" Append="false" PreserveSortAFLayout="true" PreserveFormat="true">
    <DataBinding FileBinding="true" ConnectionID="103" DataBindingLoadMode="1"/>
  </Map>
  <Map ID="584" Name="root_Map103" RootElement="root" SchemaID="Schema104" ShowImportExportValidationErrors="false" AutoFit="true" Append="false" PreserveSortAFLayout="true" PreserveFormat="true">
    <DataBinding FileBinding="true" ConnectionID="104" DataBindingLoadMode="1"/>
  </Map>
  <Map ID="682" Name="root_Map104" RootElement="root" SchemaID="Schema105" ShowImportExportValidationErrors="false" AutoFit="true" Append="false" PreserveSortAFLayout="true" PreserveFormat="true">
    <DataBinding FileBinding="true" ConnectionID="105" DataBindingLoadMode="1"/>
  </Map>
  <Map ID="780" Name="root_Map105" RootElement="root" SchemaID="Schema106" ShowImportExportValidationErrors="false" AutoFit="true" Append="false" PreserveSortAFLayout="true" PreserveFormat="true">
    <DataBinding FileBinding="true" ConnectionID="106" DataBindingLoadMode="1"/>
  </Map>
  <Map ID="878" Name="root_Map106" RootElement="root" SchemaID="Schema107" ShowImportExportValidationErrors="false" AutoFit="true" Append="false" PreserveSortAFLayout="true" PreserveFormat="true">
    <DataBinding FileBinding="true" ConnectionID="107" DataBindingLoadMode="1"/>
  </Map>
  <Map ID="976" Name="root_Map107" RootElement="root" SchemaID="Schema108" ShowImportExportValidationErrors="false" AutoFit="true" Append="false" PreserveSortAFLayout="true" PreserveFormat="true">
    <DataBinding FileBinding="true" ConnectionID="108" DataBindingLoadMode="1"/>
  </Map>
  <Map ID="1074" Name="root_Map108" RootElement="root" SchemaID="Schema109" ShowImportExportValidationErrors="false" AutoFit="true" Append="false" PreserveSortAFLayout="true" PreserveFormat="true">
    <DataBinding FileBinding="true" ConnectionID="109" DataBindingLoadMode="1"/>
  </Map>
  <Map ID="1172" Name="root_Map109" RootElement="root" SchemaID="Schema110" ShowImportExportValidationErrors="false" AutoFit="true" Append="false" PreserveSortAFLayout="true" PreserveFormat="true">
    <DataBinding FileBinding="true" ConnectionID="110" DataBindingLoadMode="1"/>
  </Map>
  <Map ID="12" Name="root_Map11" RootElement="root" SchemaID="Schema12" ShowImportExportValidationErrors="false" AutoFit="true" Append="false" PreserveSortAFLayout="true" PreserveFormat="true">
    <DataBinding FileBinding="true" ConnectionID="30" DataBindingLoadMode="1"/>
  </Map>
  <Map ID="1270" Name="root_Map110" RootElement="root" SchemaID="Schema111" ShowImportExportValidationErrors="false" AutoFit="true" Append="false" PreserveSortAFLayout="true" PreserveFormat="true">
    <DataBinding FileBinding="true" ConnectionID="111" DataBindingLoadMode="1"/>
  </Map>
  <Map ID="1367" Name="root_Map111" RootElement="root" SchemaID="Schema112" ShowImportExportValidationErrors="false" AutoFit="true" Append="false" PreserveSortAFLayout="true" PreserveFormat="true">
    <DataBinding FileBinding="true" ConnectionID="112" DataBindingLoadMode="1"/>
  </Map>
  <Map ID="1464" Name="root_Map112" RootElement="root" SchemaID="Schema113" ShowImportExportValidationErrors="false" AutoFit="true" Append="false" PreserveSortAFLayout="true" PreserveFormat="true">
    <DataBinding FileBinding="true" ConnectionID="113" DataBindingLoadMode="1"/>
  </Map>
  <Map ID="1561" Name="root_Map113" RootElement="root" SchemaID="Schema114" ShowImportExportValidationErrors="false" AutoFit="true" Append="false" PreserveSortAFLayout="true" PreserveFormat="true">
    <DataBinding FileBinding="true" ConnectionID="114" DataBindingLoadMode="1"/>
  </Map>
  <Map ID="1658" Name="root_Map114" RootElement="root" SchemaID="Schema115" ShowImportExportValidationErrors="false" AutoFit="true" Append="false" PreserveSortAFLayout="true" PreserveFormat="true">
    <DataBinding FileBinding="true" ConnectionID="115" DataBindingLoadMode="1"/>
  </Map>
  <Map ID="1755" Name="root_Map115" RootElement="root" SchemaID="Schema116" ShowImportExportValidationErrors="false" AutoFit="true" Append="false" PreserveSortAFLayout="true" PreserveFormat="true">
    <DataBinding FileBinding="true" ConnectionID="116" DataBindingLoadMode="1"/>
  </Map>
  <Map ID="1852" Name="root_Map116" RootElement="root" SchemaID="Schema117" ShowImportExportValidationErrors="false" AutoFit="true" Append="false" PreserveSortAFLayout="true" PreserveFormat="true">
    <DataBinding FileBinding="true" ConnectionID="117" DataBindingLoadMode="1"/>
  </Map>
  <Map ID="1949" Name="root_Map117" RootElement="root" SchemaID="Schema118" ShowImportExportValidationErrors="false" AutoFit="true" Append="false" PreserveSortAFLayout="true" PreserveFormat="true">
    <DataBinding FileBinding="true" ConnectionID="118" DataBindingLoadMode="1"/>
  </Map>
  <Map ID="2046" Name="root_Map118" RootElement="root" SchemaID="Schema119" ShowImportExportValidationErrors="false" AutoFit="true" Append="false" PreserveSortAFLayout="true" PreserveFormat="true">
    <DataBinding FileBinding="true" ConnectionID="119" DataBindingLoadMode="1"/>
  </Map>
  <Map ID="2143" Name="root_Map119" RootElement="root" SchemaID="Schema120" ShowImportExportValidationErrors="false" AutoFit="true" Append="false" PreserveSortAFLayout="true" PreserveFormat="true">
    <DataBinding FileBinding="true" ConnectionID="120" DataBindingLoadMode="1"/>
  </Map>
  <Map ID="13" Name="root_Map12" RootElement="root" SchemaID="Schema13" ShowImportExportValidationErrors="false" AutoFit="true" Append="false" PreserveSortAFLayout="true" PreserveFormat="true">
    <DataBinding FileBinding="true" ConnectionID="31" DataBindingLoadMode="1"/>
  </Map>
  <Map ID="2240" Name="root_Map120" RootElement="root" SchemaID="Schema121" ShowImportExportValidationErrors="false" AutoFit="true" Append="false" PreserveSortAFLayout="true" PreserveFormat="true">
    <DataBinding FileBinding="true" ConnectionID="121" DataBindingLoadMode="1"/>
  </Map>
  <Map ID="2336" Name="root_Map121" RootElement="root" SchemaID="Schema122" ShowImportExportValidationErrors="false" AutoFit="true" Append="false" PreserveSortAFLayout="true" PreserveFormat="true">
    <DataBinding FileBinding="true" ConnectionID="122" DataBindingLoadMode="1"/>
  </Map>
  <Map ID="2432" Name="root_Map122" RootElement="root" SchemaID="Schema123" ShowImportExportValidationErrors="false" AutoFit="true" Append="false" PreserveSortAFLayout="true" PreserveFormat="true">
    <DataBinding FileBinding="true" ConnectionID="123" DataBindingLoadMode="1"/>
  </Map>
  <Map ID="2528" Name="root_Map123" RootElement="root" SchemaID="Schema124" ShowImportExportValidationErrors="false" AutoFit="true" Append="false" PreserveSortAFLayout="true" PreserveFormat="true">
    <DataBinding FileBinding="true" ConnectionID="124" DataBindingLoadMode="1"/>
  </Map>
  <Map ID="2624" Name="root_Map124" RootElement="root" SchemaID="Schema125" ShowImportExportValidationErrors="false" AutoFit="true" Append="false" PreserveSortAFLayout="true" PreserveFormat="true">
    <DataBinding FileBinding="true" ConnectionID="125" DataBindingLoadMode="1"/>
  </Map>
  <Map ID="2720" Name="root_Map125" RootElement="root" SchemaID="Schema126" ShowImportExportValidationErrors="false" AutoFit="true" Append="false" PreserveSortAFLayout="true" PreserveFormat="true">
    <DataBinding FileBinding="true" ConnectionID="126" DataBindingLoadMode="1"/>
  </Map>
  <Map ID="2816" Name="root_Map126" RootElement="root" SchemaID="Schema127" ShowImportExportValidationErrors="false" AutoFit="true" Append="false" PreserveSortAFLayout="true" PreserveFormat="true">
    <DataBinding FileBinding="true" ConnectionID="127" DataBindingLoadMode="1"/>
  </Map>
  <Map ID="2912" Name="root_Map127" RootElement="root" SchemaID="Schema128" ShowImportExportValidationErrors="false" AutoFit="true" Append="false" PreserveSortAFLayout="true" PreserveFormat="true">
    <DataBinding FileBinding="true" ConnectionID="128" DataBindingLoadMode="1"/>
  </Map>
  <Map ID="3008" Name="root_Map128" RootElement="root" SchemaID="Schema129" ShowImportExportValidationErrors="false" AutoFit="true" Append="false" PreserveSortAFLayout="true" PreserveFormat="true">
    <DataBinding FileBinding="true" ConnectionID="129" DataBindingLoadMode="1"/>
  </Map>
  <Map ID="3104" Name="root_Map129" RootElement="root" SchemaID="Schema130" ShowImportExportValidationErrors="false" AutoFit="true" Append="false" PreserveSortAFLayout="true" PreserveFormat="true">
    <DataBinding FileBinding="true" ConnectionID="130" DataBindingLoadMode="1"/>
  </Map>
  <Map ID="14" Name="root_Map13" RootElement="root" SchemaID="Schema14" ShowImportExportValidationErrors="false" AutoFit="true" Append="false" PreserveSortAFLayout="true" PreserveFormat="true">
    <DataBinding FileBinding="true" ConnectionID="8" DataBindingLoadMode="1"/>
  </Map>
  <Map ID="3200" Name="root_Map130" RootElement="root" SchemaID="Schema131" ShowImportExportValidationErrors="false" AutoFit="true" Append="false" PreserveSortAFLayout="true" PreserveFormat="true">
    <DataBinding FileBinding="true" ConnectionID="131" DataBindingLoadMode="1"/>
  </Map>
  <Map ID="3295" Name="root_Map131" RootElement="root" SchemaID="Schema132" ShowImportExportValidationErrors="false" AutoFit="true" Append="false" PreserveSortAFLayout="true" PreserveFormat="true">
    <DataBinding FileBinding="true" ConnectionID="132" DataBindingLoadMode="1"/>
  </Map>
  <Map ID="3390" Name="root_Map132" RootElement="root" SchemaID="Schema133" ShowImportExportValidationErrors="false" AutoFit="true" Append="false" PreserveSortAFLayout="true" PreserveFormat="true">
    <DataBinding FileBinding="true" ConnectionID="133" DataBindingLoadMode="1"/>
  </Map>
  <Map ID="3485" Name="root_Map133" RootElement="root" SchemaID="Schema134" ShowImportExportValidationErrors="false" AutoFit="true" Append="false" PreserveSortAFLayout="true" PreserveFormat="true">
    <DataBinding FileBinding="true" ConnectionID="134" DataBindingLoadMode="1"/>
  </Map>
  <Map ID="3580" Name="root_Map134" RootElement="root" SchemaID="Schema135" ShowImportExportValidationErrors="false" AutoFit="true" Append="false" PreserveSortAFLayout="true" PreserveFormat="true">
    <DataBinding FileBinding="true" ConnectionID="135" DataBindingLoadMode="1"/>
  </Map>
  <Map ID="3675" Name="root_Map135" RootElement="root" SchemaID="Schema136" ShowImportExportValidationErrors="false" AutoFit="true" Append="false" PreserveSortAFLayout="true" PreserveFormat="true">
    <DataBinding FileBinding="true" ConnectionID="136" DataBindingLoadMode="1"/>
  </Map>
  <Map ID="3770" Name="root_Map136" RootElement="root" SchemaID="Schema137" ShowImportExportValidationErrors="false" AutoFit="true" Append="false" PreserveSortAFLayout="true" PreserveFormat="true">
    <DataBinding FileBinding="true" ConnectionID="137" DataBindingLoadMode="1"/>
  </Map>
  <Map ID="3865" Name="root_Map137" RootElement="root" SchemaID="Schema138" ShowImportExportValidationErrors="false" AutoFit="true" Append="false" PreserveSortAFLayout="true" PreserveFormat="true">
    <DataBinding FileBinding="true" ConnectionID="138" DataBindingLoadMode="1"/>
  </Map>
  <Map ID="3960" Name="root_Map138" RootElement="root" SchemaID="Schema139" ShowImportExportValidationErrors="false" AutoFit="true" Append="false" PreserveSortAFLayout="true" PreserveFormat="true">
    <DataBinding FileBinding="true" ConnectionID="139" DataBindingLoadMode="1"/>
  </Map>
  <Map ID="4055" Name="root_Map139" RootElement="root" SchemaID="Schema140" ShowImportExportValidationErrors="false" AutoFit="true" Append="false" PreserveSortAFLayout="true" PreserveFormat="true">
    <DataBinding FileBinding="true" ConnectionID="140" DataBindingLoadMode="1"/>
  </Map>
  <Map ID="15" Name="root_Map14" RootElement="root" SchemaID="Schema15" ShowImportExportValidationErrors="false" AutoFit="true" Append="false" PreserveSortAFLayout="true" PreserveFormat="true">
    <DataBinding FileBinding="true" ConnectionID="9" DataBindingLoadMode="1"/>
  </Map>
  <Map ID="4150" Name="root_Map140" RootElement="root" SchemaID="Schema141" ShowImportExportValidationErrors="false" AutoFit="true" Append="false" PreserveSortAFLayout="true" PreserveFormat="true">
    <DataBinding FileBinding="true" ConnectionID="141" DataBindingLoadMode="1"/>
  </Map>
  <Map ID="4244" Name="root_Map141" RootElement="root" SchemaID="Schema142" ShowImportExportValidationErrors="false" AutoFit="true" Append="false" PreserveSortAFLayout="true" PreserveFormat="true">
    <DataBinding FileBinding="true" ConnectionID="142" DataBindingLoadMode="1"/>
  </Map>
  <Map ID="4338" Name="root_Map142" RootElement="root" SchemaID="Schema143" ShowImportExportValidationErrors="false" AutoFit="true" Append="false" PreserveSortAFLayout="true" PreserveFormat="true">
    <DataBinding FileBinding="true" ConnectionID="143" DataBindingLoadMode="1"/>
  </Map>
  <Map ID="4432" Name="root_Map143" RootElement="root" SchemaID="Schema144" ShowImportExportValidationErrors="false" AutoFit="true" Append="false" PreserveSortAFLayout="true" PreserveFormat="true">
    <DataBinding FileBinding="true" ConnectionID="144" DataBindingLoadMode="1"/>
  </Map>
  <Map ID="4526" Name="root_Map144" RootElement="root" SchemaID="Schema145" ShowImportExportValidationErrors="false" AutoFit="true" Append="false" PreserveSortAFLayout="true" PreserveFormat="true">
    <DataBinding FileBinding="true" ConnectionID="145" DataBindingLoadMode="1"/>
  </Map>
  <Map ID="4620" Name="root_Map145" RootElement="root" SchemaID="Schema146" ShowImportExportValidationErrors="false" AutoFit="true" Append="false" PreserveSortAFLayout="true" PreserveFormat="true">
    <DataBinding FileBinding="true" ConnectionID="146" DataBindingLoadMode="1"/>
  </Map>
  <Map ID="4714" Name="root_Map146" RootElement="root" SchemaID="Schema147" ShowImportExportValidationErrors="false" AutoFit="true" Append="false" PreserveSortAFLayout="true" PreserveFormat="true">
    <DataBinding FileBinding="true" ConnectionID="147" DataBindingLoadMode="1"/>
  </Map>
  <Map ID="4808" Name="root_Map147" RootElement="root" SchemaID="Schema148" ShowImportExportValidationErrors="false" AutoFit="true" Append="false" PreserveSortAFLayout="true" PreserveFormat="true">
    <DataBinding FileBinding="true" ConnectionID="148" DataBindingLoadMode="1"/>
  </Map>
  <Map ID="4902" Name="root_Map148" RootElement="root" SchemaID="Schema149" ShowImportExportValidationErrors="false" AutoFit="true" Append="false" PreserveSortAFLayout="true" PreserveFormat="true">
    <DataBinding FileBinding="true" ConnectionID="149" DataBindingLoadMode="1"/>
  </Map>
  <Map ID="4996" Name="root_Map149" RootElement="root" SchemaID="Schema150" ShowImportExportValidationErrors="false" AutoFit="true" Append="false" PreserveSortAFLayout="true" PreserveFormat="true">
    <DataBinding FileBinding="true" ConnectionID="150" DataBindingLoadMode="1"/>
  </Map>
  <Map ID="16" Name="root_Map15" RootElement="root" SchemaID="Schema16" ShowImportExportValidationErrors="false" AutoFit="true" Append="false" PreserveSortAFLayout="true" PreserveFormat="true">
    <DataBinding FileBinding="true" ConnectionID="10" DataBindingLoadMode="1"/>
  </Map>
  <Map ID="5090" Name="root_Map150" RootElement="root" SchemaID="Schema151" ShowImportExportValidationErrors="false" AutoFit="true" Append="false" PreserveSortAFLayout="true" PreserveFormat="true">
    <DataBinding FileBinding="true" ConnectionID="151" DataBindingLoadMode="1"/>
  </Map>
  <Map ID="5183" Name="root_Map151" RootElement="root" SchemaID="Schema152" ShowImportExportValidationErrors="false" AutoFit="true" Append="false" PreserveSortAFLayout="true" PreserveFormat="true">
    <DataBinding FileBinding="true" ConnectionID="152" DataBindingLoadMode="1"/>
  </Map>
  <Map ID="5276" Name="root_Map152" RootElement="root" SchemaID="Schema153" ShowImportExportValidationErrors="false" AutoFit="true" Append="false" PreserveSortAFLayout="true" PreserveFormat="true">
    <DataBinding FileBinding="true" ConnectionID="154" DataBindingLoadMode="1"/>
  </Map>
  <Map ID="5369" Name="root_Map153" RootElement="root" SchemaID="Schema154" ShowImportExportValidationErrors="false" AutoFit="true" Append="false" PreserveSortAFLayout="true" PreserveFormat="true">
    <DataBinding FileBinding="true" ConnectionID="155" DataBindingLoadMode="1"/>
  </Map>
  <Map ID="5462" Name="root_Map154" RootElement="root" SchemaID="Schema155" ShowImportExportValidationErrors="false" AutoFit="true" Append="false" PreserveSortAFLayout="true" PreserveFormat="true">
    <DataBinding FileBinding="true" ConnectionID="153" DataBindingLoadMode="1"/>
  </Map>
  <Map ID="5555" Name="root_Map155" RootElement="root" SchemaID="Schema156" ShowImportExportValidationErrors="false" AutoFit="true" Append="false" PreserveSortAFLayout="true" PreserveFormat="true">
    <DataBinding FileBinding="true" ConnectionID="156" DataBindingLoadMode="1"/>
  </Map>
  <Map ID="5648" Name="root_Map156" RootElement="root" SchemaID="Schema157" ShowImportExportValidationErrors="false" AutoFit="true" Append="false" PreserveSortAFLayout="true" PreserveFormat="true">
    <DataBinding FileBinding="true" ConnectionID="157" DataBindingLoadMode="1"/>
  </Map>
  <Map ID="5741" Name="root_Map157" RootElement="root" SchemaID="Schema158" ShowImportExportValidationErrors="false" AutoFit="true" Append="false" PreserveSortAFLayout="true" PreserveFormat="true">
    <DataBinding FileBinding="true" ConnectionID="158" DataBindingLoadMode="1"/>
  </Map>
  <Map ID="5834" Name="root_Map158" RootElement="root" SchemaID="Schema159" ShowImportExportValidationErrors="false" AutoFit="true" Append="false" PreserveSortAFLayout="true" PreserveFormat="true">
    <DataBinding FileBinding="true" ConnectionID="159" DataBindingLoadMode="1"/>
  </Map>
  <Map ID="5927" Name="root_Map159" RootElement="root" SchemaID="Schema160" ShowImportExportValidationErrors="false" AutoFit="true" Append="false" PreserveSortAFLayout="true" PreserveFormat="true">
    <DataBinding FileBinding="true" ConnectionID="160" DataBindingLoadMode="1"/>
  </Map>
  <Map ID="17" Name="root_Map16" RootElement="root" SchemaID="Schema17" ShowImportExportValidationErrors="false" AutoFit="true" Append="false" PreserveSortAFLayout="true" PreserveFormat="true">
    <DataBinding FileBinding="true" ConnectionID="11" DataBindingLoadMode="1"/>
  </Map>
  <Map ID="6020" Name="root_Map160" RootElement="root" SchemaID="Schema161" ShowImportExportValidationErrors="false" AutoFit="true" Append="false" PreserveSortAFLayout="true" PreserveFormat="true">
    <DataBinding FileBinding="true" ConnectionID="161" DataBindingLoadMode="1"/>
  </Map>
  <Map ID="6112" Name="root_Map161" RootElement="root" SchemaID="Schema162" ShowImportExportValidationErrors="false" AutoFit="true" Append="false" PreserveSortAFLayout="true" PreserveFormat="true">
    <DataBinding FileBinding="true" ConnectionID="163" DataBindingLoadMode="1"/>
  </Map>
  <Map ID="6204" Name="root_Map162" RootElement="root" SchemaID="Schema163" ShowImportExportValidationErrors="false" AutoFit="true" Append="false" PreserveSortAFLayout="true" PreserveFormat="true">
    <DataBinding FileBinding="true" ConnectionID="162" DataBindingLoadMode="1"/>
  </Map>
  <Map ID="6296" Name="root_Map163" RootElement="root" SchemaID="Schema164" ShowImportExportValidationErrors="false" AutoFit="true" Append="false" PreserveSortAFLayout="true" PreserveFormat="true">
    <DataBinding FileBinding="true" ConnectionID="164" DataBindingLoadMode="1"/>
  </Map>
  <Map ID="6388" Name="root_Map164" RootElement="root" SchemaID="Schema165" ShowImportExportValidationErrors="false" AutoFit="true" Append="false" PreserveSortAFLayout="true" PreserveFormat="true">
    <DataBinding FileBinding="true" ConnectionID="166" DataBindingLoadMode="1"/>
  </Map>
  <Map ID="6480" Name="root_Map165" RootElement="root" SchemaID="Schema166" ShowImportExportValidationErrors="false" AutoFit="true" Append="false" PreserveSortAFLayout="true" PreserveFormat="true">
    <DataBinding FileBinding="true" ConnectionID="167" DataBindingLoadMode="1"/>
  </Map>
  <Map ID="6572" Name="root_Map166" RootElement="root" SchemaID="Schema167" ShowImportExportValidationErrors="false" AutoFit="true" Append="false" PreserveSortAFLayout="true" PreserveFormat="true">
    <DataBinding FileBinding="true" ConnectionID="165" DataBindingLoadMode="1"/>
  </Map>
  <Map ID="6664" Name="root_Map167" RootElement="root" SchemaID="Schema168" ShowImportExportValidationErrors="false" AutoFit="true" Append="false" PreserveSortAFLayout="true" PreserveFormat="true">
    <DataBinding FileBinding="true" ConnectionID="168" DataBindingLoadMode="1"/>
  </Map>
  <Map ID="6756" Name="root_Map168" RootElement="root" SchemaID="Schema169" ShowImportExportValidationErrors="false" AutoFit="true" Append="false" PreserveSortAFLayout="true" PreserveFormat="true">
    <DataBinding FileBinding="true" ConnectionID="169" DataBindingLoadMode="1"/>
  </Map>
  <Map ID="6848" Name="root_Map169" RootElement="root" SchemaID="Schema170" ShowImportExportValidationErrors="false" AutoFit="true" Append="false" PreserveSortAFLayout="true" PreserveFormat="true">
    <DataBinding FileBinding="true" ConnectionID="170" DataBindingLoadMode="1"/>
  </Map>
  <Map ID="18" Name="root_Map17" RootElement="root" SchemaID="Schema18" ShowImportExportValidationErrors="false" AutoFit="true" Append="false" PreserveSortAFLayout="true" PreserveFormat="true">
    <DataBinding FileBinding="true" ConnectionID="12" DataBindingLoadMode="1"/>
  </Map>
  <Map ID="6940" Name="root_Map170" RootElement="root" SchemaID="Schema171" ShowImportExportValidationErrors="false" AutoFit="true" Append="false" PreserveSortAFLayout="true" PreserveFormat="true">
    <DataBinding FileBinding="true" ConnectionID="171" DataBindingLoadMode="1"/>
  </Map>
  <Map ID="7031" Name="root_Map171" RootElement="root" SchemaID="Schema172" ShowImportExportValidationErrors="false" AutoFit="true" Append="false" PreserveSortAFLayout="true" PreserveFormat="true">
    <DataBinding FileBinding="true" ConnectionID="172" DataBindingLoadMode="1"/>
  </Map>
  <Map ID="7122" Name="root_Map172" RootElement="root" SchemaID="Schema173" ShowImportExportValidationErrors="false" AutoFit="true" Append="false" PreserveSortAFLayout="true" PreserveFormat="true">
    <DataBinding FileBinding="true" ConnectionID="173" DataBindingLoadMode="1"/>
  </Map>
  <Map ID="7213" Name="root_Map173" RootElement="root" SchemaID="Schema174" ShowImportExportValidationErrors="false" AutoFit="true" Append="false" PreserveSortAFLayout="true" PreserveFormat="true">
    <DataBinding FileBinding="true" ConnectionID="174" DataBindingLoadMode="1"/>
  </Map>
  <Map ID="7304" Name="root_Map174" RootElement="root" SchemaID="Schema175" ShowImportExportValidationErrors="false" AutoFit="true" Append="false" PreserveSortAFLayout="true" PreserveFormat="true">
    <DataBinding FileBinding="true" ConnectionID="175" DataBindingLoadMode="1"/>
  </Map>
  <Map ID="7395" Name="root_Map175" RootElement="root" SchemaID="Schema176" ShowImportExportValidationErrors="false" AutoFit="true" Append="false" PreserveSortAFLayout="true" PreserveFormat="true">
    <DataBinding FileBinding="true" ConnectionID="176" DataBindingLoadMode="1"/>
  </Map>
  <Map ID="7486" Name="root_Map176" RootElement="root" SchemaID="Schema177" ShowImportExportValidationErrors="false" AutoFit="true" Append="false" PreserveSortAFLayout="true" PreserveFormat="true">
    <DataBinding FileBinding="true" ConnectionID="177" DataBindingLoadMode="1"/>
  </Map>
  <Map ID="7577" Name="root_Map177" RootElement="root" SchemaID="Schema178" ShowImportExportValidationErrors="false" AutoFit="true" Append="false" PreserveSortAFLayout="true" PreserveFormat="true">
    <DataBinding FileBinding="true" ConnectionID="178" DataBindingLoadMode="1"/>
  </Map>
  <Map ID="7668" Name="root_Map178" RootElement="root" SchemaID="Schema179" ShowImportExportValidationErrors="false" AutoFit="true" Append="false" PreserveSortAFLayout="true" PreserveFormat="true">
    <DataBinding FileBinding="true" ConnectionID="179" DataBindingLoadMode="1"/>
  </Map>
  <Map ID="7759" Name="root_Map179" RootElement="root" SchemaID="Schema180" ShowImportExportValidationErrors="false" AutoFit="true" Append="false" PreserveSortAFLayout="true" PreserveFormat="true">
    <DataBinding FileBinding="true" ConnectionID="180" DataBindingLoadMode="1"/>
  </Map>
  <Map ID="19" Name="root_Map18" RootElement="root" SchemaID="Schema19" ShowImportExportValidationErrors="false" AutoFit="true" Append="false" PreserveSortAFLayout="true" PreserveFormat="true">
    <DataBinding FileBinding="true" ConnectionID="13" DataBindingLoadMode="1"/>
  </Map>
  <Map ID="7850" Name="root_Map180" RootElement="root" SchemaID="Schema181" ShowImportExportValidationErrors="false" AutoFit="true" Append="false" PreserveSortAFLayout="true" PreserveFormat="true">
    <DataBinding FileBinding="true" ConnectionID="181" DataBindingLoadMode="1"/>
  </Map>
  <Map ID="7940" Name="root_Map181" RootElement="root" SchemaID="Schema182" ShowImportExportValidationErrors="false" AutoFit="true" Append="false" PreserveSortAFLayout="true" PreserveFormat="true">
    <DataBinding FileBinding="true" ConnectionID="182" DataBindingLoadMode="1"/>
  </Map>
  <Map ID="8030" Name="root_Map182" RootElement="root" SchemaID="Schema183" ShowImportExportValidationErrors="false" AutoFit="true" Append="false" PreserveSortAFLayout="true" PreserveFormat="true">
    <DataBinding FileBinding="true" ConnectionID="183" DataBindingLoadMode="1"/>
  </Map>
  <Map ID="8120" Name="root_Map183" RootElement="root" SchemaID="Schema184" ShowImportExportValidationErrors="false" AutoFit="true" Append="false" PreserveSortAFLayout="true" PreserveFormat="true">
    <DataBinding FileBinding="true" ConnectionID="184" DataBindingLoadMode="1"/>
  </Map>
  <Map ID="8210" Name="root_Map184" RootElement="root" SchemaID="Schema185" ShowImportExportValidationErrors="false" AutoFit="true" Append="false" PreserveSortAFLayout="true" PreserveFormat="true">
    <DataBinding FileBinding="true" ConnectionID="185" DataBindingLoadMode="1"/>
  </Map>
  <Map ID="8300" Name="root_Map185" RootElement="root" SchemaID="Schema186" ShowImportExportValidationErrors="false" AutoFit="true" Append="false" PreserveSortAFLayout="true" PreserveFormat="true">
    <DataBinding FileBinding="true" ConnectionID="186" DataBindingLoadMode="1"/>
  </Map>
  <Map ID="8390" Name="root_Map186" RootElement="root" SchemaID="Schema187" ShowImportExportValidationErrors="false" AutoFit="true" Append="false" PreserveSortAFLayout="true" PreserveFormat="true">
    <DataBinding FileBinding="true" ConnectionID="187" DataBindingLoadMode="1"/>
  </Map>
  <Map ID="8480" Name="root_Map187" RootElement="root" SchemaID="Schema188" ShowImportExportValidationErrors="false" AutoFit="true" Append="false" PreserveSortAFLayout="true" PreserveFormat="true">
    <DataBinding FileBinding="true" ConnectionID="188" DataBindingLoadMode="1"/>
  </Map>
  <Map ID="8570" Name="root_Map188" RootElement="root" SchemaID="Schema189" ShowImportExportValidationErrors="false" AutoFit="true" Append="false" PreserveSortAFLayout="true" PreserveFormat="true">
    <DataBinding FileBinding="true" ConnectionID="189" DataBindingLoadMode="1"/>
  </Map>
  <Map ID="8660" Name="root_Map189" RootElement="root" SchemaID="Schema190" ShowImportExportValidationErrors="false" AutoFit="true" Append="false" PreserveSortAFLayout="true" PreserveFormat="true">
    <DataBinding FileBinding="true" ConnectionID="190" DataBindingLoadMode="1"/>
  </Map>
  <Map ID="20" Name="root_Map19" RootElement="root" SchemaID="Schema20" ShowImportExportValidationErrors="false" AutoFit="true" Append="false" PreserveSortAFLayout="true" PreserveFormat="true">
    <DataBinding FileBinding="true" ConnectionID="14" DataBindingLoadMode="1"/>
  </Map>
  <Map ID="8750" Name="root_Map190" RootElement="root" SchemaID="Schema191" ShowImportExportValidationErrors="false" AutoFit="true" Append="false" PreserveSortAFLayout="true" PreserveFormat="true">
    <DataBinding FileBinding="true" ConnectionID="191" DataBindingLoadMode="1"/>
  </Map>
  <Map ID="8839" Name="root_Map191" RootElement="root" SchemaID="Schema192" ShowImportExportValidationErrors="false" AutoFit="true" Append="false" PreserveSortAFLayout="true" PreserveFormat="true">
    <DataBinding FileBinding="true" ConnectionID="192" DataBindingLoadMode="1"/>
  </Map>
  <Map ID="8928" Name="root_Map192" RootElement="root" SchemaID="Schema193" ShowImportExportValidationErrors="false" AutoFit="true" Append="false" PreserveSortAFLayout="true" PreserveFormat="true">
    <DataBinding FileBinding="true" ConnectionID="193" DataBindingLoadMode="1"/>
  </Map>
  <Map ID="9017" Name="root_Map193" RootElement="root" SchemaID="Schema194" ShowImportExportValidationErrors="false" AutoFit="true" Append="false" PreserveSortAFLayout="true" PreserveFormat="true">
    <DataBinding FileBinding="true" ConnectionID="194" DataBindingLoadMode="1"/>
  </Map>
  <Map ID="9106" Name="root_Map194" RootElement="root" SchemaID="Schema195" ShowImportExportValidationErrors="false" AutoFit="true" Append="false" PreserveSortAFLayout="true" PreserveFormat="true">
    <DataBinding FileBinding="true" ConnectionID="195" DataBindingLoadMode="1"/>
  </Map>
  <Map ID="9195" Name="root_Map195" RootElement="root" SchemaID="Schema196" ShowImportExportValidationErrors="false" AutoFit="true" Append="false" PreserveSortAFLayout="true" PreserveFormat="true">
    <DataBinding FileBinding="true" ConnectionID="196" DataBindingLoadMode="1"/>
  </Map>
  <Map ID="9284" Name="root_Map196" RootElement="root" SchemaID="Schema197" ShowImportExportValidationErrors="false" AutoFit="true" Append="false" PreserveSortAFLayout="true" PreserveFormat="true">
    <DataBinding FileBinding="true" ConnectionID="197" DataBindingLoadMode="1"/>
  </Map>
  <Map ID="9373" Name="root_Map197" RootElement="root" SchemaID="Schema198" ShowImportExportValidationErrors="false" AutoFit="true" Append="false" PreserveSortAFLayout="true" PreserveFormat="true">
    <DataBinding FileBinding="true" ConnectionID="198" DataBindingLoadMode="1"/>
  </Map>
  <Map ID="9462" Name="root_Map198" RootElement="root" SchemaID="Schema199" ShowImportExportValidationErrors="false" AutoFit="true" Append="false" PreserveSortAFLayout="true" PreserveFormat="true">
    <DataBinding FileBinding="true" ConnectionID="199" DataBindingLoadMode="1"/>
  </Map>
  <Map ID="9551" Name="root_Map199" RootElement="root" SchemaID="Schema200" ShowImportExportValidationErrors="false" AutoFit="true" Append="false" PreserveSortAFLayout="true" PreserveFormat="true">
    <DataBinding FileBinding="true" ConnectionID="200" DataBindingLoadMode="1"/>
  </Map>
  <Map ID="3" Name="root_Map2" RootElement="root" SchemaID="Schema3" ShowImportExportValidationErrors="false" AutoFit="true" Append="false" PreserveSortAFLayout="true" PreserveFormat="true">
    <DataBinding FileBinding="true" ConnectionID="4" DataBindingLoadMode="1"/>
  </Map>
  <Map ID="21" Name="root_Map20" RootElement="root" SchemaID="Schema21" ShowImportExportValidationErrors="false" AutoFit="true" Append="false" PreserveSortAFLayout="true" PreserveFormat="true">
    <DataBinding FileBinding="true" ConnectionID="15" DataBindingLoadMode="1"/>
  </Map>
  <Map ID="9640" Name="root_Map200" RootElement="root" SchemaID="Schema201" ShowImportExportValidationErrors="false" AutoFit="true" Append="false" PreserveSortAFLayout="true" PreserveFormat="true">
    <DataBinding FileBinding="true" ConnectionID="201" DataBindingLoadMode="1"/>
  </Map>
  <Map ID="9727" Name="root_Map201" RootElement="root" SchemaID="Schema202" ShowImportExportValidationErrors="false" AutoFit="true" Append="false" PreserveSortAFLayout="true" PreserveFormat="true">
    <DataBinding FileBinding="true" ConnectionID="202" DataBindingLoadMode="1"/>
  </Map>
  <Map ID="9814" Name="root_Map202" RootElement="root" SchemaID="Schema203" ShowImportExportValidationErrors="false" AutoFit="true" Append="false" PreserveSortAFLayout="true" PreserveFormat="true">
    <DataBinding FileBinding="true" ConnectionID="203" DataBindingLoadMode="1"/>
  </Map>
  <Map ID="9901" Name="root_Map203" RootElement="root" SchemaID="Schema204" ShowImportExportValidationErrors="false" AutoFit="true" Append="false" PreserveSortAFLayout="true" PreserveFormat="true">
    <DataBinding FileBinding="true" ConnectionID="204" DataBindingLoadMode="1"/>
  </Map>
  <Map ID="9988" Name="root_Map204" RootElement="root" SchemaID="Schema205" ShowImportExportValidationErrors="false" AutoFit="true" Append="false" PreserveSortAFLayout="true" PreserveFormat="true">
    <DataBinding FileBinding="true" ConnectionID="205" DataBindingLoadMode="1"/>
  </Map>
  <Map ID="10075" Name="root_Map205" RootElement="root" SchemaID="Schema206" ShowImportExportValidationErrors="false" AutoFit="true" Append="false" PreserveSortAFLayout="true" PreserveFormat="true">
    <DataBinding FileBinding="true" ConnectionID="206" DataBindingLoadMode="1"/>
  </Map>
  <Map ID="10162" Name="root_Map206" RootElement="root" SchemaID="Schema207" ShowImportExportValidationErrors="false" AutoFit="true" Append="false" PreserveSortAFLayout="true" PreserveFormat="true">
    <DataBinding FileBinding="true" ConnectionID="207" DataBindingLoadMode="1"/>
  </Map>
  <Map ID="10249" Name="root_Map207" RootElement="root" SchemaID="Schema208" ShowImportExportValidationErrors="false" AutoFit="true" Append="false" PreserveSortAFLayout="true" PreserveFormat="true">
    <DataBinding FileBinding="true" ConnectionID="208" DataBindingLoadMode="1"/>
  </Map>
  <Map ID="10336" Name="root_Map208" RootElement="root" SchemaID="Schema209" ShowImportExportValidationErrors="false" AutoFit="true" Append="false" PreserveSortAFLayout="true" PreserveFormat="true">
    <DataBinding FileBinding="true" ConnectionID="209" DataBindingLoadMode="1"/>
  </Map>
  <Map ID="10423" Name="root_Map209" RootElement="root" SchemaID="Schema210" ShowImportExportValidationErrors="false" AutoFit="true" Append="false" PreserveSortAFLayout="true" PreserveFormat="true">
    <DataBinding FileBinding="true" ConnectionID="210" DataBindingLoadMode="1"/>
  </Map>
  <Map ID="22" Name="root_Map21" RootElement="root" SchemaID="Schema22" ShowImportExportValidationErrors="false" AutoFit="true" Append="false" PreserveSortAFLayout="true" PreserveFormat="true">
    <DataBinding FileBinding="true" ConnectionID="16" DataBindingLoadMode="1"/>
  </Map>
  <Map ID="10510" Name="root_Map210" RootElement="root" SchemaID="Schema211" ShowImportExportValidationErrors="false" AutoFit="true" Append="false" PreserveSortAFLayout="true" PreserveFormat="true">
    <DataBinding FileBinding="true" ConnectionID="211" DataBindingLoadMode="1"/>
  </Map>
  <Map ID="10596" Name="root_Map211" RootElement="root" SchemaID="Schema212" ShowImportExportValidationErrors="false" AutoFit="true" Append="false" PreserveSortAFLayout="true" PreserveFormat="true">
    <DataBinding FileBinding="true" ConnectionID="212" DataBindingLoadMode="1"/>
  </Map>
  <Map ID="10682" Name="root_Map212" RootElement="root" SchemaID="Schema213" ShowImportExportValidationErrors="false" AutoFit="true" Append="false" PreserveSortAFLayout="true" PreserveFormat="true">
    <DataBinding FileBinding="true" ConnectionID="213" DataBindingLoadMode="1"/>
  </Map>
  <Map ID="10768" Name="root_Map213" RootElement="root" SchemaID="Schema214" ShowImportExportValidationErrors="false" AutoFit="true" Append="false" PreserveSortAFLayout="true" PreserveFormat="true">
    <DataBinding FileBinding="true" ConnectionID="214" DataBindingLoadMode="1"/>
  </Map>
  <Map ID="10854" Name="root_Map214" RootElement="root" SchemaID="Schema215" ShowImportExportValidationErrors="false" AutoFit="true" Append="false" PreserveSortAFLayout="true" PreserveFormat="true">
    <DataBinding FileBinding="true" ConnectionID="215" DataBindingLoadMode="1"/>
  </Map>
  <Map ID="10940" Name="root_Map215" RootElement="root" SchemaID="Schema216" ShowImportExportValidationErrors="false" AutoFit="true" Append="false" PreserveSortAFLayout="true" PreserveFormat="true">
    <DataBinding FileBinding="true" ConnectionID="216" DataBindingLoadMode="1"/>
  </Map>
  <Map ID="11026" Name="root_Map216" RootElement="root" SchemaID="Schema217" ShowImportExportValidationErrors="false" AutoFit="true" Append="false" PreserveSortAFLayout="true" PreserveFormat="true">
    <DataBinding FileBinding="true" ConnectionID="217" DataBindingLoadMode="1"/>
  </Map>
  <Map ID="11112" Name="root_Map217" RootElement="root" SchemaID="Schema218" ShowImportExportValidationErrors="false" AutoFit="true" Append="false" PreserveSortAFLayout="true" PreserveFormat="true">
    <DataBinding FileBinding="true" ConnectionID="218" DataBindingLoadMode="1"/>
  </Map>
  <Map ID="11198" Name="root_Map218" RootElement="root" SchemaID="Schema219" ShowImportExportValidationErrors="false" AutoFit="true" Append="false" PreserveSortAFLayout="true" PreserveFormat="true">
    <DataBinding FileBinding="true" ConnectionID="219" DataBindingLoadMode="1"/>
  </Map>
  <Map ID="11284" Name="root_Map219" RootElement="root" SchemaID="Schema220" ShowImportExportValidationErrors="false" AutoFit="true" Append="false" PreserveSortAFLayout="true" PreserveFormat="true">
    <DataBinding FileBinding="true" ConnectionID="220" DataBindingLoadMode="1"/>
  </Map>
  <Map ID="23" Name="root_Map22" RootElement="root" SchemaID="Schema23" ShowImportExportValidationErrors="false" AutoFit="true" Append="false" PreserveSortAFLayout="true" PreserveFormat="true">
    <DataBinding FileBinding="true" ConnectionID="17" DataBindingLoadMode="1"/>
  </Map>
  <Map ID="11370" Name="root_Map220" RootElement="root" SchemaID="Schema221" ShowImportExportValidationErrors="false" AutoFit="true" Append="false" PreserveSortAFLayout="true" PreserveFormat="true">
    <DataBinding FileBinding="true" ConnectionID="221" DataBindingLoadMode="1"/>
  </Map>
  <Map ID="11455" Name="root_Map221" RootElement="root" SchemaID="Schema222" ShowImportExportValidationErrors="false" AutoFit="true" Append="false" PreserveSortAFLayout="true" PreserveFormat="true">
    <DataBinding FileBinding="true" ConnectionID="222" DataBindingLoadMode="1"/>
  </Map>
  <Map ID="11540" Name="root_Map222" RootElement="root" SchemaID="Schema223" ShowImportExportValidationErrors="false" AutoFit="true" Append="false" PreserveSortAFLayout="true" PreserveFormat="true">
    <DataBinding FileBinding="true" ConnectionID="223" DataBindingLoadMode="1"/>
  </Map>
  <Map ID="11625" Name="root_Map223" RootElement="root" SchemaID="Schema224" ShowImportExportValidationErrors="false" AutoFit="true" Append="false" PreserveSortAFLayout="true" PreserveFormat="true">
    <DataBinding FileBinding="true" ConnectionID="224" DataBindingLoadMode="1"/>
  </Map>
  <Map ID="11710" Name="root_Map224" RootElement="root" SchemaID="Schema225" ShowImportExportValidationErrors="false" AutoFit="true" Append="false" PreserveSortAFLayout="true" PreserveFormat="true">
    <DataBinding FileBinding="true" ConnectionID="225" DataBindingLoadMode="1"/>
  </Map>
  <Map ID="11795" Name="root_Map225" RootElement="root" SchemaID="Schema226" ShowImportExportValidationErrors="false" AutoFit="true" Append="false" PreserveSortAFLayout="true" PreserveFormat="true">
    <DataBinding FileBinding="true" ConnectionID="226" DataBindingLoadMode="1"/>
  </Map>
  <Map ID="11880" Name="root_Map226" RootElement="root" SchemaID="Schema227" ShowImportExportValidationErrors="false" AutoFit="true" Append="false" PreserveSortAFLayout="true" PreserveFormat="true">
    <DataBinding FileBinding="true" ConnectionID="227" DataBindingLoadMode="1"/>
  </Map>
  <Map ID="11965" Name="root_Map227" RootElement="root" SchemaID="Schema228" ShowImportExportValidationErrors="false" AutoFit="true" Append="false" PreserveSortAFLayout="true" PreserveFormat="true">
    <DataBinding FileBinding="true" ConnectionID="228" DataBindingLoadMode="1"/>
  </Map>
  <Map ID="12050" Name="root_Map228" RootElement="root" SchemaID="Schema229" ShowImportExportValidationErrors="false" AutoFit="true" Append="false" PreserveSortAFLayout="true" PreserveFormat="true">
    <DataBinding FileBinding="true" ConnectionID="229" DataBindingLoadMode="1"/>
  </Map>
  <Map ID="12135" Name="root_Map229" RootElement="root" SchemaID="Schema230" ShowImportExportValidationErrors="false" AutoFit="true" Append="false" PreserveSortAFLayout="true" PreserveFormat="true">
    <DataBinding FileBinding="true" ConnectionID="230" DataBindingLoadMode="1"/>
  </Map>
  <Map ID="24" Name="root_Map23" RootElement="root" SchemaID="Schema24" ShowImportExportValidationErrors="false" AutoFit="true" Append="false" PreserveSortAFLayout="true" PreserveFormat="true">
    <DataBinding FileBinding="true" ConnectionID="19" DataBindingLoadMode="1"/>
  </Map>
  <Map ID="12220" Name="root_Map230" RootElement="root" SchemaID="Schema231" ShowImportExportValidationErrors="false" AutoFit="true" Append="false" PreserveSortAFLayout="true" PreserveFormat="true">
    <DataBinding FileBinding="true" ConnectionID="231" DataBindingLoadMode="1"/>
  </Map>
  <Map ID="12304" Name="root_Map231" RootElement="root" SchemaID="Schema232" ShowImportExportValidationErrors="false" AutoFit="true" Append="false" PreserveSortAFLayout="true" PreserveFormat="true">
    <DataBinding FileBinding="true" ConnectionID="232" DataBindingLoadMode="1"/>
  </Map>
  <Map ID="12388" Name="root_Map232" RootElement="root" SchemaID="Schema233" ShowImportExportValidationErrors="false" AutoFit="true" Append="false" PreserveSortAFLayout="true" PreserveFormat="true">
    <DataBinding FileBinding="true" ConnectionID="233" DataBindingLoadMode="1"/>
  </Map>
  <Map ID="12472" Name="root_Map233" RootElement="root" SchemaID="Schema234" ShowImportExportValidationErrors="false" AutoFit="true" Append="false" PreserveSortAFLayout="true" PreserveFormat="true">
    <DataBinding FileBinding="true" ConnectionID="234" DataBindingLoadMode="1"/>
  </Map>
  <Map ID="12556" Name="root_Map234" RootElement="root" SchemaID="Schema235" ShowImportExportValidationErrors="false" AutoFit="true" Append="false" PreserveSortAFLayout="true" PreserveFormat="true">
    <DataBinding FileBinding="true" ConnectionID="235" DataBindingLoadMode="1"/>
  </Map>
  <Map ID="12640" Name="root_Map235" RootElement="root" SchemaID="Schema236" ShowImportExportValidationErrors="false" AutoFit="true" Append="false" PreserveSortAFLayout="true" PreserveFormat="true">
    <DataBinding FileBinding="true" ConnectionID="236" DataBindingLoadMode="1"/>
  </Map>
  <Map ID="12724" Name="root_Map236" RootElement="root" SchemaID="Schema237" ShowImportExportValidationErrors="false" AutoFit="true" Append="false" PreserveSortAFLayout="true" PreserveFormat="true">
    <DataBinding FileBinding="true" ConnectionID="237" DataBindingLoadMode="1"/>
  </Map>
  <Map ID="12808" Name="root_Map237" RootElement="root" SchemaID="Schema238" ShowImportExportValidationErrors="false" AutoFit="true" Append="false" PreserveSortAFLayout="true" PreserveFormat="true">
    <DataBinding FileBinding="true" ConnectionID="238" DataBindingLoadMode="1"/>
  </Map>
  <Map ID="12892" Name="root_Map238" RootElement="root" SchemaID="Schema239" ShowImportExportValidationErrors="false" AutoFit="true" Append="false" PreserveSortAFLayout="true" PreserveFormat="true">
    <DataBinding FileBinding="true" ConnectionID="239" DataBindingLoadMode="1"/>
  </Map>
  <Map ID="12976" Name="root_Map239" RootElement="root" SchemaID="Schema240" ShowImportExportValidationErrors="false" AutoFit="true" Append="false" PreserveSortAFLayout="true" PreserveFormat="true">
    <DataBinding FileBinding="true" ConnectionID="240" DataBindingLoadMode="1"/>
  </Map>
  <Map ID="25" Name="root_Map24" RootElement="root" SchemaID="Schema25" ShowImportExportValidationErrors="false" AutoFit="true" Append="false" PreserveSortAFLayout="true" PreserveFormat="true">
    <DataBinding FileBinding="true" ConnectionID="20" DataBindingLoadMode="1"/>
  </Map>
  <Map ID="13060" Name="root_Map240" RootElement="root" SchemaID="Schema241" ShowImportExportValidationErrors="false" AutoFit="true" Append="false" PreserveSortAFLayout="true" PreserveFormat="true">
    <DataBinding FileBinding="true" ConnectionID="241" DataBindingLoadMode="1"/>
  </Map>
  <Map ID="13143" Name="root_Map241" RootElement="root" SchemaID="Schema242" ShowImportExportValidationErrors="false" AutoFit="true" Append="false" PreserveSortAFLayout="true" PreserveFormat="true">
    <DataBinding FileBinding="true" ConnectionID="242" DataBindingLoadMode="1"/>
  </Map>
  <Map ID="13226" Name="root_Map242" RootElement="root" SchemaID="Schema243" ShowImportExportValidationErrors="false" AutoFit="true" Append="false" PreserveSortAFLayout="true" PreserveFormat="true">
    <DataBinding FileBinding="true" ConnectionID="243" DataBindingLoadMode="1"/>
  </Map>
  <Map ID="13309" Name="root_Map243" RootElement="root" SchemaID="Schema244" ShowImportExportValidationErrors="false" AutoFit="true" Append="false" PreserveSortAFLayout="true" PreserveFormat="true">
    <DataBinding FileBinding="true" ConnectionID="244" DataBindingLoadMode="1"/>
  </Map>
  <Map ID="13392" Name="root_Map244" RootElement="root" SchemaID="Schema245" ShowImportExportValidationErrors="false" AutoFit="true" Append="false" PreserveSortAFLayout="true" PreserveFormat="true">
    <DataBinding FileBinding="true" ConnectionID="245" DataBindingLoadMode="1"/>
  </Map>
  <Map ID="13475" Name="root_Map245" RootElement="root" SchemaID="Schema246" ShowImportExportValidationErrors="false" AutoFit="true" Append="false" PreserveSortAFLayout="true" PreserveFormat="true">
    <DataBinding FileBinding="true" ConnectionID="246" DataBindingLoadMode="1"/>
  </Map>
  <Map ID="13558" Name="root_Map246" RootElement="root" SchemaID="Schema247" ShowImportExportValidationErrors="false" AutoFit="true" Append="false" PreserveSortAFLayout="true" PreserveFormat="true">
    <DataBinding FileBinding="true" ConnectionID="247" DataBindingLoadMode="1"/>
  </Map>
  <Map ID="13641" Name="root_Map247" RootElement="root" SchemaID="Schema248" ShowImportExportValidationErrors="false" AutoFit="true" Append="false" PreserveSortAFLayout="true" PreserveFormat="true">
    <DataBinding FileBinding="true" ConnectionID="248" DataBindingLoadMode="1"/>
  </Map>
  <Map ID="13724" Name="root_Map248" RootElement="root" SchemaID="Schema249" ShowImportExportValidationErrors="false" AutoFit="true" Append="false" PreserveSortAFLayout="true" PreserveFormat="true">
    <DataBinding FileBinding="true" ConnectionID="249" DataBindingLoadMode="1"/>
  </Map>
  <Map ID="13807" Name="root_Map249" RootElement="root" SchemaID="Schema250" ShowImportExportValidationErrors="false" AutoFit="true" Append="false" PreserveSortAFLayout="true" PreserveFormat="true">
    <DataBinding FileBinding="true" ConnectionID="250" DataBindingLoadMode="1"/>
  </Map>
  <Map ID="26" Name="root_Map25" RootElement="root" SchemaID="Schema26" ShowImportExportValidationErrors="false" AutoFit="true" Append="false" PreserveSortAFLayout="true" PreserveFormat="true">
    <DataBinding FileBinding="true" ConnectionID="21" DataBindingLoadMode="1"/>
  </Map>
  <Map ID="13890" Name="root_Map250" RootElement="root" SchemaID="Schema251" ShowImportExportValidationErrors="false" AutoFit="true" Append="false" PreserveSortAFLayout="true" PreserveFormat="true">
    <DataBinding FileBinding="true" ConnectionID="251" DataBindingLoadMode="1"/>
  </Map>
  <Map ID="13972" Name="root_Map251" RootElement="root" SchemaID="Schema252" ShowImportExportValidationErrors="false" AutoFit="true" Append="false" PreserveSortAFLayout="true" PreserveFormat="true">
    <DataBinding FileBinding="true" ConnectionID="252" DataBindingLoadMode="1"/>
  </Map>
  <Map ID="14054" Name="root_Map252" RootElement="root" SchemaID="Schema253" ShowImportExportValidationErrors="false" AutoFit="true" Append="false" PreserveSortAFLayout="true" PreserveFormat="true">
    <DataBinding FileBinding="true" ConnectionID="253" DataBindingLoadMode="1"/>
  </Map>
  <Map ID="14136" Name="root_Map253" RootElement="root" SchemaID="Schema254" ShowImportExportValidationErrors="false" AutoFit="true" Append="false" PreserveSortAFLayout="true" PreserveFormat="true">
    <DataBinding FileBinding="true" ConnectionID="254" DataBindingLoadMode="1"/>
  </Map>
  <Map ID="14218" Name="root_Map254" RootElement="root" SchemaID="Schema255" ShowImportExportValidationErrors="false" AutoFit="true" Append="false" PreserveSortAFLayout="true" PreserveFormat="true">
    <DataBinding FileBinding="true" ConnectionID="255" DataBindingLoadMode="1"/>
  </Map>
  <Map ID="14300" Name="root_Map255" RootElement="root" SchemaID="Schema256" ShowImportExportValidationErrors="false" AutoFit="true" Append="false" PreserveSortAFLayout="true" PreserveFormat="true">
    <DataBinding FileBinding="true" ConnectionID="256" DataBindingLoadMode="1"/>
  </Map>
  <Map ID="14382" Name="root_Map256" RootElement="root" SchemaID="Schema257" ShowImportExportValidationErrors="false" AutoFit="true" Append="false" PreserveSortAFLayout="true" PreserveFormat="true">
    <DataBinding FileBinding="true" ConnectionID="257" DataBindingLoadMode="1"/>
  </Map>
  <Map ID="14464" Name="root_Map257" RootElement="root" SchemaID="Schema258" ShowImportExportValidationErrors="false" AutoFit="true" Append="false" PreserveSortAFLayout="true" PreserveFormat="true">
    <DataBinding FileBinding="true" ConnectionID="258" DataBindingLoadMode="1"/>
  </Map>
  <Map ID="14546" Name="root_Map258" RootElement="root" SchemaID="Schema259" ShowImportExportValidationErrors="false" AutoFit="true" Append="false" PreserveSortAFLayout="true" PreserveFormat="true">
    <DataBinding FileBinding="true" ConnectionID="259" DataBindingLoadMode="1"/>
  </Map>
  <Map ID="14628" Name="root_Map259" RootElement="root" SchemaID="Schema260" ShowImportExportValidationErrors="false" AutoFit="true" Append="false" PreserveSortAFLayout="true" PreserveFormat="true">
    <DataBinding FileBinding="true" ConnectionID="260" DataBindingLoadMode="1"/>
  </Map>
  <Map ID="27" Name="root_Map26" RootElement="root" SchemaID="Schema27" ShowImportExportValidationErrors="false" AutoFit="true" Append="false" PreserveSortAFLayout="true" PreserveFormat="true">
    <DataBinding FileBinding="true" ConnectionID="22" DataBindingLoadMode="1"/>
  </Map>
  <Map ID="14710" Name="root_Map260" RootElement="root" SchemaID="Schema261" ShowImportExportValidationErrors="false" AutoFit="true" Append="false" PreserveSortAFLayout="true" PreserveFormat="true">
    <DataBinding FileBinding="true" ConnectionID="261" DataBindingLoadMode="1"/>
  </Map>
  <Map ID="14791" Name="root_Map261" RootElement="root" SchemaID="Schema262" ShowImportExportValidationErrors="false" AutoFit="true" Append="false" PreserveSortAFLayout="true" PreserveFormat="true">
    <DataBinding FileBinding="true" ConnectionID="262" DataBindingLoadMode="1"/>
  </Map>
  <Map ID="14872" Name="root_Map262" RootElement="root" SchemaID="Schema263" ShowImportExportValidationErrors="false" AutoFit="true" Append="false" PreserveSortAFLayout="true" PreserveFormat="true">
    <DataBinding FileBinding="true" ConnectionID="263" DataBindingLoadMode="1"/>
  </Map>
  <Map ID="14953" Name="root_Map263" RootElement="root" SchemaID="Schema264" ShowImportExportValidationErrors="false" AutoFit="true" Append="false" PreserveSortAFLayout="true" PreserveFormat="true">
    <DataBinding FileBinding="true" ConnectionID="264" DataBindingLoadMode="1"/>
  </Map>
  <Map ID="15034" Name="root_Map264" RootElement="root" SchemaID="Schema265" ShowImportExportValidationErrors="false" AutoFit="true" Append="false" PreserveSortAFLayout="true" PreserveFormat="true">
    <DataBinding FileBinding="true" ConnectionID="265" DataBindingLoadMode="1"/>
  </Map>
  <Map ID="15115" Name="root_Map265" RootElement="root" SchemaID="Schema266" ShowImportExportValidationErrors="false" AutoFit="true" Append="false" PreserveSortAFLayout="true" PreserveFormat="true">
    <DataBinding FileBinding="true" ConnectionID="266" DataBindingLoadMode="1"/>
  </Map>
  <Map ID="15196" Name="root_Map266" RootElement="root" SchemaID="Schema267" ShowImportExportValidationErrors="false" AutoFit="true" Append="false" PreserveSortAFLayout="true" PreserveFormat="true">
    <DataBinding FileBinding="true" ConnectionID="267" DataBindingLoadMode="1"/>
  </Map>
  <Map ID="15277" Name="root_Map267" RootElement="root" SchemaID="Schema268" ShowImportExportValidationErrors="false" AutoFit="true" Append="false" PreserveSortAFLayout="true" PreserveFormat="true">
    <DataBinding FileBinding="true" ConnectionID="268" DataBindingLoadMode="1"/>
  </Map>
  <Map ID="15358" Name="root_Map268" RootElement="root" SchemaID="Schema269" ShowImportExportValidationErrors="false" AutoFit="true" Append="false" PreserveSortAFLayout="true" PreserveFormat="true">
    <DataBinding FileBinding="true" ConnectionID="269" DataBindingLoadMode="1"/>
  </Map>
  <Map ID="15439" Name="root_Map269" RootElement="root" SchemaID="Schema270" ShowImportExportValidationErrors="false" AutoFit="true" Append="false" PreserveSortAFLayout="true" PreserveFormat="true">
    <DataBinding FileBinding="true" ConnectionID="270" DataBindingLoadMode="1"/>
  </Map>
  <Map ID="28" Name="root_Map27" RootElement="root" SchemaID="Schema28" ShowImportExportValidationErrors="false" AutoFit="true" Append="false" PreserveSortAFLayout="true" PreserveFormat="true">
    <DataBinding FileBinding="true" ConnectionID="23" DataBindingLoadMode="1"/>
  </Map>
  <Map ID="15520" Name="root_Map270" RootElement="root" SchemaID="Schema271" ShowImportExportValidationErrors="false" AutoFit="true" Append="false" PreserveSortAFLayout="true" PreserveFormat="true">
    <DataBinding FileBinding="true" ConnectionID="271" DataBindingLoadMode="1"/>
  </Map>
  <Map ID="15600" Name="root_Map271" RootElement="root" SchemaID="Schema272" ShowImportExportValidationErrors="false" AutoFit="true" Append="false" PreserveSortAFLayout="true" PreserveFormat="true">
    <DataBinding FileBinding="true" ConnectionID="272" DataBindingLoadMode="1"/>
  </Map>
  <Map ID="15680" Name="root_Map272" RootElement="root" SchemaID="Schema273" ShowImportExportValidationErrors="false" AutoFit="true" Append="false" PreserveSortAFLayout="true" PreserveFormat="true">
    <DataBinding FileBinding="true" ConnectionID="273" DataBindingLoadMode="1"/>
  </Map>
  <Map ID="15760" Name="root_Map273" RootElement="root" SchemaID="Schema274" ShowImportExportValidationErrors="false" AutoFit="true" Append="false" PreserveSortAFLayout="true" PreserveFormat="true">
    <DataBinding FileBinding="true" ConnectionID="274" DataBindingLoadMode="1"/>
  </Map>
  <Map ID="15840" Name="root_Map274" RootElement="root" SchemaID="Schema275" ShowImportExportValidationErrors="false" AutoFit="true" Append="false" PreserveSortAFLayout="true" PreserveFormat="true">
    <DataBinding FileBinding="true" ConnectionID="275" DataBindingLoadMode="1"/>
  </Map>
  <Map ID="15920" Name="root_Map275" RootElement="root" SchemaID="Schema276" ShowImportExportValidationErrors="false" AutoFit="true" Append="false" PreserveSortAFLayout="true" PreserveFormat="true">
    <DataBinding FileBinding="true" ConnectionID="276" DataBindingLoadMode="1"/>
  </Map>
  <Map ID="16000" Name="root_Map276" RootElement="root" SchemaID="Schema277" ShowImportExportValidationErrors="false" AutoFit="true" Append="false" PreserveSortAFLayout="true" PreserveFormat="true">
    <DataBinding FileBinding="true" ConnectionID="277" DataBindingLoadMode="1"/>
  </Map>
  <Map ID="16080" Name="root_Map277" RootElement="root" SchemaID="Schema278" ShowImportExportValidationErrors="false" AutoFit="true" Append="false" PreserveSortAFLayout="true" PreserveFormat="true">
    <DataBinding FileBinding="true" ConnectionID="278" DataBindingLoadMode="1"/>
  </Map>
  <Map ID="16160" Name="root_Map278" RootElement="root" SchemaID="Schema279" ShowImportExportValidationErrors="false" AutoFit="true" Append="false" PreserveSortAFLayout="true" PreserveFormat="true">
    <DataBinding FileBinding="true" ConnectionID="279" DataBindingLoadMode="1"/>
  </Map>
  <Map ID="16240" Name="root_Map279" RootElement="root" SchemaID="Schema280" ShowImportExportValidationErrors="false" AutoFit="true" Append="false" PreserveSortAFLayout="true" PreserveFormat="true">
    <DataBinding FileBinding="true" ConnectionID="280" DataBindingLoadMode="1"/>
  </Map>
  <Map ID="29" Name="root_Map28" RootElement="root" SchemaID="Schema29" ShowImportExportValidationErrors="false" AutoFit="true" Append="false" PreserveSortAFLayout="true" PreserveFormat="true">
    <DataBinding FileBinding="true" ConnectionID="24" DataBindingLoadMode="1"/>
  </Map>
  <Map ID="16320" Name="root_Map280" RootElement="root" SchemaID="Schema281" ShowImportExportValidationErrors="false" AutoFit="true" Append="false" PreserveSortAFLayout="true" PreserveFormat="true">
    <DataBinding FileBinding="true" ConnectionID="281" DataBindingLoadMode="1"/>
  </Map>
  <Map ID="16399" Name="root_Map281" RootElement="root" SchemaID="Schema282" ShowImportExportValidationErrors="false" AutoFit="true" Append="false" PreserveSortAFLayout="true" PreserveFormat="true">
    <DataBinding FileBinding="true" ConnectionID="282" DataBindingLoadMode="1"/>
  </Map>
  <Map ID="16478" Name="root_Map282" RootElement="root" SchemaID="Schema283" ShowImportExportValidationErrors="false" AutoFit="true" Append="false" PreserveSortAFLayout="true" PreserveFormat="true">
    <DataBinding FileBinding="true" ConnectionID="283" DataBindingLoadMode="1"/>
  </Map>
  <Map ID="16557" Name="root_Map283" RootElement="root" SchemaID="Schema284" ShowImportExportValidationErrors="false" AutoFit="true" Append="false" PreserveSortAFLayout="true" PreserveFormat="true">
    <DataBinding FileBinding="true" ConnectionID="284" DataBindingLoadMode="1"/>
  </Map>
  <Map ID="16636" Name="root_Map284" RootElement="root" SchemaID="Schema285" ShowImportExportValidationErrors="false" AutoFit="true" Append="false" PreserveSortAFLayout="true" PreserveFormat="true">
    <DataBinding FileBinding="true" ConnectionID="285" DataBindingLoadMode="1"/>
  </Map>
  <Map ID="16715" Name="root_Map285" RootElement="root" SchemaID="Schema286" ShowImportExportValidationErrors="false" AutoFit="true" Append="false" PreserveSortAFLayout="true" PreserveFormat="true">
    <DataBinding FileBinding="true" ConnectionID="286" DataBindingLoadMode="1"/>
  </Map>
  <Map ID="16794" Name="root_Map286" RootElement="root" SchemaID="Schema287" ShowImportExportValidationErrors="false" AutoFit="true" Append="false" PreserveSortAFLayout="true" PreserveFormat="true">
    <DataBinding FileBinding="true" ConnectionID="287" DataBindingLoadMode="1"/>
  </Map>
  <Map ID="16873" Name="root_Map287" RootElement="root" SchemaID="Schema288" ShowImportExportValidationErrors="false" AutoFit="true" Append="false" PreserveSortAFLayout="true" PreserveFormat="true">
    <DataBinding FileBinding="true" ConnectionID="288" DataBindingLoadMode="1"/>
  </Map>
  <Map ID="16952" Name="root_Map288" RootElement="root" SchemaID="Schema289" ShowImportExportValidationErrors="false" AutoFit="true" Append="false" PreserveSortAFLayout="true" PreserveFormat="true">
    <DataBinding FileBinding="true" ConnectionID="289" DataBindingLoadMode="1"/>
  </Map>
  <Map ID="17031" Name="root_Map289" RootElement="root" SchemaID="Schema290" ShowImportExportValidationErrors="false" AutoFit="true" Append="false" PreserveSortAFLayout="true" PreserveFormat="true">
    <DataBinding FileBinding="true" ConnectionID="290" DataBindingLoadMode="1"/>
  </Map>
  <Map ID="38" Name="root_Map29" RootElement="root" SchemaID="Schema30" ShowImportExportValidationErrors="false" AutoFit="true" Append="false" PreserveSortAFLayout="true" PreserveFormat="true">
    <DataBinding FileBinding="true" ConnectionID="32" DataBindingLoadMode="1"/>
  </Map>
  <Map ID="17110" Name="root_Map290" RootElement="root" SchemaID="Schema291" ShowImportExportValidationErrors="false" AutoFit="true" Append="false" PreserveSortAFLayout="true" PreserveFormat="true">
    <DataBinding FileBinding="true" ConnectionID="291" DataBindingLoadMode="1"/>
  </Map>
  <Map ID="17188" Name="root_Map291" RootElement="root" SchemaID="Schema292" ShowImportExportValidationErrors="false" AutoFit="true" Append="false" PreserveSortAFLayout="true" PreserveFormat="true">
    <DataBinding FileBinding="true" ConnectionID="292" DataBindingLoadMode="1"/>
  </Map>
  <Map ID="17266" Name="root_Map292" RootElement="root" SchemaID="Schema293" ShowImportExportValidationErrors="false" AutoFit="true" Append="false" PreserveSortAFLayout="true" PreserveFormat="true">
    <DataBinding FileBinding="true" ConnectionID="293" DataBindingLoadMode="1"/>
  </Map>
  <Map ID="17344" Name="root_Map293" RootElement="root" SchemaID="Schema294" ShowImportExportValidationErrors="false" AutoFit="true" Append="false" PreserveSortAFLayout="true" PreserveFormat="true">
    <DataBinding FileBinding="true" ConnectionID="294" DataBindingLoadMode="1"/>
  </Map>
  <Map ID="17422" Name="root_Map294" RootElement="root" SchemaID="Schema295" ShowImportExportValidationErrors="false" AutoFit="true" Append="false" PreserveSortAFLayout="true" PreserveFormat="true">
    <DataBinding FileBinding="true" ConnectionID="295" DataBindingLoadMode="1"/>
  </Map>
  <Map ID="17500" Name="root_Map295" RootElement="root" SchemaID="Schema296" ShowImportExportValidationErrors="false" AutoFit="true" Append="false" PreserveSortAFLayout="true" PreserveFormat="true">
    <DataBinding FileBinding="true" ConnectionID="296" DataBindingLoadMode="1"/>
  </Map>
  <Map ID="17578" Name="root_Map296" RootElement="root" SchemaID="Schema297" ShowImportExportValidationErrors="false" AutoFit="true" Append="false" PreserveSortAFLayout="true" PreserveFormat="true">
    <DataBinding FileBinding="true" ConnectionID="297" DataBindingLoadMode="1"/>
  </Map>
  <Map ID="17656" Name="root_Map297" RootElement="root" SchemaID="Schema298" ShowImportExportValidationErrors="false" AutoFit="true" Append="false" PreserveSortAFLayout="true" PreserveFormat="true">
    <DataBinding FileBinding="true" ConnectionID="298" DataBindingLoadMode="1"/>
  </Map>
  <Map ID="17734" Name="root_Map298" RootElement="root" SchemaID="Schema299" ShowImportExportValidationErrors="false" AutoFit="true" Append="false" PreserveSortAFLayout="true" PreserveFormat="true">
    <DataBinding FileBinding="true" ConnectionID="299" DataBindingLoadMode="1"/>
  </Map>
  <Map ID="17812" Name="root_Map299" RootElement="root" SchemaID="Schema300" ShowImportExportValidationErrors="false" AutoFit="true" Append="false" PreserveSortAFLayout="true" PreserveFormat="true">
    <DataBinding FileBinding="true" ConnectionID="300" DataBindingLoadMode="1"/>
  </Map>
  <Map ID="4" Name="root_Map3" RootElement="root" SchemaID="Schema4" ShowImportExportValidationErrors="false" AutoFit="true" Append="false" PreserveSortAFLayout="true" PreserveFormat="true">
    <DataBinding FileBinding="true" ConnectionID="3" DataBindingLoadMode="1"/>
  </Map>
  <Map ID="39" Name="root_Map30" RootElement="root" SchemaID="Schema31" ShowImportExportValidationErrors="false" AutoFit="true" Append="false" PreserveSortAFLayout="true" PreserveFormat="true">
    <DataBinding FileBinding="true" ConnectionID="33" DataBindingLoadMode="1"/>
  </Map>
  <Map ID="17890" Name="root_Map300" RootElement="root" SchemaID="Schema301" ShowImportExportValidationErrors="false" AutoFit="true" Append="false" PreserveSortAFLayout="true" PreserveFormat="true">
    <DataBinding FileBinding="true" ConnectionID="301" DataBindingLoadMode="1"/>
  </Map>
  <Map ID="17966" Name="root_Map301" RootElement="root" SchemaID="Schema302" ShowImportExportValidationErrors="false" AutoFit="true" Append="false" PreserveSortAFLayout="true" PreserveFormat="true">
    <DataBinding FileBinding="true" ConnectionID="302" DataBindingLoadMode="1"/>
  </Map>
  <Map ID="18042" Name="root_Map302" RootElement="root" SchemaID="Schema303" ShowImportExportValidationErrors="false" AutoFit="true" Append="false" PreserveSortAFLayout="true" PreserveFormat="true">
    <DataBinding FileBinding="true" ConnectionID="303" DataBindingLoadMode="1"/>
  </Map>
  <Map ID="18118" Name="root_Map303" RootElement="root" SchemaID="Schema304" ShowImportExportValidationErrors="false" AutoFit="true" Append="false" PreserveSortAFLayout="true" PreserveFormat="true">
    <DataBinding FileBinding="true" ConnectionID="304" DataBindingLoadMode="1"/>
  </Map>
  <Map ID="18194" Name="root_Map304" RootElement="root" SchemaID="Schema305" ShowImportExportValidationErrors="false" AutoFit="true" Append="false" PreserveSortAFLayout="true" PreserveFormat="true">
    <DataBinding FileBinding="true" ConnectionID="305" DataBindingLoadMode="1"/>
  </Map>
  <Map ID="18270" Name="root_Map305" RootElement="root" SchemaID="Schema306" ShowImportExportValidationErrors="false" AutoFit="true" Append="false" PreserveSortAFLayout="true" PreserveFormat="true">
    <DataBinding FileBinding="true" ConnectionID="306" DataBindingLoadMode="1"/>
  </Map>
  <Map ID="18346" Name="root_Map306" RootElement="root" SchemaID="Schema307" ShowImportExportValidationErrors="false" AutoFit="true" Append="false" PreserveSortAFLayout="true" PreserveFormat="true">
    <DataBinding FileBinding="true" ConnectionID="307" DataBindingLoadMode="1"/>
  </Map>
  <Map ID="18422" Name="root_Map307" RootElement="root" SchemaID="Schema308" ShowImportExportValidationErrors="false" AutoFit="true" Append="false" PreserveSortAFLayout="true" PreserveFormat="true">
    <DataBinding FileBinding="true" ConnectionID="308" DataBindingLoadMode="1"/>
  </Map>
  <Map ID="18498" Name="root_Map308" RootElement="root" SchemaID="Schema309" ShowImportExportValidationErrors="false" AutoFit="true" Append="false" PreserveSortAFLayout="true" PreserveFormat="true">
    <DataBinding FileBinding="true" ConnectionID="309" DataBindingLoadMode="1"/>
  </Map>
  <Map ID="18574" Name="root_Map309" RootElement="root" SchemaID="Schema310" ShowImportExportValidationErrors="false" AutoFit="true" Append="false" PreserveSortAFLayout="true" PreserveFormat="true">
    <DataBinding FileBinding="true" ConnectionID="310" DataBindingLoadMode="1"/>
  </Map>
  <Map ID="47" Name="root_Map31" RootElement="root" SchemaID="Schema32" ShowImportExportValidationErrors="false" AutoFit="true" Append="false" PreserveSortAFLayout="true" PreserveFormat="true">
    <DataBinding FileBinding="true" ConnectionID="34" DataBindingLoadMode="1"/>
  </Map>
  <Map ID="18650" Name="root_Map310" RootElement="root" SchemaID="Schema311" ShowImportExportValidationErrors="false" AutoFit="true" Append="false" PreserveSortAFLayout="true" PreserveFormat="true">
    <DataBinding FileBinding="true" ConnectionID="311" DataBindingLoadMode="1"/>
  </Map>
  <Map ID="18725" Name="root_Map311" RootElement="root" SchemaID="Schema312" ShowImportExportValidationErrors="false" AutoFit="true" Append="false" PreserveSortAFLayout="true" PreserveFormat="true">
    <DataBinding FileBinding="true" ConnectionID="312" DataBindingLoadMode="1"/>
  </Map>
  <Map ID="18800" Name="root_Map312" RootElement="root" SchemaID="Schema313" ShowImportExportValidationErrors="false" AutoFit="true" Append="false" PreserveSortAFLayout="true" PreserveFormat="true">
    <DataBinding FileBinding="true" ConnectionID="313" DataBindingLoadMode="1"/>
  </Map>
  <Map ID="18875" Name="root_Map313" RootElement="root" SchemaID="Schema314" ShowImportExportValidationErrors="false" AutoFit="true" Append="false" PreserveSortAFLayout="true" PreserveFormat="true">
    <DataBinding FileBinding="true" ConnectionID="314" DataBindingLoadMode="1"/>
  </Map>
  <Map ID="18950" Name="root_Map314" RootElement="root" SchemaID="Schema315" ShowImportExportValidationErrors="false" AutoFit="true" Append="false" PreserveSortAFLayout="true" PreserveFormat="true">
    <DataBinding FileBinding="true" ConnectionID="315" DataBindingLoadMode="1"/>
  </Map>
  <Map ID="19025" Name="root_Map315" RootElement="root" SchemaID="Schema316" ShowImportExportValidationErrors="false" AutoFit="true" Append="false" PreserveSortAFLayout="true" PreserveFormat="true">
    <DataBinding FileBinding="true" ConnectionID="316" DataBindingLoadMode="1"/>
  </Map>
  <Map ID="19100" Name="root_Map316" RootElement="root" SchemaID="Schema317" ShowImportExportValidationErrors="false" AutoFit="true" Append="false" PreserveSortAFLayout="true" PreserveFormat="true">
    <DataBinding FileBinding="true" ConnectionID="317" DataBindingLoadMode="1"/>
  </Map>
  <Map ID="19175" Name="root_Map317" RootElement="root" SchemaID="Schema318" ShowImportExportValidationErrors="false" AutoFit="true" Append="false" PreserveSortAFLayout="true" PreserveFormat="true">
    <DataBinding FileBinding="true" ConnectionID="318" DataBindingLoadMode="1"/>
  </Map>
  <Map ID="19250" Name="root_Map318" RootElement="root" SchemaID="Schema319" ShowImportExportValidationErrors="false" AutoFit="true" Append="false" PreserveSortAFLayout="true" PreserveFormat="true">
    <DataBinding FileBinding="true" ConnectionID="319" DataBindingLoadMode="1"/>
  </Map>
  <Map ID="19325" Name="root_Map319" RootElement="root" SchemaID="Schema320" ShowImportExportValidationErrors="false" AutoFit="true" Append="false" PreserveSortAFLayout="true" PreserveFormat="true">
    <DataBinding FileBinding="true" ConnectionID="320" DataBindingLoadMode="1"/>
  </Map>
  <Map ID="54" Name="root_Map32" RootElement="root" SchemaID="Schema33" ShowImportExportValidationErrors="false" AutoFit="true" Append="false" PreserveSortAFLayout="true" PreserveFormat="true">
    <DataBinding FileBinding="true" ConnectionID="35" DataBindingLoadMode="1"/>
  </Map>
  <Map ID="19400" Name="root_Map320" RootElement="root" SchemaID="Schema321" ShowImportExportValidationErrors="false" AutoFit="true" Append="false" PreserveSortAFLayout="true" PreserveFormat="true">
    <DataBinding FileBinding="true" ConnectionID="321" DataBindingLoadMode="1"/>
  </Map>
  <Map ID="19474" Name="root_Map321" RootElement="root" SchemaID="Schema322" ShowImportExportValidationErrors="false" AutoFit="true" Append="false" PreserveSortAFLayout="true" PreserveFormat="true">
    <DataBinding FileBinding="true" ConnectionID="322" DataBindingLoadMode="1"/>
  </Map>
  <Map ID="19548" Name="root_Map322" RootElement="root" SchemaID="Schema323" ShowImportExportValidationErrors="false" AutoFit="true" Append="false" PreserveSortAFLayout="true" PreserveFormat="true">
    <DataBinding FileBinding="true" ConnectionID="324" DataBindingLoadMode="1"/>
  </Map>
  <Map ID="19622" Name="root_Map323" RootElement="root" SchemaID="Schema324" ShowImportExportValidationErrors="false" AutoFit="true" Append="false" PreserveSortAFLayout="true" PreserveFormat="true">
    <DataBinding FileBinding="true" ConnectionID="323" DataBindingLoadMode="1"/>
  </Map>
  <Map ID="19696" Name="root_Map324" RootElement="root" SchemaID="Schema325" ShowImportExportValidationErrors="false" AutoFit="true" Append="false" PreserveSortAFLayout="true" PreserveFormat="true">
    <DataBinding FileBinding="true" ConnectionID="325" DataBindingLoadMode="1"/>
  </Map>
  <Map ID="19770" Name="root_Map325" RootElement="root" SchemaID="Schema326" ShowImportExportValidationErrors="false" AutoFit="true" Append="false" PreserveSortAFLayout="true" PreserveFormat="true">
    <DataBinding FileBinding="true" ConnectionID="326" DataBindingLoadMode="1"/>
  </Map>
  <Map ID="19844" Name="root_Map326" RootElement="root" SchemaID="Schema327" ShowImportExportValidationErrors="false" AutoFit="true" Append="false" PreserveSortAFLayout="true" PreserveFormat="true">
    <DataBinding FileBinding="true" ConnectionID="327" DataBindingLoadMode="1"/>
  </Map>
  <Map ID="19918" Name="root_Map327" RootElement="root" SchemaID="Schema328" ShowImportExportValidationErrors="false" AutoFit="true" Append="false" PreserveSortAFLayout="true" PreserveFormat="true">
    <DataBinding FileBinding="true" ConnectionID="328" DataBindingLoadMode="1"/>
  </Map>
  <Map ID="19992" Name="root_Map328" RootElement="root" SchemaID="Schema329" ShowImportExportValidationErrors="false" AutoFit="true" Append="false" PreserveSortAFLayout="true" PreserveFormat="true">
    <DataBinding FileBinding="true" ConnectionID="329" DataBindingLoadMode="1"/>
  </Map>
  <Map ID="20066" Name="root_Map329" RootElement="root" SchemaID="Schema330" ShowImportExportValidationErrors="false" AutoFit="true" Append="false" PreserveSortAFLayout="true" PreserveFormat="true">
    <DataBinding FileBinding="true" ConnectionID="330" DataBindingLoadMode="1"/>
  </Map>
  <Map ID="61" Name="root_Map33" RootElement="root" SchemaID="Schema34" ShowImportExportValidationErrors="false" AutoFit="true" Append="false" PreserveSortAFLayout="true" PreserveFormat="true">
    <DataBinding FileBinding="true" ConnectionID="36" DataBindingLoadMode="1"/>
  </Map>
  <Map ID="20140" Name="root_Map330" RootElement="root" SchemaID="Schema331" ShowImportExportValidationErrors="false" AutoFit="true" Append="false" PreserveSortAFLayout="true" PreserveFormat="true">
    <DataBinding FileBinding="true" ConnectionID="331" DataBindingLoadMode="1"/>
  </Map>
  <Map ID="20213" Name="root_Map331" RootElement="root" SchemaID="Schema332" ShowImportExportValidationErrors="false" AutoFit="true" Append="false" PreserveSortAFLayout="true" PreserveFormat="true">
    <DataBinding FileBinding="true" ConnectionID="332" DataBindingLoadMode="1"/>
  </Map>
  <Map ID="20286" Name="root_Map332" RootElement="root" SchemaID="Schema333" ShowImportExportValidationErrors="false" AutoFit="true" Append="false" PreserveSortAFLayout="true" PreserveFormat="true">
    <DataBinding FileBinding="true" ConnectionID="333" DataBindingLoadMode="1"/>
  </Map>
  <Map ID="20359" Name="root_Map333" RootElement="root" SchemaID="Schema334" ShowImportExportValidationErrors="false" AutoFit="true" Append="false" PreserveSortAFLayout="true" PreserveFormat="true">
    <DataBinding FileBinding="true" ConnectionID="334" DataBindingLoadMode="1"/>
  </Map>
  <Map ID="20432" Name="root_Map334" RootElement="root" SchemaID="Schema335" ShowImportExportValidationErrors="false" AutoFit="true" Append="false" PreserveSortAFLayout="true" PreserveFormat="true">
    <DataBinding FileBinding="true" ConnectionID="335" DataBindingLoadMode="1"/>
  </Map>
  <Map ID="20505" Name="root_Map335" RootElement="root" SchemaID="Schema336" ShowImportExportValidationErrors="false" AutoFit="true" Append="false" PreserveSortAFLayout="true" PreserveFormat="true">
    <DataBinding FileBinding="true" ConnectionID="336" DataBindingLoadMode="1"/>
  </Map>
  <Map ID="20578" Name="root_Map336" RootElement="root" SchemaID="Schema337" ShowImportExportValidationErrors="false" AutoFit="true" Append="false" PreserveSortAFLayout="true" PreserveFormat="true">
    <DataBinding FileBinding="true" ConnectionID="337" DataBindingLoadMode="1"/>
  </Map>
  <Map ID="20651" Name="root_Map337" RootElement="root" SchemaID="Schema338" ShowImportExportValidationErrors="false" AutoFit="true" Append="false" PreserveSortAFLayout="true" PreserveFormat="true">
    <DataBinding FileBinding="true" ConnectionID="338" DataBindingLoadMode="1"/>
  </Map>
  <Map ID="20724" Name="root_Map338" RootElement="root" SchemaID="Schema339" ShowImportExportValidationErrors="false" AutoFit="true" Append="false" PreserveSortAFLayout="true" PreserveFormat="true">
    <DataBinding FileBinding="true" ConnectionID="339" DataBindingLoadMode="1"/>
  </Map>
  <Map ID="20797" Name="root_Map339" RootElement="root" SchemaID="Schema340" ShowImportExportValidationErrors="false" AutoFit="true" Append="false" PreserveSortAFLayout="true" PreserveFormat="true">
    <DataBinding FileBinding="true" ConnectionID="340" DataBindingLoadMode="1"/>
  </Map>
  <Map ID="68" Name="root_Map34" RootElement="root" SchemaID="Schema35" ShowImportExportValidationErrors="false" AutoFit="true" Append="false" PreserveSortAFLayout="true" PreserveFormat="true">
    <DataBinding FileBinding="true" ConnectionID="37" DataBindingLoadMode="1"/>
  </Map>
  <Map ID="20870" Name="root_Map340" RootElement="root" SchemaID="Schema341" ShowImportExportValidationErrors="false" AutoFit="true" Append="false" PreserveSortAFLayout="true" PreserveFormat="true">
    <DataBinding FileBinding="true" ConnectionID="341" DataBindingLoadMode="1"/>
  </Map>
  <Map ID="20942" Name="root_Map341" RootElement="root" SchemaID="Schema342" ShowImportExportValidationErrors="false" AutoFit="true" Append="false" PreserveSortAFLayout="true" PreserveFormat="true">
    <DataBinding FileBinding="true" ConnectionID="342" DataBindingLoadMode="1"/>
  </Map>
  <Map ID="21014" Name="root_Map342" RootElement="root" SchemaID="Schema343" ShowImportExportValidationErrors="false" AutoFit="true" Append="false" PreserveSortAFLayout="true" PreserveFormat="true">
    <DataBinding FileBinding="true" ConnectionID="343" DataBindingLoadMode="1"/>
  </Map>
  <Map ID="21086" Name="root_Map343" RootElement="root" SchemaID="Schema344" ShowImportExportValidationErrors="false" AutoFit="true" Append="false" PreserveSortAFLayout="true" PreserveFormat="true">
    <DataBinding FileBinding="true" ConnectionID="344" DataBindingLoadMode="1"/>
  </Map>
  <Map ID="21158" Name="root_Map344" RootElement="root" SchemaID="Schema345" ShowImportExportValidationErrors="false" AutoFit="true" Append="false" PreserveSortAFLayout="true" PreserveFormat="true">
    <DataBinding FileBinding="true" ConnectionID="345" DataBindingLoadMode="1"/>
  </Map>
  <Map ID="21230" Name="root_Map345" RootElement="root" SchemaID="Schema346" ShowImportExportValidationErrors="false" AutoFit="true" Append="false" PreserveSortAFLayout="true" PreserveFormat="true">
    <DataBinding FileBinding="true" ConnectionID="346" DataBindingLoadMode="1"/>
  </Map>
  <Map ID="21302" Name="root_Map346" RootElement="root" SchemaID="Schema347" ShowImportExportValidationErrors="false" AutoFit="true" Append="false" PreserveSortAFLayout="true" PreserveFormat="true">
    <DataBinding FileBinding="true" ConnectionID="347" DataBindingLoadMode="1"/>
  </Map>
  <Map ID="21374" Name="root_Map347" RootElement="root" SchemaID="Schema348" ShowImportExportValidationErrors="false" AutoFit="true" Append="false" PreserveSortAFLayout="true" PreserveFormat="true">
    <DataBinding FileBinding="true" ConnectionID="348" DataBindingLoadMode="1"/>
  </Map>
  <Map ID="21446" Name="root_Map348" RootElement="root" SchemaID="Schema349" ShowImportExportValidationErrors="false" AutoFit="true" Append="false" PreserveSortAFLayout="true" PreserveFormat="true">
    <DataBinding FileBinding="true" ConnectionID="349" DataBindingLoadMode="1"/>
  </Map>
  <Map ID="21518" Name="root_Map349" RootElement="root" SchemaID="Schema350" ShowImportExportValidationErrors="false" AutoFit="true" Append="false" PreserveSortAFLayout="true" PreserveFormat="true">
    <DataBinding FileBinding="true" ConnectionID="350" DataBindingLoadMode="1"/>
  </Map>
  <Map ID="75" Name="root_Map35" RootElement="root" SchemaID="Schema36" ShowImportExportValidationErrors="false" AutoFit="true" Append="false" PreserveSortAFLayout="true" PreserveFormat="true">
    <DataBinding FileBinding="true" ConnectionID="38" DataBindingLoadMode="1"/>
  </Map>
  <Map ID="21590" Name="root_Map350" RootElement="root" SchemaID="Schema351" ShowImportExportValidationErrors="false" AutoFit="true" Append="false" PreserveSortAFLayout="true" PreserveFormat="true">
    <DataBinding FileBinding="true" ConnectionID="351" DataBindingLoadMode="1"/>
  </Map>
  <Map ID="21661" Name="root_Map351" RootElement="root" SchemaID="Schema352" ShowImportExportValidationErrors="false" AutoFit="true" Append="false" PreserveSortAFLayout="true" PreserveFormat="true">
    <DataBinding FileBinding="true" ConnectionID="352" DataBindingLoadMode="1"/>
  </Map>
  <Map ID="21732" Name="root_Map352" RootElement="root" SchemaID="Schema353" ShowImportExportValidationErrors="false" AutoFit="true" Append="false" PreserveSortAFLayout="true" PreserveFormat="true">
    <DataBinding FileBinding="true" ConnectionID="353" DataBindingLoadMode="1"/>
  </Map>
  <Map ID="21803" Name="root_Map353" RootElement="root" SchemaID="Schema354" ShowImportExportValidationErrors="false" AutoFit="true" Append="false" PreserveSortAFLayout="true" PreserveFormat="true">
    <DataBinding FileBinding="true" ConnectionID="354" DataBindingLoadMode="1"/>
  </Map>
  <Map ID="21874" Name="root_Map354" RootElement="root" SchemaID="Schema355" ShowImportExportValidationErrors="false" AutoFit="true" Append="false" PreserveSortAFLayout="true" PreserveFormat="true">
    <DataBinding FileBinding="true" ConnectionID="355" DataBindingLoadMode="1"/>
  </Map>
  <Map ID="21945" Name="root_Map355" RootElement="root" SchemaID="Schema356" ShowImportExportValidationErrors="false" AutoFit="true" Append="false" PreserveSortAFLayout="true" PreserveFormat="true">
    <DataBinding FileBinding="true" ConnectionID="356" DataBindingLoadMode="1"/>
  </Map>
  <Map ID="22016" Name="root_Map356" RootElement="root" SchemaID="Schema357" ShowImportExportValidationErrors="false" AutoFit="true" Append="false" PreserveSortAFLayout="true" PreserveFormat="true">
    <DataBinding FileBinding="true" ConnectionID="357" DataBindingLoadMode="1"/>
  </Map>
  <Map ID="22087" Name="root_Map357" RootElement="root" SchemaID="Schema358" ShowImportExportValidationErrors="false" AutoFit="true" Append="false" PreserveSortAFLayout="true" PreserveFormat="true">
    <DataBinding FileBinding="true" ConnectionID="358" DataBindingLoadMode="1"/>
  </Map>
  <Map ID="22158" Name="root_Map358" RootElement="root" SchemaID="Schema359" ShowImportExportValidationErrors="false" AutoFit="true" Append="false" PreserveSortAFLayout="true" PreserveFormat="true">
    <DataBinding FileBinding="true" ConnectionID="359" DataBindingLoadMode="1"/>
  </Map>
  <Map ID="22229" Name="root_Map359" RootElement="root" SchemaID="Schema360" ShowImportExportValidationErrors="false" AutoFit="true" Append="false" PreserveSortAFLayout="true" PreserveFormat="true">
    <DataBinding FileBinding="true" ConnectionID="360" DataBindingLoadMode="1"/>
  </Map>
  <Map ID="82" Name="root_Map36" RootElement="root" SchemaID="Schema37" ShowImportExportValidationErrors="false" AutoFit="true" Append="false" PreserveSortAFLayout="true" PreserveFormat="true">
    <DataBinding FileBinding="true" ConnectionID="39" DataBindingLoadMode="1"/>
  </Map>
  <Map ID="22300" Name="root_Map360" RootElement="root" SchemaID="Schema361" ShowImportExportValidationErrors="false" AutoFit="true" Append="false" PreserveSortAFLayout="true" PreserveFormat="true">
    <DataBinding FileBinding="true" ConnectionID="361" DataBindingLoadMode="1"/>
  </Map>
  <Map ID="22370" Name="root_Map361" RootElement="root" SchemaID="Schema362" ShowImportExportValidationErrors="false" AutoFit="true" Append="false" PreserveSortAFLayout="true" PreserveFormat="true">
    <DataBinding FileBinding="true" ConnectionID="362" DataBindingLoadMode="1"/>
  </Map>
  <Map ID="22440" Name="root_Map362" RootElement="root" SchemaID="Schema363" ShowImportExportValidationErrors="false" AutoFit="true" Append="false" PreserveSortAFLayout="true" PreserveFormat="true">
    <DataBinding FileBinding="true" ConnectionID="363" DataBindingLoadMode="1"/>
  </Map>
  <Map ID="22510" Name="root_Map363" RootElement="root" SchemaID="Schema364" ShowImportExportValidationErrors="false" AutoFit="true" Append="false" PreserveSortAFLayout="true" PreserveFormat="true">
    <DataBinding FileBinding="true" ConnectionID="364" DataBindingLoadMode="1"/>
  </Map>
  <Map ID="22580" Name="root_Map364" RootElement="root" SchemaID="Schema365" ShowImportExportValidationErrors="false" AutoFit="true" Append="false" PreserveSortAFLayout="true" PreserveFormat="true">
    <DataBinding FileBinding="true" ConnectionID="365" DataBindingLoadMode="1"/>
  </Map>
  <Map ID="22650" Name="root_Map365" RootElement="root" SchemaID="Schema366" ShowImportExportValidationErrors="false" AutoFit="true" Append="false" PreserveSortAFLayout="true" PreserveFormat="true">
    <DataBinding FileBinding="true" ConnectionID="366" DataBindingLoadMode="1"/>
  </Map>
  <Map ID="22720" Name="root_Map366" RootElement="root" SchemaID="Schema367" ShowImportExportValidationErrors="false" AutoFit="true" Append="false" PreserveSortAFLayout="true" PreserveFormat="true">
    <DataBinding FileBinding="true" ConnectionID="367" DataBindingLoadMode="1"/>
  </Map>
  <Map ID="22790" Name="root_Map367" RootElement="root" SchemaID="Schema368" ShowImportExportValidationErrors="false" AutoFit="true" Append="false" PreserveSortAFLayout="true" PreserveFormat="true">
    <DataBinding FileBinding="true" ConnectionID="368" DataBindingLoadMode="1"/>
  </Map>
  <Map ID="22860" Name="root_Map368" RootElement="root" SchemaID="Schema369" ShowImportExportValidationErrors="false" AutoFit="true" Append="false" PreserveSortAFLayout="true" PreserveFormat="true">
    <DataBinding FileBinding="true" ConnectionID="369" DataBindingLoadMode="1"/>
  </Map>
  <Map ID="22930" Name="root_Map369" RootElement="root" SchemaID="Schema370" ShowImportExportValidationErrors="false" AutoFit="true" Append="false" PreserveSortAFLayout="true" PreserveFormat="true">
    <DataBinding FileBinding="true" ConnectionID="370" DataBindingLoadMode="1"/>
  </Map>
  <Map ID="89" Name="root_Map37" RootElement="root" SchemaID="Schema38" ShowImportExportValidationErrors="false" AutoFit="true" Append="false" PreserveSortAFLayout="true" PreserveFormat="true">
    <DataBinding FileBinding="true" ConnectionID="42" DataBindingLoadMode="1"/>
  </Map>
  <Map ID="23000" Name="root_Map370" RootElement="root" SchemaID="Schema371" ShowImportExportValidationErrors="false" AutoFit="true" Append="false" PreserveSortAFLayout="true" PreserveFormat="true">
    <DataBinding FileBinding="true" ConnectionID="371" DataBindingLoadMode="1"/>
  </Map>
  <Map ID="23069" Name="root_Map371" RootElement="root" SchemaID="Schema372" ShowImportExportValidationErrors="false" AutoFit="true" Append="false" PreserveSortAFLayout="true" PreserveFormat="true">
    <DataBinding FileBinding="true" ConnectionID="372" DataBindingLoadMode="1"/>
  </Map>
  <Map ID="23138" Name="root_Map372" RootElement="root" SchemaID="Schema373" ShowImportExportValidationErrors="false" AutoFit="true" Append="false" PreserveSortAFLayout="true" PreserveFormat="true">
    <DataBinding FileBinding="true" ConnectionID="373" DataBindingLoadMode="1"/>
  </Map>
  <Map ID="23207" Name="root_Map373" RootElement="root" SchemaID="Schema374" ShowImportExportValidationErrors="false" AutoFit="true" Append="false" PreserveSortAFLayout="true" PreserveFormat="true">
    <DataBinding FileBinding="true" ConnectionID="374" DataBindingLoadMode="1"/>
  </Map>
  <Map ID="23276" Name="root_Map374" RootElement="root" SchemaID="Schema375" ShowImportExportValidationErrors="false" AutoFit="true" Append="false" PreserveSortAFLayout="true" PreserveFormat="true">
    <DataBinding FileBinding="true" ConnectionID="375" DataBindingLoadMode="1"/>
  </Map>
  <Map ID="23345" Name="root_Map375" RootElement="root" SchemaID="Schema376" ShowImportExportValidationErrors="false" AutoFit="true" Append="false" PreserveSortAFLayout="true" PreserveFormat="true">
    <DataBinding FileBinding="true" ConnectionID="376" DataBindingLoadMode="1"/>
  </Map>
  <Map ID="23414" Name="root_Map376" RootElement="root" SchemaID="Schema377" ShowImportExportValidationErrors="false" AutoFit="true" Append="false" PreserveSortAFLayout="true" PreserveFormat="true">
    <DataBinding FileBinding="true" ConnectionID="377" DataBindingLoadMode="1"/>
  </Map>
  <Map ID="23483" Name="root_Map377" RootElement="root" SchemaID="Schema378" ShowImportExportValidationErrors="false" AutoFit="true" Append="false" PreserveSortAFLayout="true" PreserveFormat="true">
    <DataBinding FileBinding="true" ConnectionID="378" DataBindingLoadMode="1"/>
  </Map>
  <Map ID="23552" Name="root_Map378" RootElement="root" SchemaID="Schema379" ShowImportExportValidationErrors="false" AutoFit="true" Append="false" PreserveSortAFLayout="true" PreserveFormat="true">
    <DataBinding FileBinding="true" ConnectionID="379" DataBindingLoadMode="1"/>
  </Map>
  <Map ID="23621" Name="root_Map379" RootElement="root" SchemaID="Schema380" ShowImportExportValidationErrors="false" AutoFit="true" Append="false" PreserveSortAFLayout="true" PreserveFormat="true">
    <DataBinding FileBinding="true" ConnectionID="380" DataBindingLoadMode="1"/>
  </Map>
  <Map ID="96" Name="root_Map38" RootElement="root" SchemaID="Schema39" ShowImportExportValidationErrors="false" AutoFit="true" Append="false" PreserveSortAFLayout="true" PreserveFormat="true">
    <DataBinding FileBinding="true" ConnectionID="43" DataBindingLoadMode="1"/>
  </Map>
  <Map ID="23690" Name="root_Map380" RootElement="root" SchemaID="Schema381" ShowImportExportValidationErrors="false" AutoFit="true" Append="false" PreserveSortAFLayout="true" PreserveFormat="true">
    <DataBinding FileBinding="true" ConnectionID="381" DataBindingLoadMode="1"/>
  </Map>
  <Map ID="23758" Name="root_Map381" RootElement="root" SchemaID="Schema382" ShowImportExportValidationErrors="false" AutoFit="true" Append="false" PreserveSortAFLayout="true" PreserveFormat="true">
    <DataBinding FileBinding="true" ConnectionID="382" DataBindingLoadMode="1"/>
  </Map>
  <Map ID="23826" Name="root_Map382" RootElement="root" SchemaID="Schema383" ShowImportExportValidationErrors="false" AutoFit="true" Append="false" PreserveSortAFLayout="true" PreserveFormat="true">
    <DataBinding FileBinding="true" ConnectionID="383" DataBindingLoadMode="1"/>
  </Map>
  <Map ID="23894" Name="root_Map383" RootElement="root" SchemaID="Schema384" ShowImportExportValidationErrors="false" AutoFit="true" Append="false" PreserveSortAFLayout="true" PreserveFormat="true">
    <DataBinding FileBinding="true" ConnectionID="384" DataBindingLoadMode="1"/>
  </Map>
  <Map ID="23962" Name="root_Map384" RootElement="root" SchemaID="Schema385" ShowImportExportValidationErrors="false" AutoFit="true" Append="false" PreserveSortAFLayout="true" PreserveFormat="true">
    <DataBinding FileBinding="true" ConnectionID="385" DataBindingLoadMode="1"/>
  </Map>
  <Map ID="24030" Name="root_Map385" RootElement="root" SchemaID="Schema386" ShowImportExportValidationErrors="false" AutoFit="true" Append="false" PreserveSortAFLayout="true" PreserveFormat="true">
    <DataBinding FileBinding="true" ConnectionID="386" DataBindingLoadMode="1"/>
  </Map>
  <Map ID="24098" Name="root_Map386" RootElement="root" SchemaID="Schema387" ShowImportExportValidationErrors="false" AutoFit="true" Append="false" PreserveSortAFLayout="true" PreserveFormat="true">
    <DataBinding FileBinding="true" ConnectionID="387" DataBindingLoadMode="1"/>
  </Map>
  <Map ID="24166" Name="root_Map387" RootElement="root" SchemaID="Schema388" ShowImportExportValidationErrors="false" AutoFit="true" Append="false" PreserveSortAFLayout="true" PreserveFormat="true">
    <DataBinding FileBinding="true" ConnectionID="388" DataBindingLoadMode="1"/>
  </Map>
  <Map ID="24234" Name="root_Map388" RootElement="root" SchemaID="Schema389" ShowImportExportValidationErrors="false" AutoFit="true" Append="false" PreserveSortAFLayout="true" PreserveFormat="true">
    <DataBinding FileBinding="true" ConnectionID="389" DataBindingLoadMode="1"/>
  </Map>
  <Map ID="24302" Name="root_Map389" RootElement="root" SchemaID="Schema390" ShowImportExportValidationErrors="false" AutoFit="true" Append="false" PreserveSortAFLayout="true" PreserveFormat="true">
    <DataBinding FileBinding="true" ConnectionID="390" DataBindingLoadMode="1"/>
  </Map>
  <Map ID="103" Name="root_Map39" RootElement="root" SchemaID="Schema40" ShowImportExportValidationErrors="false" AutoFit="true" Append="false" PreserveSortAFLayout="true" PreserveFormat="true">
    <DataBinding FileBinding="true" ConnectionID="50" DataBindingLoadMode="1"/>
  </Map>
  <Map ID="24370" Name="root_Map390" RootElement="root" SchemaID="Schema391" ShowImportExportValidationErrors="false" AutoFit="true" Append="false" PreserveSortAFLayout="true" PreserveFormat="true">
    <DataBinding FileBinding="true" ConnectionID="391" DataBindingLoadMode="1"/>
  </Map>
  <Map ID="24437" Name="root_Map391" RootElement="root" SchemaID="Schema392" ShowImportExportValidationErrors="false" AutoFit="true" Append="false" PreserveSortAFLayout="true" PreserveFormat="true">
    <DataBinding FileBinding="true" ConnectionID="392" DataBindingLoadMode="1"/>
  </Map>
  <Map ID="24504" Name="root_Map392" RootElement="root" SchemaID="Schema393" ShowImportExportValidationErrors="false" AutoFit="true" Append="false" PreserveSortAFLayout="true" PreserveFormat="true">
    <DataBinding FileBinding="true" ConnectionID="393" DataBindingLoadMode="1"/>
  </Map>
  <Map ID="24571" Name="root_Map393" RootElement="root" SchemaID="Schema394" ShowImportExportValidationErrors="false" AutoFit="true" Append="false" PreserveSortAFLayout="true" PreserveFormat="true">
    <DataBinding FileBinding="true" ConnectionID="394" DataBindingLoadMode="1"/>
  </Map>
  <Map ID="24638" Name="root_Map394" RootElement="root" SchemaID="Schema395" ShowImportExportValidationErrors="false" AutoFit="true" Append="false" PreserveSortAFLayout="true" PreserveFormat="true">
    <DataBinding FileBinding="true" ConnectionID="395" DataBindingLoadMode="1"/>
  </Map>
  <Map ID="24705" Name="root_Map395" RootElement="root" SchemaID="Schema396" ShowImportExportValidationErrors="false" AutoFit="true" Append="false" PreserveSortAFLayout="true" PreserveFormat="true">
    <DataBinding FileBinding="true" ConnectionID="396" DataBindingLoadMode="1"/>
  </Map>
  <Map ID="24772" Name="root_Map396" RootElement="root" SchemaID="Schema397" ShowImportExportValidationErrors="false" AutoFit="true" Append="false" PreserveSortAFLayout="true" PreserveFormat="true">
    <DataBinding FileBinding="true" ConnectionID="397" DataBindingLoadMode="1"/>
  </Map>
  <Map ID="24839" Name="root_Map397" RootElement="root" SchemaID="Schema398" ShowImportExportValidationErrors="false" AutoFit="true" Append="false" PreserveSortAFLayout="true" PreserveFormat="true">
    <DataBinding FileBinding="true" ConnectionID="398" DataBindingLoadMode="1"/>
  </Map>
  <Map ID="24906" Name="root_Map398" RootElement="root" SchemaID="Schema399" ShowImportExportValidationErrors="false" AutoFit="true" Append="false" PreserveSortAFLayout="true" PreserveFormat="true">
    <DataBinding FileBinding="true" ConnectionID="399" DataBindingLoadMode="1"/>
  </Map>
  <Map ID="24973" Name="root_Map399" RootElement="root" SchemaID="Schema400" ShowImportExportValidationErrors="false" AutoFit="true" Append="false" PreserveSortAFLayout="true" PreserveFormat="true">
    <DataBinding FileBinding="true" ConnectionID="400" DataBindingLoadMode="1"/>
  </Map>
  <Map ID="5" Name="root_Map4" RootElement="root" SchemaID="Schema5" ShowImportExportValidationErrors="false" AutoFit="true" Append="false" PreserveSortAFLayout="true" PreserveFormat="true">
    <DataBinding FileBinding="true" ConnectionID="7" DataBindingLoadMode="1"/>
  </Map>
  <Map ID="110" Name="root_Map40" RootElement="root" SchemaID="Schema41" ShowImportExportValidationErrors="false" AutoFit="true" Append="false" PreserveSortAFLayout="true" PreserveFormat="true">
    <DataBinding FileBinding="true" ConnectionID="51" DataBindingLoadMode="1"/>
  </Map>
  <Map ID="25040" Name="root_Map400" RootElement="root" SchemaID="Schema401" ShowImportExportValidationErrors="false" AutoFit="true" Append="false" PreserveSortAFLayout="true" PreserveFormat="true">
    <DataBinding FileBinding="true" ConnectionID="401" DataBindingLoadMode="1"/>
  </Map>
  <Map ID="25105" Name="root_Map401" RootElement="root" SchemaID="Schema402" ShowImportExportValidationErrors="false" AutoFit="true" Append="false" PreserveSortAFLayout="true" PreserveFormat="true">
    <DataBinding FileBinding="true" ConnectionID="402" DataBindingLoadMode="1"/>
  </Map>
  <Map ID="25170" Name="root_Map402" RootElement="root" SchemaID="Schema403" ShowImportExportValidationErrors="false" AutoFit="true" Append="false" PreserveSortAFLayout="true" PreserveFormat="true">
    <DataBinding FileBinding="true" ConnectionID="403" DataBindingLoadMode="1"/>
  </Map>
  <Map ID="25235" Name="root_Map403" RootElement="root" SchemaID="Schema404" ShowImportExportValidationErrors="false" AutoFit="true" Append="false" PreserveSortAFLayout="true" PreserveFormat="true">
    <DataBinding FileBinding="true" ConnectionID="404" DataBindingLoadMode="1"/>
  </Map>
  <Map ID="25300" Name="root_Map404" RootElement="root" SchemaID="Schema405" ShowImportExportValidationErrors="false" AutoFit="true" Append="false" PreserveSortAFLayout="true" PreserveFormat="true">
    <DataBinding FileBinding="true" ConnectionID="405" DataBindingLoadMode="1"/>
  </Map>
  <Map ID="25365" Name="root_Map405" RootElement="root" SchemaID="Schema406" ShowImportExportValidationErrors="false" AutoFit="true" Append="false" PreserveSortAFLayout="true" PreserveFormat="true">
    <DataBinding FileBinding="true" ConnectionID="406" DataBindingLoadMode="1"/>
  </Map>
  <Map ID="25430" Name="root_Map406" RootElement="root" SchemaID="Schema407" ShowImportExportValidationErrors="false" AutoFit="true" Append="false" PreserveSortAFLayout="true" PreserveFormat="true">
    <DataBinding FileBinding="true" ConnectionID="407" DataBindingLoadMode="1"/>
  </Map>
  <Map ID="25495" Name="root_Map407" RootElement="root" SchemaID="Schema408" ShowImportExportValidationErrors="false" AutoFit="true" Append="false" PreserveSortAFLayout="true" PreserveFormat="true">
    <DataBinding FileBinding="true" ConnectionID="408" DataBindingLoadMode="1"/>
  </Map>
  <Map ID="25560" Name="root_Map408" RootElement="root" SchemaID="Schema409" ShowImportExportValidationErrors="false" AutoFit="true" Append="false" PreserveSortAFLayout="true" PreserveFormat="true">
    <DataBinding FileBinding="true" ConnectionID="409" DataBindingLoadMode="1"/>
  </Map>
  <Map ID="25625" Name="root_Map409" RootElement="root" SchemaID="Schema410" ShowImportExportValidationErrors="false" AutoFit="true" Append="false" PreserveSortAFLayout="true" PreserveFormat="true">
    <DataBinding FileBinding="true" ConnectionID="410" DataBindingLoadMode="1"/>
  </Map>
  <Map ID="116" Name="root_Map41" RootElement="root" SchemaID="Schema42" ShowImportExportValidationErrors="false" AutoFit="true" Append="false" PreserveSortAFLayout="true" PreserveFormat="true">
    <DataBinding FileBinding="true" ConnectionID="52" DataBindingLoadMode="1"/>
  </Map>
  <Map ID="25690" Name="root_Map410" RootElement="root" SchemaID="Schema411" ShowImportExportValidationErrors="false" AutoFit="true" Append="false" PreserveSortAFLayout="true" PreserveFormat="true">
    <DataBinding FileBinding="true" ConnectionID="411" DataBindingLoadMode="1"/>
  </Map>
  <Map ID="25754" Name="root_Map411" RootElement="root" SchemaID="Schema412" ShowImportExportValidationErrors="false" AutoFit="true" Append="false" PreserveSortAFLayout="true" PreserveFormat="true">
    <DataBinding FileBinding="true" ConnectionID="412" DataBindingLoadMode="1"/>
  </Map>
  <Map ID="25818" Name="root_Map412" RootElement="root" SchemaID="Schema413" ShowImportExportValidationErrors="false" AutoFit="true" Append="false" PreserveSortAFLayout="true" PreserveFormat="true">
    <DataBinding FileBinding="true" ConnectionID="413" DataBindingLoadMode="1"/>
  </Map>
  <Map ID="25882" Name="root_Map413" RootElement="root" SchemaID="Schema414" ShowImportExportValidationErrors="false" AutoFit="true" Append="false" PreserveSortAFLayout="true" PreserveFormat="true">
    <DataBinding FileBinding="true" ConnectionID="414" DataBindingLoadMode="1"/>
  </Map>
  <Map ID="25946" Name="root_Map414" RootElement="root" SchemaID="Schema415" ShowImportExportValidationErrors="false" AutoFit="true" Append="false" PreserveSortAFLayout="true" PreserveFormat="true">
    <DataBinding FileBinding="true" ConnectionID="415" DataBindingLoadMode="1"/>
  </Map>
  <Map ID="26010" Name="root_Map415" RootElement="root" SchemaID="Schema416" ShowImportExportValidationErrors="false" AutoFit="true" Append="false" PreserveSortAFLayout="true" PreserveFormat="true">
    <DataBinding FileBinding="true" ConnectionID="416" DataBindingLoadMode="1"/>
  </Map>
  <Map ID="26074" Name="root_Map416" RootElement="root" SchemaID="Schema417" ShowImportExportValidationErrors="false" AutoFit="true" Append="false" PreserveSortAFLayout="true" PreserveFormat="true">
    <DataBinding FileBinding="true" ConnectionID="417" DataBindingLoadMode="1"/>
  </Map>
  <Map ID="26138" Name="root_Map417" RootElement="root" SchemaID="Schema418" ShowImportExportValidationErrors="false" AutoFit="true" Append="false" PreserveSortAFLayout="true" PreserveFormat="true">
    <DataBinding FileBinding="true" ConnectionID="418" DataBindingLoadMode="1"/>
  </Map>
  <Map ID="26202" Name="root_Map418" RootElement="root" SchemaID="Schema419" ShowImportExportValidationErrors="false" AutoFit="true" Append="false" PreserveSortAFLayout="true" PreserveFormat="true">
    <DataBinding FileBinding="true" ConnectionID="419" DataBindingLoadMode="1"/>
  </Map>
  <Map ID="26266" Name="root_Map419" RootElement="root" SchemaID="Schema420" ShowImportExportValidationErrors="false" AutoFit="true" Append="false" PreserveSortAFLayout="true" PreserveFormat="true">
    <DataBinding FileBinding="true" ConnectionID="420" DataBindingLoadMode="1"/>
  </Map>
  <Map ID="122" Name="root_Map42" RootElement="root" SchemaID="Schema43" ShowImportExportValidationErrors="false" AutoFit="true" Append="false" PreserveSortAFLayout="true" PreserveFormat="true">
    <DataBinding FileBinding="true" ConnectionID="53" DataBindingLoadMode="1"/>
  </Map>
  <Map ID="26330" Name="root_Map420" RootElement="root" SchemaID="Schema421" ShowImportExportValidationErrors="false" AutoFit="true" Append="false" PreserveSortAFLayout="true" PreserveFormat="true">
    <DataBinding FileBinding="true" ConnectionID="421" DataBindingLoadMode="1"/>
  </Map>
  <Map ID="26393" Name="root_Map421" RootElement="root" SchemaID="Schema422" ShowImportExportValidationErrors="false" AutoFit="true" Append="false" PreserveSortAFLayout="true" PreserveFormat="true">
    <DataBinding FileBinding="true" ConnectionID="422" DataBindingLoadMode="1"/>
  </Map>
  <Map ID="26456" Name="root_Map422" RootElement="root" SchemaID="Schema423" ShowImportExportValidationErrors="false" AutoFit="true" Append="false" PreserveSortAFLayout="true" PreserveFormat="true">
    <DataBinding FileBinding="true" ConnectionID="423" DataBindingLoadMode="1"/>
  </Map>
  <Map ID="26519" Name="root_Map423" RootElement="root" SchemaID="Schema424" ShowImportExportValidationErrors="false" AutoFit="true" Append="false" PreserveSortAFLayout="true" PreserveFormat="true">
    <DataBinding FileBinding="true" ConnectionID="424" DataBindingLoadMode="1"/>
  </Map>
  <Map ID="26582" Name="root_Map424" RootElement="root" SchemaID="Schema425" ShowImportExportValidationErrors="false" AutoFit="true" Append="false" PreserveSortAFLayout="true" PreserveFormat="true">
    <DataBinding FileBinding="true" ConnectionID="425" DataBindingLoadMode="1"/>
  </Map>
  <Map ID="26645" Name="root_Map425" RootElement="root" SchemaID="Schema426" ShowImportExportValidationErrors="false" AutoFit="true" Append="false" PreserveSortAFLayout="true" PreserveFormat="true">
    <DataBinding FileBinding="true" ConnectionID="426" DataBindingLoadMode="1"/>
  </Map>
  <Map ID="26708" Name="root_Map426" RootElement="root" SchemaID="Schema427" ShowImportExportValidationErrors="false" AutoFit="true" Append="false" PreserveSortAFLayout="true" PreserveFormat="true">
    <DataBinding FileBinding="true" ConnectionID="427" DataBindingLoadMode="1"/>
  </Map>
  <Map ID="26771" Name="root_Map427" RootElement="root" SchemaID="Schema428" ShowImportExportValidationErrors="false" AutoFit="true" Append="false" PreserveSortAFLayout="true" PreserveFormat="true">
    <DataBinding FileBinding="true" ConnectionID="428" DataBindingLoadMode="1"/>
  </Map>
  <Map ID="26834" Name="root_Map428" RootElement="root" SchemaID="Schema429" ShowImportExportValidationErrors="false" AutoFit="true" Append="false" PreserveSortAFLayout="true" PreserveFormat="true">
    <DataBinding FileBinding="true" ConnectionID="429" DataBindingLoadMode="1"/>
  </Map>
  <Map ID="26897" Name="root_Map429" RootElement="root" SchemaID="Schema430" ShowImportExportValidationErrors="false" AutoFit="true" Append="false" PreserveSortAFLayout="true" PreserveFormat="true">
    <DataBinding FileBinding="true" ConnectionID="430" DataBindingLoadMode="1"/>
  </Map>
  <Map ID="123" Name="root_Map43" RootElement="root" SchemaID="Schema44" ShowImportExportValidationErrors="false" AutoFit="true" Append="false" PreserveSortAFLayout="true" PreserveFormat="true">
    <DataBinding FileBinding="true" ConnectionID="54" DataBindingLoadMode="1"/>
  </Map>
  <Map ID="26960" Name="root_Map430" RootElement="root" SchemaID="Schema431" ShowImportExportValidationErrors="false" AutoFit="true" Append="false" PreserveSortAFLayout="true" PreserveFormat="true">
    <DataBinding FileBinding="true" ConnectionID="431" DataBindingLoadMode="1"/>
  </Map>
  <Map ID="27022" Name="root_Map431" RootElement="root" SchemaID="Schema432" ShowImportExportValidationErrors="false" AutoFit="true" Append="false" PreserveSortAFLayout="true" PreserveFormat="true">
    <DataBinding FileBinding="true" ConnectionID="432" DataBindingLoadMode="1"/>
  </Map>
  <Map ID="27084" Name="root_Map432" RootElement="root" SchemaID="Schema433" ShowImportExportValidationErrors="false" AutoFit="true" Append="false" PreserveSortAFLayout="true" PreserveFormat="true">
    <DataBinding FileBinding="true" ConnectionID="433" DataBindingLoadMode="1"/>
  </Map>
  <Map ID="27146" Name="root_Map433" RootElement="root" SchemaID="Schema434" ShowImportExportValidationErrors="false" AutoFit="true" Append="false" PreserveSortAFLayout="true" PreserveFormat="true">
    <DataBinding FileBinding="true" ConnectionID="434" DataBindingLoadMode="1"/>
  </Map>
  <Map ID="27208" Name="root_Map434" RootElement="root" SchemaID="Schema435" ShowImportExportValidationErrors="false" AutoFit="true" Append="false" PreserveSortAFLayout="true" PreserveFormat="true">
    <DataBinding FileBinding="true" ConnectionID="435" DataBindingLoadMode="1"/>
  </Map>
  <Map ID="27270" Name="root_Map435" RootElement="root" SchemaID="Schema436" ShowImportExportValidationErrors="false" AutoFit="true" Append="false" PreserveSortAFLayout="true" PreserveFormat="true">
    <DataBinding FileBinding="true" ConnectionID="436" DataBindingLoadMode="1"/>
  </Map>
  <Map ID="27332" Name="root_Map436" RootElement="root" SchemaID="Schema437" ShowImportExportValidationErrors="false" AutoFit="true" Append="false" PreserveSortAFLayout="true" PreserveFormat="true">
    <DataBinding FileBinding="true" ConnectionID="437" DataBindingLoadMode="1"/>
  </Map>
  <Map ID="27394" Name="root_Map437" RootElement="root" SchemaID="Schema438" ShowImportExportValidationErrors="false" AutoFit="true" Append="false" PreserveSortAFLayout="true" PreserveFormat="true">
    <DataBinding FileBinding="true" ConnectionID="438" DataBindingLoadMode="1"/>
  </Map>
  <Map ID="27456" Name="root_Map438" RootElement="root" SchemaID="Schema439" ShowImportExportValidationErrors="false" AutoFit="true" Append="false" PreserveSortAFLayout="true" PreserveFormat="true">
    <DataBinding FileBinding="true" ConnectionID="439" DataBindingLoadMode="1"/>
  </Map>
  <Map ID="27518" Name="root_Map439" RootElement="root" SchemaID="Schema440" ShowImportExportValidationErrors="false" AutoFit="true" Append="false" PreserveSortAFLayout="true" PreserveFormat="true">
    <DataBinding FileBinding="true" ConnectionID="440" DataBindingLoadMode="1"/>
  </Map>
  <Map ID="124" Name="root_Map44" RootElement="root" SchemaID="Schema45" ShowImportExportValidationErrors="false" AutoFit="true" Append="false" PreserveSortAFLayout="true" PreserveFormat="true">
    <DataBinding FileBinding="true" ConnectionID="55" DataBindingLoadMode="1"/>
  </Map>
  <Map ID="27580" Name="root_Map440" RootElement="root" SchemaID="Schema441" ShowImportExportValidationErrors="false" AutoFit="true" Append="false" PreserveSortAFLayout="true" PreserveFormat="true">
    <DataBinding FileBinding="true" ConnectionID="441" DataBindingLoadMode="1"/>
  </Map>
  <Map ID="27641" Name="root_Map441" RootElement="root" SchemaID="Schema442" ShowImportExportValidationErrors="false" AutoFit="true" Append="false" PreserveSortAFLayout="true" PreserveFormat="true">
    <DataBinding FileBinding="true" ConnectionID="442" DataBindingLoadMode="1"/>
  </Map>
  <Map ID="27702" Name="root_Map442" RootElement="root" SchemaID="Schema443" ShowImportExportValidationErrors="false" AutoFit="true" Append="false" PreserveSortAFLayout="true" PreserveFormat="true">
    <DataBinding FileBinding="true" ConnectionID="443" DataBindingLoadMode="1"/>
  </Map>
  <Map ID="27763" Name="root_Map443" RootElement="root" SchemaID="Schema444" ShowImportExportValidationErrors="false" AutoFit="true" Append="false" PreserveSortAFLayout="true" PreserveFormat="true">
    <DataBinding FileBinding="true" ConnectionID="444" DataBindingLoadMode="1"/>
  </Map>
  <Map ID="27824" Name="root_Map444" RootElement="root" SchemaID="Schema445" ShowImportExportValidationErrors="false" AutoFit="true" Append="false" PreserveSortAFLayout="true" PreserveFormat="true">
    <DataBinding FileBinding="true" ConnectionID="445" DataBindingLoadMode="1"/>
  </Map>
  <Map ID="27885" Name="root_Map445" RootElement="root" SchemaID="Schema446" ShowImportExportValidationErrors="false" AutoFit="true" Append="false" PreserveSortAFLayout="true" PreserveFormat="true">
    <DataBinding FileBinding="true" ConnectionID="446" DataBindingLoadMode="1"/>
  </Map>
  <Map ID="27946" Name="root_Map446" RootElement="root" SchemaID="Schema447" ShowImportExportValidationErrors="false" AutoFit="true" Append="false" PreserveSortAFLayout="true" PreserveFormat="true">
    <DataBinding FileBinding="true" ConnectionID="447" DataBindingLoadMode="1"/>
  </Map>
  <Map ID="28007" Name="root_Map447" RootElement="root" SchemaID="Schema448" ShowImportExportValidationErrors="false" AutoFit="true" Append="false" PreserveSortAFLayout="true" PreserveFormat="true">
    <DataBinding FileBinding="true" ConnectionID="448" DataBindingLoadMode="1"/>
  </Map>
  <Map ID="28068" Name="root_Map448" RootElement="root" SchemaID="Schema449" ShowImportExportValidationErrors="false" AutoFit="true" Append="false" PreserveSortAFLayout="true" PreserveFormat="true">
    <DataBinding FileBinding="true" ConnectionID="449" DataBindingLoadMode="1"/>
  </Map>
  <Map ID="28129" Name="root_Map449" RootElement="root" SchemaID="Schema450" ShowImportExportValidationErrors="false" AutoFit="true" Append="false" PreserveSortAFLayout="true" PreserveFormat="true">
    <DataBinding FileBinding="true" ConnectionID="450" DataBindingLoadMode="1"/>
  </Map>
  <Map ID="130" Name="root_Map45" RootElement="root" SchemaID="Schema46" ShowImportExportValidationErrors="false" AutoFit="true" Append="false" PreserveSortAFLayout="true" PreserveFormat="true">
    <DataBinding FileBinding="true" ConnectionID="56" DataBindingLoadMode="1"/>
  </Map>
  <Map ID="28190" Name="root_Map450" RootElement="root" SchemaID="Schema451" ShowImportExportValidationErrors="false" AutoFit="true" Append="false" PreserveSortAFLayout="true" PreserveFormat="true">
    <DataBinding FileBinding="true" ConnectionID="451" DataBindingLoadMode="1"/>
  </Map>
  <Map ID="28250" Name="root_Map451" RootElement="root" SchemaID="Schema452" ShowImportExportValidationErrors="false" AutoFit="true" Append="false" PreserveSortAFLayout="true" PreserveFormat="true">
    <DataBinding FileBinding="true" ConnectionID="452" DataBindingLoadMode="1"/>
  </Map>
  <Map ID="28310" Name="root_Map452" RootElement="root" SchemaID="Schema453" ShowImportExportValidationErrors="false" AutoFit="true" Append="false" PreserveSortAFLayout="true" PreserveFormat="true">
    <DataBinding FileBinding="true" ConnectionID="453" DataBindingLoadMode="1"/>
  </Map>
  <Map ID="28370" Name="root_Map453" RootElement="root" SchemaID="Schema454" ShowImportExportValidationErrors="false" AutoFit="true" Append="false" PreserveSortAFLayout="true" PreserveFormat="true">
    <DataBinding FileBinding="true" ConnectionID="454" DataBindingLoadMode="1"/>
  </Map>
  <Map ID="28430" Name="root_Map454" RootElement="root" SchemaID="Schema455" ShowImportExportValidationErrors="false" AutoFit="true" Append="false" PreserveSortAFLayout="true" PreserveFormat="true">
    <DataBinding FileBinding="true" ConnectionID="455" DataBindingLoadMode="1"/>
  </Map>
  <Map ID="28490" Name="root_Map455" RootElement="root" SchemaID="Schema456" ShowImportExportValidationErrors="false" AutoFit="true" Append="false" PreserveSortAFLayout="true" PreserveFormat="true">
    <DataBinding FileBinding="true" ConnectionID="456" DataBindingLoadMode="1"/>
  </Map>
  <Map ID="28550" Name="root_Map456" RootElement="root" SchemaID="Schema457" ShowImportExportValidationErrors="false" AutoFit="true" Append="false" PreserveSortAFLayout="true" PreserveFormat="true">
    <DataBinding FileBinding="true" ConnectionID="457" DataBindingLoadMode="1"/>
  </Map>
  <Map ID="28610" Name="root_Map457" RootElement="root" SchemaID="Schema458" ShowImportExportValidationErrors="false" AutoFit="true" Append="false" PreserveSortAFLayout="true" PreserveFormat="true">
    <DataBinding FileBinding="true" ConnectionID="458" DataBindingLoadMode="1"/>
  </Map>
  <Map ID="28670" Name="root_Map458" RootElement="root" SchemaID="Schema459" ShowImportExportValidationErrors="false" AutoFit="true" Append="false" PreserveSortAFLayout="true" PreserveFormat="true">
    <DataBinding FileBinding="true" ConnectionID="459" DataBindingLoadMode="1"/>
  </Map>
  <Map ID="28730" Name="root_Map459" RootElement="root" SchemaID="Schema460" ShowImportExportValidationErrors="false" AutoFit="true" Append="false" PreserveSortAFLayout="true" PreserveFormat="true">
    <DataBinding FileBinding="true" ConnectionID="460" DataBindingLoadMode="1"/>
  </Map>
  <Map ID="136" Name="root_Map46" RootElement="root" SchemaID="Schema47" ShowImportExportValidationErrors="false" AutoFit="true" Append="false" PreserveSortAFLayout="true" PreserveFormat="true">
    <DataBinding FileBinding="true" ConnectionID="57" DataBindingLoadMode="1"/>
  </Map>
  <Map ID="28790" Name="root_Map460" RootElement="root" SchemaID="Schema461" ShowImportExportValidationErrors="false" AutoFit="true" Append="false" PreserveSortAFLayout="true" PreserveFormat="true">
    <DataBinding FileBinding="true" ConnectionID="461" DataBindingLoadMode="1"/>
  </Map>
  <Map ID="28849" Name="root_Map461" RootElement="root" SchemaID="Schema462" ShowImportExportValidationErrors="false" AutoFit="true" Append="false" PreserveSortAFLayout="true" PreserveFormat="true">
    <DataBinding FileBinding="true" ConnectionID="462" DataBindingLoadMode="1"/>
  </Map>
  <Map ID="28908" Name="root_Map462" RootElement="root" SchemaID="Schema463" ShowImportExportValidationErrors="false" AutoFit="true" Append="false" PreserveSortAFLayout="true" PreserveFormat="true">
    <DataBinding FileBinding="true" ConnectionID="463" DataBindingLoadMode="1"/>
  </Map>
  <Map ID="28967" Name="root_Map463" RootElement="root" SchemaID="Schema464" ShowImportExportValidationErrors="false" AutoFit="true" Append="false" PreserveSortAFLayout="true" PreserveFormat="true">
    <DataBinding FileBinding="true" ConnectionID="464" DataBindingLoadMode="1"/>
  </Map>
  <Map ID="29026" Name="root_Map464" RootElement="root" SchemaID="Schema465" ShowImportExportValidationErrors="false" AutoFit="true" Append="false" PreserveSortAFLayout="true" PreserveFormat="true">
    <DataBinding FileBinding="true" ConnectionID="465" DataBindingLoadMode="1"/>
  </Map>
  <Map ID="29085" Name="root_Map465" RootElement="root" SchemaID="Schema466" ShowImportExportValidationErrors="false" AutoFit="true" Append="false" PreserveSortAFLayout="true" PreserveFormat="true">
    <DataBinding FileBinding="true" ConnectionID="466" DataBindingLoadMode="1"/>
  </Map>
  <Map ID="29144" Name="root_Map466" RootElement="root" SchemaID="Schema467" ShowImportExportValidationErrors="false" AutoFit="true" Append="false" PreserveSortAFLayout="true" PreserveFormat="true">
    <DataBinding FileBinding="true" ConnectionID="467" DataBindingLoadMode="1"/>
  </Map>
  <Map ID="29203" Name="root_Map467" RootElement="root" SchemaID="Schema468" ShowImportExportValidationErrors="false" AutoFit="true" Append="false" PreserveSortAFLayout="true" PreserveFormat="true">
    <DataBinding FileBinding="true" ConnectionID="468" DataBindingLoadMode="1"/>
  </Map>
  <Map ID="29262" Name="root_Map468" RootElement="root" SchemaID="Schema469" ShowImportExportValidationErrors="false" AutoFit="true" Append="false" PreserveSortAFLayout="true" PreserveFormat="true">
    <DataBinding FileBinding="true" ConnectionID="469" DataBindingLoadMode="1"/>
  </Map>
  <Map ID="29321" Name="root_Map469" RootElement="root" SchemaID="Schema470" ShowImportExportValidationErrors="false" AutoFit="true" Append="false" PreserveSortAFLayout="true" PreserveFormat="true">
    <DataBinding FileBinding="true" ConnectionID="470" DataBindingLoadMode="1"/>
  </Map>
  <Map ID="142" Name="root_Map47" RootElement="root" SchemaID="Schema48" ShowImportExportValidationErrors="false" AutoFit="true" Append="false" PreserveSortAFLayout="true" PreserveFormat="true">
    <DataBinding FileBinding="true" ConnectionID="40" DataBindingLoadMode="1"/>
  </Map>
  <Map ID="29380" Name="root_Map470" RootElement="root" SchemaID="Schema471" ShowImportExportValidationErrors="false" AutoFit="true" Append="false" PreserveSortAFLayout="true" PreserveFormat="true">
    <DataBinding FileBinding="true" ConnectionID="471" DataBindingLoadMode="1"/>
  </Map>
  <Map ID="29438" Name="root_Map471" RootElement="root" SchemaID="Schema472" ShowImportExportValidationErrors="false" AutoFit="true" Append="false" PreserveSortAFLayout="true" PreserveFormat="true">
    <DataBinding FileBinding="true" ConnectionID="472" DataBindingLoadMode="1"/>
  </Map>
  <Map ID="29496" Name="root_Map472" RootElement="root" SchemaID="Schema473" ShowImportExportValidationErrors="false" AutoFit="true" Append="false" PreserveSortAFLayout="true" PreserveFormat="true">
    <DataBinding FileBinding="true" ConnectionID="473" DataBindingLoadMode="1"/>
  </Map>
  <Map ID="29554" Name="root_Map473" RootElement="root" SchemaID="Schema474" ShowImportExportValidationErrors="false" AutoFit="true" Append="false" PreserveSortAFLayout="true" PreserveFormat="true">
    <DataBinding FileBinding="true" ConnectionID="474" DataBindingLoadMode="1"/>
  </Map>
  <Map ID="29612" Name="root_Map474" RootElement="root" SchemaID="Schema475" ShowImportExportValidationErrors="false" AutoFit="true" Append="false" PreserveSortAFLayout="true" PreserveFormat="true">
    <DataBinding FileBinding="true" ConnectionID="475" DataBindingLoadMode="1"/>
  </Map>
  <Map ID="29670" Name="root_Map475" RootElement="root" SchemaID="Schema476" ShowImportExportValidationErrors="false" AutoFit="true" Append="false" PreserveSortAFLayout="true" PreserveFormat="true">
    <DataBinding FileBinding="true" ConnectionID="476" DataBindingLoadMode="1"/>
  </Map>
  <Map ID="29728" Name="root_Map476" RootElement="root" SchemaID="Schema477" ShowImportExportValidationErrors="false" AutoFit="true" Append="false" PreserveSortAFLayout="true" PreserveFormat="true">
    <DataBinding FileBinding="true" ConnectionID="477" DataBindingLoadMode="1"/>
  </Map>
  <Map ID="29786" Name="root_Map477" RootElement="root" SchemaID="Schema478" ShowImportExportValidationErrors="false" AutoFit="true" Append="false" PreserveSortAFLayout="true" PreserveFormat="true">
    <DataBinding FileBinding="true" ConnectionID="478" DataBindingLoadMode="1"/>
  </Map>
  <Map ID="29844" Name="root_Map478" RootElement="root" SchemaID="Schema479" ShowImportExportValidationErrors="false" AutoFit="true" Append="false" PreserveSortAFLayout="true" PreserveFormat="true">
    <DataBinding FileBinding="true" ConnectionID="479" DataBindingLoadMode="1"/>
  </Map>
  <Map ID="29902" Name="root_Map479" RootElement="root" SchemaID="Schema480" ShowImportExportValidationErrors="false" AutoFit="true" Append="false" PreserveSortAFLayout="true" PreserveFormat="true">
    <DataBinding FileBinding="true" ConnectionID="480" DataBindingLoadMode="1"/>
  </Map>
  <Map ID="148" Name="root_Map48" RootElement="root" SchemaID="Schema49" ShowImportExportValidationErrors="false" AutoFit="true" Append="false" PreserveSortAFLayout="true" PreserveFormat="true">
    <DataBinding FileBinding="true" ConnectionID="41" DataBindingLoadMode="1"/>
  </Map>
  <Map ID="29960" Name="root_Map480" RootElement="root" SchemaID="Schema481" ShowImportExportValidationErrors="false" AutoFit="true" Append="false" PreserveSortAFLayout="true" PreserveFormat="true">
    <DataBinding FileBinding="true" ConnectionID="481" DataBindingLoadMode="1"/>
  </Map>
  <Map ID="30017" Name="root_Map481" RootElement="root" SchemaID="Schema482" ShowImportExportValidationErrors="false" AutoFit="true" Append="false" PreserveSortAFLayout="true" PreserveFormat="true">
    <DataBinding FileBinding="true" ConnectionID="482" DataBindingLoadMode="1"/>
  </Map>
  <Map ID="30074" Name="root_Map482" RootElement="root" SchemaID="Schema483" ShowImportExportValidationErrors="false" AutoFit="true" Append="false" PreserveSortAFLayout="true" PreserveFormat="true">
    <DataBinding FileBinding="true" ConnectionID="483" DataBindingLoadMode="1"/>
  </Map>
  <Map ID="30131" Name="root_Map483" RootElement="root" SchemaID="Schema484" ShowImportExportValidationErrors="false" AutoFit="true" Append="false" PreserveSortAFLayout="true" PreserveFormat="true">
    <DataBinding FileBinding="true" ConnectionID="484" DataBindingLoadMode="1"/>
  </Map>
  <Map ID="30188" Name="root_Map484" RootElement="root" SchemaID="Schema485" ShowImportExportValidationErrors="false" AutoFit="true" Append="false" PreserveSortAFLayout="true" PreserveFormat="true">
    <DataBinding FileBinding="true" ConnectionID="485" DataBindingLoadMode="1"/>
  </Map>
  <Map ID="30245" Name="root_Map485" RootElement="root" SchemaID="Schema486" ShowImportExportValidationErrors="false" AutoFit="true" Append="false" PreserveSortAFLayout="true" PreserveFormat="true">
    <DataBinding FileBinding="true" ConnectionID="486" DataBindingLoadMode="1"/>
  </Map>
  <Map ID="30302" Name="root_Map486" RootElement="root" SchemaID="Schema487" ShowImportExportValidationErrors="false" AutoFit="true" Append="false" PreserveSortAFLayout="true" PreserveFormat="true">
    <DataBinding FileBinding="true" ConnectionID="487" DataBindingLoadMode="1"/>
  </Map>
  <Map ID="30359" Name="root_Map487" RootElement="root" SchemaID="Schema488" ShowImportExportValidationErrors="false" AutoFit="true" Append="false" PreserveSortAFLayout="true" PreserveFormat="true">
    <DataBinding FileBinding="true" ConnectionID="488" DataBindingLoadMode="1"/>
  </Map>
  <Map ID="30416" Name="root_Map488" RootElement="root" SchemaID="Schema489" ShowImportExportValidationErrors="false" AutoFit="true" Append="false" PreserveSortAFLayout="true" PreserveFormat="true">
    <DataBinding FileBinding="true" ConnectionID="489" DataBindingLoadMode="1"/>
  </Map>
  <Map ID="30473" Name="root_Map489" RootElement="root" SchemaID="Schema490" ShowImportExportValidationErrors="false" AutoFit="true" Append="false" PreserveSortAFLayout="true" PreserveFormat="true">
    <DataBinding FileBinding="true" ConnectionID="490" DataBindingLoadMode="1"/>
  </Map>
  <Map ID="154" Name="root_Map49" RootElement="root" SchemaID="Schema50" ShowImportExportValidationErrors="false" AutoFit="true" Append="false" PreserveSortAFLayout="true" PreserveFormat="true">
    <DataBinding FileBinding="true" ConnectionID="44" DataBindingLoadMode="1"/>
  </Map>
  <Map ID="30530" Name="root_Map490" RootElement="root" SchemaID="Schema491" ShowImportExportValidationErrors="false" AutoFit="true" Append="false" PreserveSortAFLayout="true" PreserveFormat="true">
    <DataBinding FileBinding="true" ConnectionID="491" DataBindingLoadMode="1"/>
  </Map>
  <Map ID="30586" Name="root_Map491" RootElement="root" SchemaID="Schema492" ShowImportExportValidationErrors="false" AutoFit="true" Append="false" PreserveSortAFLayout="true" PreserveFormat="true">
    <DataBinding FileBinding="true" ConnectionID="492" DataBindingLoadMode="1"/>
  </Map>
  <Map ID="30642" Name="root_Map492" RootElement="root" SchemaID="Schema493" ShowImportExportValidationErrors="false" AutoFit="true" Append="false" PreserveSortAFLayout="true" PreserveFormat="true">
    <DataBinding FileBinding="true" ConnectionID="493" DataBindingLoadMode="1"/>
  </Map>
  <Map ID="30698" Name="root_Map493" RootElement="root" SchemaID="Schema494" ShowImportExportValidationErrors="false" AutoFit="true" Append="false" PreserveSortAFLayout="true" PreserveFormat="true">
    <DataBinding FileBinding="true" ConnectionID="494" DataBindingLoadMode="1"/>
  </Map>
  <Map ID="30754" Name="root_Map494" RootElement="root" SchemaID="Schema495" ShowImportExportValidationErrors="false" AutoFit="true" Append="false" PreserveSortAFLayout="true" PreserveFormat="true">
    <DataBinding FileBinding="true" ConnectionID="495" DataBindingLoadMode="1"/>
  </Map>
  <Map ID="30810" Name="root_Map495" RootElement="root" SchemaID="Schema496" ShowImportExportValidationErrors="false" AutoFit="true" Append="false" PreserveSortAFLayout="true" PreserveFormat="true">
    <DataBinding FileBinding="true" ConnectionID="496" DataBindingLoadMode="1"/>
  </Map>
  <Map ID="30866" Name="root_Map496" RootElement="root" SchemaID="Schema497" ShowImportExportValidationErrors="false" AutoFit="true" Append="false" PreserveSortAFLayout="true" PreserveFormat="true">
    <DataBinding FileBinding="true" ConnectionID="497" DataBindingLoadMode="1"/>
  </Map>
  <Map ID="30922" Name="root_Map497" RootElement="root" SchemaID="Schema498" ShowImportExportValidationErrors="false" AutoFit="true" Append="false" PreserveSortAFLayout="true" PreserveFormat="true">
    <DataBinding FileBinding="true" ConnectionID="498" DataBindingLoadMode="1"/>
  </Map>
  <Map ID="30978" Name="root_Map498" RootElement="root" SchemaID="Schema499" ShowImportExportValidationErrors="false" AutoFit="true" Append="false" PreserveSortAFLayout="true" PreserveFormat="true">
    <DataBinding FileBinding="true" ConnectionID="499" DataBindingLoadMode="1"/>
  </Map>
  <Map ID="31034" Name="root_Map499" RootElement="root" SchemaID="Schema500" ShowImportExportValidationErrors="false" AutoFit="true" Append="false" PreserveSortAFLayout="true" PreserveFormat="true">
    <DataBinding FileBinding="true" ConnectionID="500" DataBindingLoadMode="1"/>
  </Map>
  <Map ID="6" Name="root_Map5" RootElement="root" SchemaID="Schema6" ShowImportExportValidationErrors="false" AutoFit="true" Append="false" PreserveSortAFLayout="true" PreserveFormat="true">
    <DataBinding FileBinding="true" ConnectionID="18" DataBindingLoadMode="1"/>
  </Map>
  <Map ID="155" Name="root_Map50" RootElement="root" SchemaID="Schema51" ShowImportExportValidationErrors="false" AutoFit="true" Append="false" PreserveSortAFLayout="true" PreserveFormat="true">
    <DataBinding FileBinding="true" ConnectionID="45" DataBindingLoadMode="1"/>
  </Map>
  <Map ID="31090" Name="root_Map500" RootElement="root" SchemaID="Schema501" ShowImportExportValidationErrors="false" AutoFit="true" Append="false" PreserveSortAFLayout="true" PreserveFormat="true">
    <DataBinding FileBinding="true" ConnectionID="501" DataBindingLoadMode="1"/>
  </Map>
  <Map ID="31144" Name="root_Map501" RootElement="root" SchemaID="Schema502" ShowImportExportValidationErrors="false" AutoFit="true" Append="false" PreserveSortAFLayout="true" PreserveFormat="true">
    <DataBinding FileBinding="true" ConnectionID="502" DataBindingLoadMode="1"/>
  </Map>
  <Map ID="31198" Name="root_Map502" RootElement="root" SchemaID="Schema503" ShowImportExportValidationErrors="false" AutoFit="true" Append="false" PreserveSortAFLayout="true" PreserveFormat="true">
    <DataBinding FileBinding="true" ConnectionID="503" DataBindingLoadMode="1"/>
  </Map>
  <Map ID="31252" Name="root_Map503" RootElement="root" SchemaID="Schema504" ShowImportExportValidationErrors="false" AutoFit="true" Append="false" PreserveSortAFLayout="true" PreserveFormat="true">
    <DataBinding FileBinding="true" ConnectionID="504" DataBindingLoadMode="1"/>
  </Map>
  <Map ID="31306" Name="root_Map504" RootElement="root" SchemaID="Schema505" ShowImportExportValidationErrors="false" AutoFit="true" Append="false" PreserveSortAFLayout="true" PreserveFormat="true">
    <DataBinding FileBinding="true" ConnectionID="505" DataBindingLoadMode="1"/>
  </Map>
  <Map ID="31360" Name="root_Map505" RootElement="root" SchemaID="Schema506" ShowImportExportValidationErrors="false" AutoFit="true" Append="false" PreserveSortAFLayout="true" PreserveFormat="true">
    <DataBinding FileBinding="true" ConnectionID="506" DataBindingLoadMode="1"/>
  </Map>
  <Map ID="31414" Name="root_Map506" RootElement="root" SchemaID="Schema507" ShowImportExportValidationErrors="false" AutoFit="true" Append="false" PreserveSortAFLayout="true" PreserveFormat="true">
    <DataBinding FileBinding="true" ConnectionID="507" DataBindingLoadMode="1"/>
  </Map>
  <Map ID="31468" Name="root_Map507" RootElement="root" SchemaID="Schema508" ShowImportExportValidationErrors="false" AutoFit="true" Append="false" PreserveSortAFLayout="true" PreserveFormat="true">
    <DataBinding FileBinding="true" ConnectionID="508" DataBindingLoadMode="1"/>
  </Map>
  <Map ID="31522" Name="root_Map508" RootElement="root" SchemaID="Schema509" ShowImportExportValidationErrors="false" AutoFit="true" Append="false" PreserveSortAFLayout="true" PreserveFormat="true">
    <DataBinding FileBinding="true" ConnectionID="509" DataBindingLoadMode="1"/>
  </Map>
  <Map ID="31576" Name="root_Map509" RootElement="root" SchemaID="Schema510" ShowImportExportValidationErrors="false" AutoFit="true" Append="false" PreserveSortAFLayout="true" PreserveFormat="true">
    <DataBinding FileBinding="true" ConnectionID="510" DataBindingLoadMode="1"/>
  </Map>
  <Map ID="161" Name="root_Map51" RootElement="root" SchemaID="Schema52" ShowImportExportValidationErrors="false" AutoFit="true" Append="false" PreserveSortAFLayout="true" PreserveFormat="true">
    <DataBinding FileBinding="true" ConnectionID="46" DataBindingLoadMode="1"/>
  </Map>
  <Map ID="31630" Name="root_Map510" RootElement="root" SchemaID="Schema511" ShowImportExportValidationErrors="false" AutoFit="true" Append="false" PreserveSortAFLayout="true" PreserveFormat="true">
    <DataBinding FileBinding="true" ConnectionID="511" DataBindingLoadMode="1"/>
  </Map>
  <Map ID="31683" Name="root_Map511" RootElement="root" SchemaID="Schema512" ShowImportExportValidationErrors="false" AutoFit="true" Append="false" PreserveSortAFLayout="true" PreserveFormat="true">
    <DataBinding FileBinding="true" ConnectionID="512" DataBindingLoadMode="1"/>
  </Map>
  <Map ID="31736" Name="root_Map512" RootElement="root" SchemaID="Schema513" ShowImportExportValidationErrors="false" AutoFit="true" Append="false" PreserveSortAFLayout="true" PreserveFormat="true">
    <DataBinding FileBinding="true" ConnectionID="513" DataBindingLoadMode="1"/>
  </Map>
  <Map ID="31789" Name="root_Map513" RootElement="root" SchemaID="Schema514" ShowImportExportValidationErrors="false" AutoFit="true" Append="false" PreserveSortAFLayout="true" PreserveFormat="true">
    <DataBinding FileBinding="true" ConnectionID="514" DataBindingLoadMode="1"/>
  </Map>
  <Map ID="31842" Name="root_Map514" RootElement="root" SchemaID="Schema515" ShowImportExportValidationErrors="false" AutoFit="true" Append="false" PreserveSortAFLayout="true" PreserveFormat="true">
    <DataBinding FileBinding="true" ConnectionID="515" DataBindingLoadMode="1"/>
  </Map>
  <Map ID="31895" Name="root_Map515" RootElement="root" SchemaID="Schema516" ShowImportExportValidationErrors="false" AutoFit="true" Append="false" PreserveSortAFLayout="true" PreserveFormat="true">
    <DataBinding FileBinding="true" ConnectionID="516" DataBindingLoadMode="1"/>
  </Map>
  <Map ID="31948" Name="root_Map516" RootElement="root" SchemaID="Schema517" ShowImportExportValidationErrors="false" AutoFit="true" Append="false" PreserveSortAFLayout="true" PreserveFormat="true">
    <DataBinding FileBinding="true" ConnectionID="517" DataBindingLoadMode="1"/>
  </Map>
  <Map ID="32001" Name="root_Map517" RootElement="root" SchemaID="Schema518" ShowImportExportValidationErrors="false" AutoFit="true" Append="false" PreserveSortAFLayout="true" PreserveFormat="true">
    <DataBinding FileBinding="true" ConnectionID="518" DataBindingLoadMode="1"/>
  </Map>
  <Map ID="32054" Name="root_Map518" RootElement="root" SchemaID="Schema519" ShowImportExportValidationErrors="false" AutoFit="true" Append="false" PreserveSortAFLayout="true" PreserveFormat="true">
    <DataBinding FileBinding="true" ConnectionID="519" DataBindingLoadMode="1"/>
  </Map>
  <Map ID="32107" Name="root_Map519" RootElement="root" SchemaID="Schema520" ShowImportExportValidationErrors="false" AutoFit="true" Append="false" PreserveSortAFLayout="true" PreserveFormat="true">
    <DataBinding FileBinding="true" ConnectionID="520" DataBindingLoadMode="1"/>
  </Map>
  <Map ID="162" Name="root_Map52" RootElement="root" SchemaID="Schema53" ShowImportExportValidationErrors="false" AutoFit="true" Append="false" PreserveSortAFLayout="true" PreserveFormat="true">
    <DataBinding FileBinding="true" ConnectionID="47" DataBindingLoadMode="1"/>
  </Map>
  <Map ID="32160" Name="root_Map520" RootElement="root" SchemaID="Schema521" ShowImportExportValidationErrors="false" AutoFit="true" Append="false" PreserveSortAFLayout="true" PreserveFormat="true">
    <DataBinding FileBinding="true" ConnectionID="521" DataBindingLoadMode="1"/>
  </Map>
  <Map ID="32212" Name="root_Map521" RootElement="root" SchemaID="Schema522" ShowImportExportValidationErrors="false" AutoFit="true" Append="false" PreserveSortAFLayout="true" PreserveFormat="true">
    <DataBinding FileBinding="true" ConnectionID="522" DataBindingLoadMode="1"/>
  </Map>
  <Map ID="32264" Name="root_Map522" RootElement="root" SchemaID="Schema523" ShowImportExportValidationErrors="false" AutoFit="true" Append="false" PreserveSortAFLayout="true" PreserveFormat="true">
    <DataBinding FileBinding="true" ConnectionID="523" DataBindingLoadMode="1"/>
  </Map>
  <Map ID="32316" Name="root_Map523" RootElement="root" SchemaID="Schema524" ShowImportExportValidationErrors="false" AutoFit="true" Append="false" PreserveSortAFLayout="true" PreserveFormat="true">
    <DataBinding FileBinding="true" ConnectionID="524" DataBindingLoadMode="1"/>
  </Map>
  <Map ID="32368" Name="root_Map524" RootElement="root" SchemaID="Schema525" ShowImportExportValidationErrors="false" AutoFit="true" Append="false" PreserveSortAFLayout="true" PreserveFormat="true">
    <DataBinding FileBinding="true" ConnectionID="525" DataBindingLoadMode="1"/>
  </Map>
  <Map ID="32420" Name="root_Map525" RootElement="root" SchemaID="Schema526" ShowImportExportValidationErrors="false" AutoFit="true" Append="false" PreserveSortAFLayout="true" PreserveFormat="true">
    <DataBinding FileBinding="true" ConnectionID="526" DataBindingLoadMode="1"/>
  </Map>
  <Map ID="32472" Name="root_Map526" RootElement="root" SchemaID="Schema527" ShowImportExportValidationErrors="false" AutoFit="true" Append="false" PreserveSortAFLayout="true" PreserveFormat="true">
    <DataBinding FileBinding="true" ConnectionID="527" DataBindingLoadMode="1"/>
  </Map>
  <Map ID="32524" Name="root_Map527" RootElement="root" SchemaID="Schema528" ShowImportExportValidationErrors="false" AutoFit="true" Append="false" PreserveSortAFLayout="true" PreserveFormat="true">
    <DataBinding FileBinding="true" ConnectionID="528" DataBindingLoadMode="1"/>
  </Map>
  <Map ID="32576" Name="root_Map528" RootElement="root" SchemaID="Schema529" ShowImportExportValidationErrors="false" AutoFit="true" Append="false" PreserveSortAFLayout="true" PreserveFormat="true">
    <DataBinding FileBinding="true" ConnectionID="529" DataBindingLoadMode="1"/>
  </Map>
  <Map ID="32628" Name="root_Map529" RootElement="root" SchemaID="Schema530" ShowImportExportValidationErrors="false" AutoFit="true" Append="false" PreserveSortAFLayout="true" PreserveFormat="true">
    <DataBinding FileBinding="true" ConnectionID="530" DataBindingLoadMode="1"/>
  </Map>
  <Map ID="163" Name="root_Map53" RootElement="root" SchemaID="Schema54" ShowImportExportValidationErrors="false" AutoFit="true" Append="false" PreserveSortAFLayout="true" PreserveFormat="true">
    <DataBinding FileBinding="true" ConnectionID="48" DataBindingLoadMode="1"/>
  </Map>
  <Map ID="32680" Name="root_Map530" RootElement="root" SchemaID="Schema531" ShowImportExportValidationErrors="false" AutoFit="true" Append="false" PreserveSortAFLayout="true" PreserveFormat="true">
    <DataBinding FileBinding="true" ConnectionID="531" DataBindingLoadMode="1"/>
  </Map>
  <Map ID="32731" Name="root_Map531" RootElement="root" SchemaID="Schema532" ShowImportExportValidationErrors="false" AutoFit="true" Append="false" PreserveSortAFLayout="true" PreserveFormat="true">
    <DataBinding FileBinding="true" ConnectionID="532" DataBindingLoadMode="1"/>
  </Map>
  <Map ID="32782" Name="root_Map532" RootElement="root" SchemaID="Schema533" ShowImportExportValidationErrors="false" AutoFit="true" Append="false" PreserveSortAFLayout="true" PreserveFormat="true">
    <DataBinding FileBinding="true" ConnectionID="533" DataBindingLoadMode="1"/>
  </Map>
  <Map ID="32833" Name="root_Map533" RootElement="root" SchemaID="Schema534" ShowImportExportValidationErrors="false" AutoFit="true" Append="false" PreserveSortAFLayout="true" PreserveFormat="true">
    <DataBinding FileBinding="true" ConnectionID="534" DataBindingLoadMode="1"/>
  </Map>
  <Map ID="32884" Name="root_Map534" RootElement="root" SchemaID="Schema535" ShowImportExportValidationErrors="false" AutoFit="true" Append="false" PreserveSortAFLayout="true" PreserveFormat="true">
    <DataBinding FileBinding="true" ConnectionID="535" DataBindingLoadMode="1"/>
  </Map>
  <Map ID="32935" Name="root_Map535" RootElement="root" SchemaID="Schema536" ShowImportExportValidationErrors="false" AutoFit="true" Append="false" PreserveSortAFLayout="true" PreserveFormat="true">
    <DataBinding FileBinding="true" ConnectionID="536" DataBindingLoadMode="1"/>
  </Map>
  <Map ID="32986" Name="root_Map536" RootElement="root" SchemaID="Schema537" ShowImportExportValidationErrors="false" AutoFit="true" Append="false" PreserveSortAFLayout="true" PreserveFormat="true">
    <DataBinding FileBinding="true" ConnectionID="537" DataBindingLoadMode="1"/>
  </Map>
  <Map ID="33037" Name="root_Map537" RootElement="root" SchemaID="Schema538" ShowImportExportValidationErrors="false" AutoFit="true" Append="false" PreserveSortAFLayout="true" PreserveFormat="true">
    <DataBinding FileBinding="true" ConnectionID="538" DataBindingLoadMode="1"/>
  </Map>
  <Map ID="33088" Name="root_Map538" RootElement="root" SchemaID="Schema539" ShowImportExportValidationErrors="false" AutoFit="true" Append="false" PreserveSortAFLayout="true" PreserveFormat="true">
    <DataBinding FileBinding="true" ConnectionID="539" DataBindingLoadMode="1"/>
  </Map>
  <Map ID="33139" Name="root_Map539" RootElement="root" SchemaID="Schema540" ShowImportExportValidationErrors="false" AutoFit="true" Append="false" PreserveSortAFLayout="true" PreserveFormat="true">
    <DataBinding FileBinding="true" ConnectionID="540" DataBindingLoadMode="1"/>
  </Map>
  <Map ID="164" Name="root_Map54" RootElement="root" SchemaID="Schema55" ShowImportExportValidationErrors="false" AutoFit="true" Append="false" PreserveSortAFLayout="true" PreserveFormat="true">
    <DataBinding FileBinding="true" ConnectionID="49" DataBindingLoadMode="1"/>
  </Map>
  <Map ID="33190" Name="root_Map540" RootElement="root" SchemaID="Schema541" ShowImportExportValidationErrors="false" AutoFit="true" Append="false" PreserveSortAFLayout="true" PreserveFormat="true">
    <DataBinding FileBinding="true" ConnectionID="541" DataBindingLoadMode="1"/>
  </Map>
  <Map ID="33240" Name="root_Map541" RootElement="root" SchemaID="Schema542" ShowImportExportValidationErrors="false" AutoFit="true" Append="false" PreserveSortAFLayout="true" PreserveFormat="true">
    <DataBinding FileBinding="true" ConnectionID="542" DataBindingLoadMode="1"/>
  </Map>
  <Map ID="33290" Name="root_Map542" RootElement="root" SchemaID="Schema543" ShowImportExportValidationErrors="false" AutoFit="true" Append="false" PreserveSortAFLayout="true" PreserveFormat="true">
    <DataBinding FileBinding="true" ConnectionID="543" DataBindingLoadMode="1"/>
  </Map>
  <Map ID="33340" Name="root_Map543" RootElement="root" SchemaID="Schema544" ShowImportExportValidationErrors="false" AutoFit="true" Append="false" PreserveSortAFLayout="true" PreserveFormat="true">
    <DataBinding FileBinding="true" ConnectionID="544" DataBindingLoadMode="1"/>
  </Map>
  <Map ID="33390" Name="root_Map544" RootElement="root" SchemaID="Schema545" ShowImportExportValidationErrors="false" AutoFit="true" Append="false" PreserveSortAFLayout="true" PreserveFormat="true">
    <DataBinding FileBinding="true" ConnectionID="545" DataBindingLoadMode="1"/>
  </Map>
  <Map ID="33440" Name="root_Map545" RootElement="root" SchemaID="Schema546" ShowImportExportValidationErrors="false" AutoFit="true" Append="false" PreserveSortAFLayout="true" PreserveFormat="true">
    <DataBinding FileBinding="true" ConnectionID="546" DataBindingLoadMode="1"/>
  </Map>
  <Map ID="33490" Name="root_Map546" RootElement="root" SchemaID="Schema547" ShowImportExportValidationErrors="false" AutoFit="true" Append="false" PreserveSortAFLayout="true" PreserveFormat="true">
    <DataBinding FileBinding="true" ConnectionID="547" DataBindingLoadMode="1"/>
  </Map>
  <Map ID="33540" Name="root_Map547" RootElement="root" SchemaID="Schema548" ShowImportExportValidationErrors="false" AutoFit="true" Append="false" PreserveSortAFLayout="true" PreserveFormat="true">
    <DataBinding FileBinding="true" ConnectionID="548" DataBindingLoadMode="1"/>
  </Map>
  <Map ID="33590" Name="root_Map548" RootElement="root" SchemaID="Schema549" ShowImportExportValidationErrors="false" AutoFit="true" Append="false" PreserveSortAFLayout="true" PreserveFormat="true">
    <DataBinding FileBinding="true" ConnectionID="549" DataBindingLoadMode="1"/>
  </Map>
  <Map ID="33640" Name="root_Map549" RootElement="root" SchemaID="Schema550" ShowImportExportValidationErrors="false" AutoFit="true" Append="false" PreserveSortAFLayout="true" PreserveFormat="true">
    <DataBinding FileBinding="true" ConnectionID="550" DataBindingLoadMode="1"/>
  </Map>
  <Map ID="169" Name="root_Map55" RootElement="root" SchemaID="Schema56" ShowImportExportValidationErrors="false" AutoFit="true" Append="false" PreserveSortAFLayout="true" PreserveFormat="true">
    <DataBinding FileBinding="true" ConnectionID="58" DataBindingLoadMode="1"/>
  </Map>
  <Map ID="33690" Name="root_Map550" RootElement="root" SchemaID="Schema551" ShowImportExportValidationErrors="false" AutoFit="true" Append="false" PreserveSortAFLayout="true" PreserveFormat="true">
    <DataBinding FileBinding="true" ConnectionID="551" DataBindingLoadMode="1"/>
  </Map>
  <Map ID="33739" Name="root_Map551" RootElement="root" SchemaID="Schema552" ShowImportExportValidationErrors="false" AutoFit="true" Append="false" PreserveSortAFLayout="true" PreserveFormat="true">
    <DataBinding FileBinding="true" ConnectionID="552" DataBindingLoadMode="1"/>
  </Map>
  <Map ID="33788" Name="root_Map552" RootElement="root" SchemaID="Schema553" ShowImportExportValidationErrors="false" AutoFit="true" Append="false" PreserveSortAFLayout="true" PreserveFormat="true">
    <DataBinding FileBinding="true" ConnectionID="553" DataBindingLoadMode="1"/>
  </Map>
  <Map ID="33837" Name="root_Map553" RootElement="root" SchemaID="Schema554" ShowImportExportValidationErrors="false" AutoFit="true" Append="false" PreserveSortAFLayout="true" PreserveFormat="true">
    <DataBinding FileBinding="true" ConnectionID="554" DataBindingLoadMode="1"/>
  </Map>
  <Map ID="33886" Name="root_Map554" RootElement="root" SchemaID="Schema555" ShowImportExportValidationErrors="false" AutoFit="true" Append="false" PreserveSortAFLayout="true" PreserveFormat="true">
    <DataBinding FileBinding="true" ConnectionID="555" DataBindingLoadMode="1"/>
  </Map>
  <Map ID="33935" Name="root_Map555" RootElement="root" SchemaID="Schema556" ShowImportExportValidationErrors="false" AutoFit="true" Append="false" PreserveSortAFLayout="true" PreserveFormat="true">
    <DataBinding FileBinding="true" ConnectionID="556" DataBindingLoadMode="1"/>
  </Map>
  <Map ID="33984" Name="root_Map556" RootElement="root" SchemaID="Schema557" ShowImportExportValidationErrors="false" AutoFit="true" Append="false" PreserveSortAFLayout="true" PreserveFormat="true">
    <DataBinding FileBinding="true" ConnectionID="557" DataBindingLoadMode="1"/>
  </Map>
  <Map ID="34033" Name="root_Map557" RootElement="root" SchemaID="Schema558" ShowImportExportValidationErrors="false" AutoFit="true" Append="false" PreserveSortAFLayout="true" PreserveFormat="true">
    <DataBinding FileBinding="true" ConnectionID="558" DataBindingLoadMode="1"/>
  </Map>
  <Map ID="34082" Name="root_Map558" RootElement="root" SchemaID="Schema559" ShowImportExportValidationErrors="false" AutoFit="true" Append="false" PreserveSortAFLayout="true" PreserveFormat="true">
    <DataBinding FileBinding="true" ConnectionID="559" DataBindingLoadMode="1"/>
  </Map>
  <Map ID="34131" Name="root_Map559" RootElement="root" SchemaID="Schema560" ShowImportExportValidationErrors="false" AutoFit="true" Append="false" PreserveSortAFLayout="true" PreserveFormat="true">
    <DataBinding FileBinding="true" ConnectionID="560" DataBindingLoadMode="1"/>
  </Map>
  <Map ID="174" Name="root_Map56" RootElement="root" SchemaID="Schema57" ShowImportExportValidationErrors="false" AutoFit="true" Append="false" PreserveSortAFLayout="true" PreserveFormat="true">
    <DataBinding FileBinding="true" ConnectionID="59" DataBindingLoadMode="1"/>
  </Map>
  <Map ID="34180" Name="root_Map560" RootElement="root" SchemaID="Schema561" ShowImportExportValidationErrors="false" AutoFit="true" Append="false" PreserveSortAFLayout="true" PreserveFormat="true">
    <DataBinding FileBinding="true" ConnectionID="564" DataBindingLoadMode="1"/>
  </Map>
  <Map ID="34228" Name="root_Map561" RootElement="root" SchemaID="Schema562" ShowImportExportValidationErrors="false" AutoFit="true" Append="false" PreserveSortAFLayout="true" PreserveFormat="true">
    <DataBinding FileBinding="true" ConnectionID="565" DataBindingLoadMode="1"/>
  </Map>
  <Map ID="34276" Name="root_Map562" RootElement="root" SchemaID="Schema563" ShowImportExportValidationErrors="false" AutoFit="true" Append="false" PreserveSortAFLayout="true" PreserveFormat="true">
    <DataBinding FileBinding="true" ConnectionID="561" DataBindingLoadMode="1"/>
  </Map>
  <Map ID="34324" Name="root_Map563" RootElement="root" SchemaID="Schema564" ShowImportExportValidationErrors="false" AutoFit="true" Append="false" PreserveSortAFLayout="true" PreserveFormat="true">
    <DataBinding FileBinding="true" ConnectionID="562" DataBindingLoadMode="1"/>
  </Map>
  <Map ID="34372" Name="root_Map564" RootElement="root" SchemaID="Schema565" ShowImportExportValidationErrors="false" AutoFit="true" Append="false" PreserveSortAFLayout="true" PreserveFormat="true">
    <DataBinding FileBinding="true" ConnectionID="563" DataBindingLoadMode="1"/>
  </Map>
  <Map ID="34420" Name="root_Map565" RootElement="root" SchemaID="Schema566" ShowImportExportValidationErrors="false" AutoFit="true" Append="false" PreserveSortAFLayout="true" PreserveFormat="true">
    <DataBinding FileBinding="true" ConnectionID="566" DataBindingLoadMode="1"/>
  </Map>
  <Map ID="34468" Name="root_Map566" RootElement="root" SchemaID="Schema567" ShowImportExportValidationErrors="false" AutoFit="true" Append="false" PreserveSortAFLayout="true" PreserveFormat="true">
    <DataBinding FileBinding="true" ConnectionID="567" DataBindingLoadMode="1"/>
  </Map>
  <Map ID="34516" Name="root_Map567" RootElement="root" SchemaID="Schema568" ShowImportExportValidationErrors="false" AutoFit="true" Append="false" PreserveSortAFLayout="true" PreserveFormat="true">
    <DataBinding FileBinding="true" ConnectionID="568" DataBindingLoadMode="1"/>
  </Map>
  <Map ID="34564" Name="root_Map568" RootElement="root" SchemaID="Schema569" ShowImportExportValidationErrors="false" AutoFit="true" Append="false" PreserveSortAFLayout="true" PreserveFormat="true">
    <DataBinding FileBinding="true" ConnectionID="569" DataBindingLoadMode="1"/>
  </Map>
  <Map ID="34612" Name="root_Map569" RootElement="root" SchemaID="Schema570" ShowImportExportValidationErrors="false" AutoFit="true" Append="false" PreserveSortAFLayout="true" PreserveFormat="true">
    <DataBinding FileBinding="true" ConnectionID="570" DataBindingLoadMode="1"/>
  </Map>
  <Map ID="179" Name="root_Map57" RootElement="root" SchemaID="Schema58" ShowImportExportValidationErrors="false" AutoFit="true" Append="false" PreserveSortAFLayout="true" PreserveFormat="true">
    <DataBinding FileBinding="true" ConnectionID="60" DataBindingLoadMode="1"/>
  </Map>
  <Map ID="34660" Name="root_Map570" RootElement="root" SchemaID="Schema571" ShowImportExportValidationErrors="false" AutoFit="true" Append="false" PreserveSortAFLayout="true" PreserveFormat="true">
    <DataBinding FileBinding="true" ConnectionID="571" DataBindingLoadMode="1"/>
  </Map>
  <Map ID="34707" Name="root_Map571" RootElement="root" SchemaID="Schema572" ShowImportExportValidationErrors="false" AutoFit="true" Append="false" PreserveSortAFLayout="true" PreserveFormat="true">
    <DataBinding FileBinding="true" ConnectionID="572" DataBindingLoadMode="1"/>
  </Map>
  <Map ID="34754" Name="root_Map572" RootElement="root" SchemaID="Schema573" ShowImportExportValidationErrors="false" AutoFit="true" Append="false" PreserveSortAFLayout="true" PreserveFormat="true">
    <DataBinding FileBinding="true" ConnectionID="573" DataBindingLoadMode="1"/>
  </Map>
  <Map ID="34801" Name="root_Map573" RootElement="root" SchemaID="Schema574" ShowImportExportValidationErrors="false" AutoFit="true" Append="false" PreserveSortAFLayout="true" PreserveFormat="true">
    <DataBinding FileBinding="true" ConnectionID="574" DataBindingLoadMode="1"/>
  </Map>
  <Map ID="34848" Name="root_Map574" RootElement="root" SchemaID="Schema575" ShowImportExportValidationErrors="false" AutoFit="true" Append="false" PreserveSortAFLayout="true" PreserveFormat="true">
    <DataBinding FileBinding="true" ConnectionID="575" DataBindingLoadMode="1"/>
  </Map>
  <Map ID="34895" Name="root_Map575" RootElement="root" SchemaID="Schema576" ShowImportExportValidationErrors="false" AutoFit="true" Append="false" PreserveSortAFLayout="true" PreserveFormat="true">
    <DataBinding FileBinding="true" ConnectionID="576" DataBindingLoadMode="1"/>
  </Map>
  <Map ID="34942" Name="root_Map576" RootElement="root" SchemaID="Schema577" ShowImportExportValidationErrors="false" AutoFit="true" Append="false" PreserveSortAFLayout="true" PreserveFormat="true">
    <DataBinding FileBinding="true" ConnectionID="577" DataBindingLoadMode="1"/>
  </Map>
  <Map ID="34989" Name="root_Map577" RootElement="root" SchemaID="Schema578" ShowImportExportValidationErrors="false" AutoFit="true" Append="false" PreserveSortAFLayout="true" PreserveFormat="true">
    <DataBinding FileBinding="true" ConnectionID="578" DataBindingLoadMode="1"/>
  </Map>
  <Map ID="35036" Name="root_Map578" RootElement="root" SchemaID="Schema579" ShowImportExportValidationErrors="false" AutoFit="true" Append="false" PreserveSortAFLayout="true" PreserveFormat="true">
    <DataBinding FileBinding="true" ConnectionID="579" DataBindingLoadMode="1"/>
  </Map>
  <Map ID="35083" Name="root_Map579" RootElement="root" SchemaID="Schema580" ShowImportExportValidationErrors="false" AutoFit="true" Append="false" PreserveSortAFLayout="true" PreserveFormat="true">
    <DataBinding FileBinding="true" ConnectionID="580" DataBindingLoadMode="1"/>
  </Map>
  <Map ID="184" Name="root_Map58" RootElement="root" SchemaID="Schema59" ShowImportExportValidationErrors="false" AutoFit="true" Append="false" PreserveSortAFLayout="true" PreserveFormat="true">
    <DataBinding FileBinding="true" ConnectionID="61" DataBindingLoadMode="1"/>
  </Map>
  <Map ID="35130" Name="root_Map580" RootElement="root" SchemaID="Schema581" ShowImportExportValidationErrors="false" AutoFit="true" Append="false" PreserveSortAFLayout="true" PreserveFormat="true">
    <DataBinding FileBinding="true" ConnectionID="581" DataBindingLoadMode="1"/>
  </Map>
  <Map ID="35176" Name="root_Map581" RootElement="root" SchemaID="Schema582" ShowImportExportValidationErrors="false" AutoFit="true" Append="false" PreserveSortAFLayout="true" PreserveFormat="true">
    <DataBinding FileBinding="true" ConnectionID="582" DataBindingLoadMode="1"/>
  </Map>
  <Map ID="35222" Name="root_Map582" RootElement="root" SchemaID="Schema583" ShowImportExportValidationErrors="false" AutoFit="true" Append="false" PreserveSortAFLayout="true" PreserveFormat="true">
    <DataBinding FileBinding="true" ConnectionID="583" DataBindingLoadMode="1"/>
  </Map>
  <Map ID="35268" Name="root_Map583" RootElement="root" SchemaID="Schema584" ShowImportExportValidationErrors="false" AutoFit="true" Append="false" PreserveSortAFLayout="true" PreserveFormat="true">
    <DataBinding FileBinding="true" ConnectionID="584" DataBindingLoadMode="1"/>
  </Map>
  <Map ID="35314" Name="root_Map584" RootElement="root" SchemaID="Schema585" ShowImportExportValidationErrors="false" AutoFit="true" Append="false" PreserveSortAFLayout="true" PreserveFormat="true">
    <DataBinding FileBinding="true" ConnectionID="585" DataBindingLoadMode="1"/>
  </Map>
  <Map ID="35360" Name="root_Map585" RootElement="root" SchemaID="Schema586" ShowImportExportValidationErrors="false" AutoFit="true" Append="false" PreserveSortAFLayout="true" PreserveFormat="true">
    <DataBinding FileBinding="true" ConnectionID="586" DataBindingLoadMode="1"/>
  </Map>
  <Map ID="35406" Name="root_Map586" RootElement="root" SchemaID="Schema587" ShowImportExportValidationErrors="false" AutoFit="true" Append="false" PreserveSortAFLayout="true" PreserveFormat="true">
    <DataBinding FileBinding="true" ConnectionID="587" DataBindingLoadMode="1"/>
  </Map>
  <Map ID="35452" Name="root_Map587" RootElement="root" SchemaID="Schema588" ShowImportExportValidationErrors="false" AutoFit="true" Append="false" PreserveSortAFLayout="true" PreserveFormat="true">
    <DataBinding FileBinding="true" ConnectionID="588" DataBindingLoadMode="1"/>
  </Map>
  <Map ID="35498" Name="root_Map588" RootElement="root" SchemaID="Schema589" ShowImportExportValidationErrors="false" AutoFit="true" Append="false" PreserveSortAFLayout="true" PreserveFormat="true">
    <DataBinding FileBinding="true" ConnectionID="589" DataBindingLoadMode="1"/>
  </Map>
  <Map ID="35544" Name="root_Map589" RootElement="root" SchemaID="Schema590" ShowImportExportValidationErrors="false" AutoFit="true" Append="false" PreserveSortAFLayout="true" PreserveFormat="true">
    <DataBinding FileBinding="true" ConnectionID="590" DataBindingLoadMode="1"/>
  </Map>
  <Map ID="189" Name="root_Map59" RootElement="root" SchemaID="Schema60" ShowImportExportValidationErrors="false" AutoFit="true" Append="false" PreserveSortAFLayout="true" PreserveFormat="true">
    <DataBinding FileBinding="true" ConnectionID="62" DataBindingLoadMode="1"/>
  </Map>
  <Map ID="35590" Name="root_Map590" RootElement="root" SchemaID="Schema591" ShowImportExportValidationErrors="false" AutoFit="true" Append="false" PreserveSortAFLayout="true" PreserveFormat="true">
    <DataBinding FileBinding="true" ConnectionID="591" DataBindingLoadMode="1"/>
  </Map>
  <Map ID="35635" Name="root_Map591" RootElement="root" SchemaID="Schema592" ShowImportExportValidationErrors="false" AutoFit="true" Append="false" PreserveSortAFLayout="true" PreserveFormat="true">
    <DataBinding FileBinding="true" ConnectionID="592" DataBindingLoadMode="1"/>
  </Map>
  <Map ID="35680" Name="root_Map592" RootElement="root" SchemaID="Schema593" ShowImportExportValidationErrors="false" AutoFit="true" Append="false" PreserveSortAFLayout="true" PreserveFormat="true">
    <DataBinding FileBinding="true" ConnectionID="593" DataBindingLoadMode="1"/>
  </Map>
  <Map ID="35725" Name="root_Map593" RootElement="root" SchemaID="Schema594" ShowImportExportValidationErrors="false" AutoFit="true" Append="false" PreserveSortAFLayout="true" PreserveFormat="true">
    <DataBinding FileBinding="true" ConnectionID="594" DataBindingLoadMode="1"/>
  </Map>
  <Map ID="35770" Name="root_Map594" RootElement="root" SchemaID="Schema595" ShowImportExportValidationErrors="false" AutoFit="true" Append="false" PreserveSortAFLayout="true" PreserveFormat="true">
    <DataBinding FileBinding="true" ConnectionID="595" DataBindingLoadMode="1"/>
  </Map>
  <Map ID="35815" Name="root_Map595" RootElement="root" SchemaID="Schema596" ShowImportExportValidationErrors="false" AutoFit="true" Append="false" PreserveSortAFLayout="true" PreserveFormat="true">
    <DataBinding FileBinding="true" ConnectionID="596" DataBindingLoadMode="1"/>
  </Map>
  <Map ID="35860" Name="root_Map596" RootElement="root" SchemaID="Schema597" ShowImportExportValidationErrors="false" AutoFit="true" Append="false" PreserveSortAFLayout="true" PreserveFormat="true">
    <DataBinding FileBinding="true" ConnectionID="597" DataBindingLoadMode="1"/>
  </Map>
  <Map ID="35905" Name="root_Map597" RootElement="root" SchemaID="Schema598" ShowImportExportValidationErrors="false" AutoFit="true" Append="false" PreserveSortAFLayout="true" PreserveFormat="true">
    <DataBinding FileBinding="true" ConnectionID="598" DataBindingLoadMode="1"/>
  </Map>
  <Map ID="35950" Name="root_Map598" RootElement="root" SchemaID="Schema599" ShowImportExportValidationErrors="false" AutoFit="true" Append="false" PreserveSortAFLayout="true" PreserveFormat="true">
    <DataBinding FileBinding="true" ConnectionID="599" DataBindingLoadMode="1"/>
  </Map>
  <Map ID="35995" Name="root_Map599" RootElement="root" SchemaID="Schema600" ShowImportExportValidationErrors="false" AutoFit="true" Append="false" PreserveSortAFLayout="true" PreserveFormat="true">
    <DataBinding FileBinding="true" ConnectionID="600" DataBindingLoadMode="1"/>
  </Map>
  <Map ID="7" Name="root_Map6" RootElement="root" SchemaID="Schema7" ShowImportExportValidationErrors="false" AutoFit="true" Append="false" PreserveSortAFLayout="true" PreserveFormat="true">
    <DataBinding FileBinding="true" ConnectionID="25" DataBindingLoadMode="1"/>
  </Map>
  <Map ID="194" Name="root_Map60" RootElement="root" SchemaID="Schema61" ShowImportExportValidationErrors="false" AutoFit="true" Append="false" PreserveSortAFLayout="true" PreserveFormat="true">
    <DataBinding FileBinding="true" ConnectionID="63" DataBindingLoadMode="1"/>
  </Map>
  <Map ID="36040" Name="root_Map600" RootElement="root" SchemaID="Schema601" ShowImportExportValidationErrors="false" AutoFit="true" Append="false" PreserveSortAFLayout="true" PreserveFormat="true">
    <DataBinding FileBinding="true" ConnectionID="601" DataBindingLoadMode="1"/>
  </Map>
  <Map ID="36083" Name="root_Map601" RootElement="root" SchemaID="Schema602" ShowImportExportValidationErrors="false" AutoFit="true" Append="false" PreserveSortAFLayout="true" PreserveFormat="true">
    <DataBinding FileBinding="true" ConnectionID="602" DataBindingLoadMode="1"/>
  </Map>
  <Map ID="36126" Name="root_Map602" RootElement="root" SchemaID="Schema603" ShowImportExportValidationErrors="false" AutoFit="true" Append="false" PreserveSortAFLayout="true" PreserveFormat="true">
    <DataBinding FileBinding="true" ConnectionID="603" DataBindingLoadMode="1"/>
  </Map>
  <Map ID="36169" Name="root_Map603" RootElement="root" SchemaID="Schema604" ShowImportExportValidationErrors="false" AutoFit="true" Append="false" PreserveSortAFLayout="true" PreserveFormat="true">
    <DataBinding FileBinding="true" ConnectionID="604" DataBindingLoadMode="1"/>
  </Map>
  <Map ID="36212" Name="root_Map604" RootElement="root" SchemaID="Schema605" ShowImportExportValidationErrors="false" AutoFit="true" Append="false" PreserveSortAFLayout="true" PreserveFormat="true">
    <DataBinding FileBinding="true" ConnectionID="605" DataBindingLoadMode="1"/>
  </Map>
  <Map ID="36255" Name="root_Map605" RootElement="root" SchemaID="Schema606" ShowImportExportValidationErrors="false" AutoFit="true" Append="false" PreserveSortAFLayout="true" PreserveFormat="true">
    <DataBinding FileBinding="true" ConnectionID="606" DataBindingLoadMode="1"/>
  </Map>
  <Map ID="36298" Name="root_Map606" RootElement="root" SchemaID="Schema607" ShowImportExportValidationErrors="false" AutoFit="true" Append="false" PreserveSortAFLayout="true" PreserveFormat="true">
    <DataBinding FileBinding="true" ConnectionID="607" DataBindingLoadMode="1"/>
  </Map>
  <Map ID="36341" Name="root_Map607" RootElement="root" SchemaID="Schema608" ShowImportExportValidationErrors="false" AutoFit="true" Append="false" PreserveSortAFLayout="true" PreserveFormat="true">
    <DataBinding FileBinding="true" ConnectionID="608" DataBindingLoadMode="1"/>
  </Map>
  <Map ID="36384" Name="root_Map608" RootElement="root" SchemaID="Schema609" ShowImportExportValidationErrors="false" AutoFit="true" Append="false" PreserveSortAFLayout="true" PreserveFormat="true">
    <DataBinding FileBinding="true" ConnectionID="609" DataBindingLoadMode="1"/>
  </Map>
  <Map ID="36427" Name="root_Map609" RootElement="root" SchemaID="Schema610" ShowImportExportValidationErrors="false" AutoFit="true" Append="false" PreserveSortAFLayout="true" PreserveFormat="true">
    <DataBinding FileBinding="true" ConnectionID="610" DataBindingLoadMode="1"/>
  </Map>
  <Map ID="198" Name="root_Map61" RootElement="root" SchemaID="Schema62" ShowImportExportValidationErrors="false" AutoFit="true" Append="false" PreserveSortAFLayout="true" PreserveFormat="true">
    <DataBinding FileBinding="true" ConnectionID="64" DataBindingLoadMode="1"/>
  </Map>
  <Map ID="36470" Name="root_Map610" RootElement="root" SchemaID="Schema611" ShowImportExportValidationErrors="false" AutoFit="true" Append="false" PreserveSortAFLayout="true" PreserveFormat="true">
    <DataBinding FileBinding="true" ConnectionID="611" DataBindingLoadMode="1"/>
  </Map>
  <Map ID="36512" Name="root_Map611" RootElement="root" SchemaID="Schema612" ShowImportExportValidationErrors="false" AutoFit="true" Append="false" PreserveSortAFLayout="true" PreserveFormat="true">
    <DataBinding FileBinding="true" ConnectionID="612" DataBindingLoadMode="1"/>
  </Map>
  <Map ID="36554" Name="root_Map612" RootElement="root" SchemaID="Schema613" ShowImportExportValidationErrors="false" AutoFit="true" Append="false" PreserveSortAFLayout="true" PreserveFormat="true">
    <DataBinding FileBinding="true" ConnectionID="613" DataBindingLoadMode="1"/>
  </Map>
  <Map ID="36596" Name="root_Map613" RootElement="root" SchemaID="Schema614" ShowImportExportValidationErrors="false" AutoFit="true" Append="false" PreserveSortAFLayout="true" PreserveFormat="true">
    <DataBinding FileBinding="true" ConnectionID="614" DataBindingLoadMode="1"/>
  </Map>
  <Map ID="36638" Name="root_Map614" RootElement="root" SchemaID="Schema615" ShowImportExportValidationErrors="false" AutoFit="true" Append="false" PreserveSortAFLayout="true" PreserveFormat="true">
    <DataBinding FileBinding="true" ConnectionID="615" DataBindingLoadMode="1"/>
  </Map>
  <Map ID="36680" Name="root_Map615" RootElement="root" SchemaID="Schema616" ShowImportExportValidationErrors="false" AutoFit="true" Append="false" PreserveSortAFLayout="true" PreserveFormat="true">
    <DataBinding FileBinding="true" ConnectionID="616" DataBindingLoadMode="1"/>
  </Map>
  <Map ID="36722" Name="root_Map616" RootElement="root" SchemaID="Schema617" ShowImportExportValidationErrors="false" AutoFit="true" Append="false" PreserveSortAFLayout="true" PreserveFormat="true">
    <DataBinding FileBinding="true" ConnectionID="617" DataBindingLoadMode="1"/>
  </Map>
  <Map ID="36764" Name="root_Map617" RootElement="root" SchemaID="Schema618" ShowImportExportValidationErrors="false" AutoFit="true" Append="false" PreserveSortAFLayout="true" PreserveFormat="true">
    <DataBinding FileBinding="true" ConnectionID="618" DataBindingLoadMode="1"/>
  </Map>
  <Map ID="36806" Name="root_Map618" RootElement="root" SchemaID="Schema619" ShowImportExportValidationErrors="false" AutoFit="true" Append="false" PreserveSortAFLayout="true" PreserveFormat="true">
    <DataBinding FileBinding="true" ConnectionID="619" DataBindingLoadMode="1"/>
  </Map>
  <Map ID="36848" Name="root_Map619" RootElement="root" SchemaID="Schema620" ShowImportExportValidationErrors="false" AutoFit="true" Append="false" PreserveSortAFLayout="true" PreserveFormat="true">
    <DataBinding FileBinding="true" ConnectionID="620" DataBindingLoadMode="1"/>
  </Map>
  <Map ID="202" Name="root_Map62" RootElement="root" SchemaID="Schema63" ShowImportExportValidationErrors="false" AutoFit="true" Append="false" PreserveSortAFLayout="true" PreserveFormat="true">
    <DataBinding FileBinding="true" ConnectionID="65" DataBindingLoadMode="1"/>
  </Map>
  <Map ID="36890" Name="root_Map620" RootElement="root" SchemaID="Schema621" ShowImportExportValidationErrors="false" AutoFit="true" Append="false" PreserveSortAFLayout="true" PreserveFormat="true">
    <DataBinding FileBinding="true" ConnectionID="621" DataBindingLoadMode="1"/>
  </Map>
  <Map ID="36931" Name="root_Map621" RootElement="root" SchemaID="Schema622" ShowImportExportValidationErrors="false" AutoFit="true" Append="false" PreserveSortAFLayout="true" PreserveFormat="true">
    <DataBinding FileBinding="true" ConnectionID="622" DataBindingLoadMode="1"/>
  </Map>
  <Map ID="36972" Name="root_Map622" RootElement="root" SchemaID="Schema623" ShowImportExportValidationErrors="false" AutoFit="true" Append="false" PreserveSortAFLayout="true" PreserveFormat="true">
    <DataBinding FileBinding="true" ConnectionID="623" DataBindingLoadMode="1"/>
  </Map>
  <Map ID="37013" Name="root_Map623" RootElement="root" SchemaID="Schema624" ShowImportExportValidationErrors="false" AutoFit="true" Append="false" PreserveSortAFLayout="true" PreserveFormat="true">
    <DataBinding FileBinding="true" ConnectionID="624" DataBindingLoadMode="1"/>
  </Map>
  <Map ID="37054" Name="root_Map624" RootElement="root" SchemaID="Schema625" ShowImportExportValidationErrors="false" AutoFit="true" Append="false" PreserveSortAFLayout="true" PreserveFormat="true">
    <DataBinding FileBinding="true" ConnectionID="625" DataBindingLoadMode="1"/>
  </Map>
  <Map ID="37095" Name="root_Map625" RootElement="root" SchemaID="Schema626" ShowImportExportValidationErrors="false" AutoFit="true" Append="false" PreserveSortAFLayout="true" PreserveFormat="true">
    <DataBinding FileBinding="true" ConnectionID="626" DataBindingLoadMode="1"/>
  </Map>
  <Map ID="37136" Name="root_Map626" RootElement="root" SchemaID="Schema627" ShowImportExportValidationErrors="false" AutoFit="true" Append="false" PreserveSortAFLayout="true" PreserveFormat="true">
    <DataBinding FileBinding="true" ConnectionID="627" DataBindingLoadMode="1"/>
  </Map>
  <Map ID="37177" Name="root_Map627" RootElement="root" SchemaID="Schema628" ShowImportExportValidationErrors="false" AutoFit="true" Append="false" PreserveSortAFLayout="true" PreserveFormat="true">
    <DataBinding FileBinding="true" ConnectionID="628" DataBindingLoadMode="1"/>
  </Map>
  <Map ID="37218" Name="root_Map628" RootElement="root" SchemaID="Schema629" ShowImportExportValidationErrors="false" AutoFit="true" Append="false" PreserveSortAFLayout="true" PreserveFormat="true">
    <DataBinding FileBinding="true" ConnectionID="629" DataBindingLoadMode="1"/>
  </Map>
  <Map ID="37259" Name="root_Map629" RootElement="root" SchemaID="Schema630" ShowImportExportValidationErrors="false" AutoFit="true" Append="false" PreserveSortAFLayout="true" PreserveFormat="true">
    <DataBinding FileBinding="true" ConnectionID="630" DataBindingLoadMode="1"/>
  </Map>
  <Map ID="206" Name="root_Map63" RootElement="root" SchemaID="Schema64" ShowImportExportValidationErrors="false" AutoFit="true" Append="false" PreserveSortAFLayout="true" PreserveFormat="true">
    <DataBinding FileBinding="true" ConnectionID="66" DataBindingLoadMode="1"/>
  </Map>
  <Map ID="37300" Name="root_Map630" RootElement="root" SchemaID="Schema631" ShowImportExportValidationErrors="false" AutoFit="true" Append="false" PreserveSortAFLayout="true" PreserveFormat="true">
    <DataBinding FileBinding="true" ConnectionID="631" DataBindingLoadMode="1"/>
  </Map>
  <Map ID="37340" Name="root_Map631" RootElement="root" SchemaID="Schema632" ShowImportExportValidationErrors="false" AutoFit="true" Append="false" PreserveSortAFLayout="true" PreserveFormat="true">
    <DataBinding FileBinding="true" ConnectionID="632" DataBindingLoadMode="1"/>
  </Map>
  <Map ID="37380" Name="root_Map632" RootElement="root" SchemaID="Schema633" ShowImportExportValidationErrors="false" AutoFit="true" Append="false" PreserveSortAFLayout="true" PreserveFormat="true">
    <DataBinding FileBinding="true" ConnectionID="633" DataBindingLoadMode="1"/>
  </Map>
  <Map ID="37420" Name="root_Map633" RootElement="root" SchemaID="Schema634" ShowImportExportValidationErrors="false" AutoFit="true" Append="false" PreserveSortAFLayout="true" PreserveFormat="true">
    <DataBinding FileBinding="true" ConnectionID="634" DataBindingLoadMode="1"/>
  </Map>
  <Map ID="37460" Name="root_Map634" RootElement="root" SchemaID="Schema635" ShowImportExportValidationErrors="false" AutoFit="true" Append="false" PreserveSortAFLayout="true" PreserveFormat="true">
    <DataBinding FileBinding="true" ConnectionID="635" DataBindingLoadMode="1"/>
  </Map>
  <Map ID="37500" Name="root_Map635" RootElement="root" SchemaID="Schema636" ShowImportExportValidationErrors="false" AutoFit="true" Append="false" PreserveSortAFLayout="true" PreserveFormat="true">
    <DataBinding FileBinding="true" ConnectionID="636" DataBindingLoadMode="1"/>
  </Map>
  <Map ID="37540" Name="root_Map636" RootElement="root" SchemaID="Schema637" ShowImportExportValidationErrors="false" AutoFit="true" Append="false" PreserveSortAFLayout="true" PreserveFormat="true">
    <DataBinding FileBinding="true" ConnectionID="637" DataBindingLoadMode="1"/>
  </Map>
  <Map ID="37580" Name="root_Map637" RootElement="root" SchemaID="Schema638" ShowImportExportValidationErrors="false" AutoFit="true" Append="false" PreserveSortAFLayout="true" PreserveFormat="true">
    <DataBinding FileBinding="true" ConnectionID="638" DataBindingLoadMode="1"/>
  </Map>
  <Map ID="37620" Name="root_Map638" RootElement="root" SchemaID="Schema639" ShowImportExportValidationErrors="false" AutoFit="true" Append="false" PreserveSortAFLayout="true" PreserveFormat="true">
    <DataBinding FileBinding="true" ConnectionID="639" DataBindingLoadMode="1"/>
  </Map>
  <Map ID="37660" Name="root_Map639" RootElement="root" SchemaID="Schema640" ShowImportExportValidationErrors="false" AutoFit="true" Append="false" PreserveSortAFLayout="true" PreserveFormat="true">
    <DataBinding FileBinding="true" ConnectionID="640" DataBindingLoadMode="1"/>
  </Map>
  <Map ID="210" Name="root_Map64" RootElement="root" SchemaID="Schema65" ShowImportExportValidationErrors="false" AutoFit="true" Append="false" PreserveSortAFLayout="true" PreserveFormat="true">
    <DataBinding FileBinding="true" ConnectionID="67" DataBindingLoadMode="1"/>
  </Map>
  <Map ID="37700" Name="root_Map640" RootElement="root" SchemaID="Schema641" ShowImportExportValidationErrors="false" AutoFit="true" Append="false" PreserveSortAFLayout="true" PreserveFormat="true">
    <DataBinding FileBinding="true" ConnectionID="641" DataBindingLoadMode="1"/>
  </Map>
  <Map ID="37739" Name="root_Map641" RootElement="root" SchemaID="Schema642" ShowImportExportValidationErrors="false" AutoFit="true" Append="false" PreserveSortAFLayout="true" PreserveFormat="true">
    <DataBinding FileBinding="true" ConnectionID="642" DataBindingLoadMode="1"/>
  </Map>
  <Map ID="37778" Name="root_Map642" RootElement="root" SchemaID="Schema643" ShowImportExportValidationErrors="false" AutoFit="true" Append="false" PreserveSortAFLayout="true" PreserveFormat="true">
    <DataBinding FileBinding="true" ConnectionID="643" DataBindingLoadMode="1"/>
  </Map>
  <Map ID="37817" Name="root_Map643" RootElement="root" SchemaID="Schema644" ShowImportExportValidationErrors="false" AutoFit="true" Append="false" PreserveSortAFLayout="true" PreserveFormat="true">
    <DataBinding FileBinding="true" ConnectionID="644" DataBindingLoadMode="1"/>
  </Map>
  <Map ID="37856" Name="root_Map644" RootElement="root" SchemaID="Schema645" ShowImportExportValidationErrors="false" AutoFit="true" Append="false" PreserveSortAFLayout="true" PreserveFormat="true">
    <DataBinding FileBinding="true" ConnectionID="645" DataBindingLoadMode="1"/>
  </Map>
  <Map ID="37895" Name="root_Map645" RootElement="root" SchemaID="Schema646" ShowImportExportValidationErrors="false" AutoFit="true" Append="false" PreserveSortAFLayout="true" PreserveFormat="true">
    <DataBinding FileBinding="true" ConnectionID="646" DataBindingLoadMode="1"/>
  </Map>
  <Map ID="37934" Name="root_Map646" RootElement="root" SchemaID="Schema647" ShowImportExportValidationErrors="false" AutoFit="true" Append="false" PreserveSortAFLayout="true" PreserveFormat="true">
    <DataBinding FileBinding="true" ConnectionID="647" DataBindingLoadMode="1"/>
  </Map>
  <Map ID="37973" Name="root_Map647" RootElement="root" SchemaID="Schema648" ShowImportExportValidationErrors="false" AutoFit="true" Append="false" PreserveSortAFLayout="true" PreserveFormat="true">
    <DataBinding FileBinding="true" ConnectionID="648" DataBindingLoadMode="1"/>
  </Map>
  <Map ID="38012" Name="root_Map648" RootElement="root" SchemaID="Schema649" ShowImportExportValidationErrors="false" AutoFit="true" Append="false" PreserveSortAFLayout="true" PreserveFormat="true">
    <DataBinding FileBinding="true" ConnectionID="649" DataBindingLoadMode="1"/>
  </Map>
  <Map ID="38051" Name="root_Map649" RootElement="root" SchemaID="Schema650" ShowImportExportValidationErrors="false" AutoFit="true" Append="false" PreserveSortAFLayout="true" PreserveFormat="true">
    <DataBinding FileBinding="true" ConnectionID="650" DataBindingLoadMode="1"/>
  </Map>
  <Map ID="214" Name="root_Map65" RootElement="root" SchemaID="Schema66" ShowImportExportValidationErrors="false" AutoFit="true" Append="false" PreserveSortAFLayout="true" PreserveFormat="true">
    <DataBinding FileBinding="true" ConnectionID="68" DataBindingLoadMode="1"/>
  </Map>
  <Map ID="38090" Name="root_Map650" RootElement="root" SchemaID="Schema651" ShowImportExportValidationErrors="false" AutoFit="true" Append="false" PreserveSortAFLayout="true" PreserveFormat="true">
    <DataBinding FileBinding="true" ConnectionID="651" DataBindingLoadMode="1"/>
  </Map>
  <Map ID="38128" Name="root_Map651" RootElement="root" SchemaID="Schema652" ShowImportExportValidationErrors="false" AutoFit="true" Append="false" PreserveSortAFLayout="true" PreserveFormat="true">
    <DataBinding FileBinding="true" ConnectionID="652" DataBindingLoadMode="1"/>
  </Map>
  <Map ID="38166" Name="root_Map652" RootElement="root" SchemaID="Schema653" ShowImportExportValidationErrors="false" AutoFit="true" Append="false" PreserveSortAFLayout="true" PreserveFormat="true">
    <DataBinding FileBinding="true" ConnectionID="653" DataBindingLoadMode="1"/>
  </Map>
  <Map ID="38204" Name="root_Map653" RootElement="root" SchemaID="Schema654" ShowImportExportValidationErrors="false" AutoFit="true" Append="false" PreserveSortAFLayout="true" PreserveFormat="true">
    <DataBinding FileBinding="true" ConnectionID="654" DataBindingLoadMode="1"/>
  </Map>
  <Map ID="38242" Name="root_Map654" RootElement="root" SchemaID="Schema655" ShowImportExportValidationErrors="false" AutoFit="true" Append="false" PreserveSortAFLayout="true" PreserveFormat="true">
    <DataBinding FileBinding="true" ConnectionID="655" DataBindingLoadMode="1"/>
  </Map>
  <Map ID="38280" Name="root_Map655" RootElement="root" SchemaID="Schema656" ShowImportExportValidationErrors="false" AutoFit="true" Append="false" PreserveSortAFLayout="true" PreserveFormat="true">
    <DataBinding FileBinding="true" ConnectionID="656" DataBindingLoadMode="1"/>
  </Map>
  <Map ID="38318" Name="root_Map656" RootElement="root" SchemaID="Schema657" ShowImportExportValidationErrors="false" AutoFit="true" Append="false" PreserveSortAFLayout="true" PreserveFormat="true">
    <DataBinding FileBinding="true" ConnectionID="657" DataBindingLoadMode="1"/>
  </Map>
  <Map ID="38356" Name="root_Map657" RootElement="root" SchemaID="Schema658" ShowImportExportValidationErrors="false" AutoFit="true" Append="false" PreserveSortAFLayout="true" PreserveFormat="true">
    <DataBinding FileBinding="true" ConnectionID="658" DataBindingLoadMode="1"/>
  </Map>
  <Map ID="38394" Name="root_Map658" RootElement="root" SchemaID="Schema659" ShowImportExportValidationErrors="false" AutoFit="true" Append="false" PreserveSortAFLayout="true" PreserveFormat="true">
    <DataBinding FileBinding="true" ConnectionID="659" DataBindingLoadMode="1"/>
  </Map>
  <Map ID="38432" Name="root_Map659" RootElement="root" SchemaID="Schema660" ShowImportExportValidationErrors="false" AutoFit="true" Append="false" PreserveSortAFLayout="true" PreserveFormat="true">
    <DataBinding FileBinding="true" ConnectionID="660" DataBindingLoadMode="1"/>
  </Map>
  <Map ID="218" Name="root_Map66" RootElement="root" SchemaID="Schema67" ShowImportExportValidationErrors="false" AutoFit="true" Append="false" PreserveSortAFLayout="true" PreserveFormat="true">
    <DataBinding FileBinding="true" ConnectionID="69" DataBindingLoadMode="1"/>
  </Map>
  <Map ID="38470" Name="root_Map660" RootElement="root" SchemaID="Schema661" ShowImportExportValidationErrors="false" AutoFit="true" Append="false" PreserveSortAFLayout="true" PreserveFormat="true">
    <DataBinding FileBinding="true" ConnectionID="661" DataBindingLoadMode="1"/>
  </Map>
  <Map ID="38507" Name="root_Map661" RootElement="root" SchemaID="Schema662" ShowImportExportValidationErrors="false" AutoFit="true" Append="false" PreserveSortAFLayout="true" PreserveFormat="true">
    <DataBinding FileBinding="true" ConnectionID="662" DataBindingLoadMode="1"/>
  </Map>
  <Map ID="38544" Name="root_Map662" RootElement="root" SchemaID="Schema663" ShowImportExportValidationErrors="false" AutoFit="true" Append="false" PreserveSortAFLayout="true" PreserveFormat="true">
    <DataBinding FileBinding="true" ConnectionID="663" DataBindingLoadMode="1"/>
  </Map>
  <Map ID="38581" Name="root_Map663" RootElement="root" SchemaID="Schema664" ShowImportExportValidationErrors="false" AutoFit="true" Append="false" PreserveSortAFLayout="true" PreserveFormat="true">
    <DataBinding FileBinding="true" ConnectionID="664" DataBindingLoadMode="1"/>
  </Map>
  <Map ID="38618" Name="root_Map664" RootElement="root" SchemaID="Schema665" ShowImportExportValidationErrors="false" AutoFit="true" Append="false" PreserveSortAFLayout="true" PreserveFormat="true">
    <DataBinding FileBinding="true" ConnectionID="665" DataBindingLoadMode="1"/>
  </Map>
  <Map ID="38655" Name="root_Map665" RootElement="root" SchemaID="Schema666" ShowImportExportValidationErrors="false" AutoFit="true" Append="false" PreserveSortAFLayout="true" PreserveFormat="true">
    <DataBinding FileBinding="true" ConnectionID="666" DataBindingLoadMode="1"/>
  </Map>
  <Map ID="38692" Name="root_Map666" RootElement="root" SchemaID="Schema667" ShowImportExportValidationErrors="false" AutoFit="true" Append="false" PreserveSortAFLayout="true" PreserveFormat="true">
    <DataBinding FileBinding="true" ConnectionID="667" DataBindingLoadMode="1"/>
  </Map>
  <Map ID="38729" Name="root_Map667" RootElement="root" SchemaID="Schema668" ShowImportExportValidationErrors="false" AutoFit="true" Append="false" PreserveSortAFLayout="true" PreserveFormat="true">
    <DataBinding FileBinding="true" ConnectionID="668" DataBindingLoadMode="1"/>
  </Map>
  <Map ID="38766" Name="root_Map668" RootElement="root" SchemaID="Schema669" ShowImportExportValidationErrors="false" AutoFit="true" Append="false" PreserveSortAFLayout="true" PreserveFormat="true">
    <DataBinding FileBinding="true" ConnectionID="669" DataBindingLoadMode="1"/>
  </Map>
  <Map ID="38803" Name="root_Map669" RootElement="root" SchemaID="Schema670" ShowImportExportValidationErrors="false" AutoFit="true" Append="false" PreserveSortAFLayout="true" PreserveFormat="true">
    <DataBinding FileBinding="true" ConnectionID="670" DataBindingLoadMode="1"/>
  </Map>
  <Map ID="222" Name="root_Map67" RootElement="root" SchemaID="Schema68" ShowImportExportValidationErrors="false" AutoFit="true" Append="false" PreserveSortAFLayout="true" PreserveFormat="true">
    <DataBinding FileBinding="true" ConnectionID="70" DataBindingLoadMode="1"/>
  </Map>
  <Map ID="38840" Name="root_Map670" RootElement="root" SchemaID="Schema671" ShowImportExportValidationErrors="false" AutoFit="true" Append="false" PreserveSortAFLayout="true" PreserveFormat="true">
    <DataBinding FileBinding="true" ConnectionID="671" DataBindingLoadMode="1"/>
  </Map>
  <Map ID="38876" Name="root_Map671" RootElement="root" SchemaID="Schema672" ShowImportExportValidationErrors="false" AutoFit="true" Append="false" PreserveSortAFLayout="true" PreserveFormat="true">
    <DataBinding FileBinding="true" ConnectionID="672" DataBindingLoadMode="1"/>
  </Map>
  <Map ID="38912" Name="root_Map672" RootElement="root" SchemaID="Schema673" ShowImportExportValidationErrors="false" AutoFit="true" Append="false" PreserveSortAFLayout="true" PreserveFormat="true">
    <DataBinding FileBinding="true" ConnectionID="673" DataBindingLoadMode="1"/>
  </Map>
  <Map ID="38948" Name="root_Map673" RootElement="root" SchemaID="Schema674" ShowImportExportValidationErrors="false" AutoFit="true" Append="false" PreserveSortAFLayout="true" PreserveFormat="true">
    <DataBinding FileBinding="true" ConnectionID="674" DataBindingLoadMode="1"/>
  </Map>
  <Map ID="38984" Name="root_Map674" RootElement="root" SchemaID="Schema675" ShowImportExportValidationErrors="false" AutoFit="true" Append="false" PreserveSortAFLayout="true" PreserveFormat="true">
    <DataBinding FileBinding="true" ConnectionID="675" DataBindingLoadMode="1"/>
  </Map>
  <Map ID="39020" Name="root_Map675" RootElement="root" SchemaID="Schema676" ShowImportExportValidationErrors="false" AutoFit="true" Append="false" PreserveSortAFLayout="true" PreserveFormat="true">
    <DataBinding FileBinding="true" ConnectionID="676" DataBindingLoadMode="1"/>
  </Map>
  <Map ID="39056" Name="root_Map676" RootElement="root" SchemaID="Schema677" ShowImportExportValidationErrors="false" AutoFit="true" Append="false" PreserveSortAFLayout="true" PreserveFormat="true">
    <DataBinding FileBinding="true" ConnectionID="677" DataBindingLoadMode="1"/>
  </Map>
  <Map ID="39092" Name="root_Map677" RootElement="root" SchemaID="Schema678" ShowImportExportValidationErrors="false" AutoFit="true" Append="false" PreserveSortAFLayout="true" PreserveFormat="true">
    <DataBinding FileBinding="true" ConnectionID="678" DataBindingLoadMode="1"/>
  </Map>
  <Map ID="39128" Name="root_Map678" RootElement="root" SchemaID="Schema679" ShowImportExportValidationErrors="false" AutoFit="true" Append="false" PreserveSortAFLayout="true" PreserveFormat="true">
    <DataBinding FileBinding="true" ConnectionID="679" DataBindingLoadMode="1"/>
  </Map>
  <Map ID="39164" Name="root_Map679" RootElement="root" SchemaID="Schema680" ShowImportExportValidationErrors="false" AutoFit="true" Append="false" PreserveSortAFLayout="true" PreserveFormat="true">
    <DataBinding FileBinding="true" ConnectionID="680" DataBindingLoadMode="1"/>
  </Map>
  <Map ID="226" Name="root_Map68" RootElement="root" SchemaID="Schema69" ShowImportExportValidationErrors="false" AutoFit="true" Append="false" PreserveSortAFLayout="true" PreserveFormat="true">
    <DataBinding FileBinding="true" ConnectionID="71" DataBindingLoadMode="1"/>
  </Map>
  <Map ID="39200" Name="root_Map680" RootElement="root" SchemaID="Schema681" ShowImportExportValidationErrors="false" AutoFit="true" Append="false" PreserveSortAFLayout="true" PreserveFormat="true">
    <DataBinding FileBinding="true" ConnectionID="681" DataBindingLoadMode="1"/>
  </Map>
  <Map ID="39235" Name="root_Map681" RootElement="root" SchemaID="Schema682" ShowImportExportValidationErrors="false" AutoFit="true" Append="false" PreserveSortAFLayout="true" PreserveFormat="true">
    <DataBinding FileBinding="true" ConnectionID="682" DataBindingLoadMode="1"/>
  </Map>
  <Map ID="39270" Name="root_Map682" RootElement="root" SchemaID="Schema683" ShowImportExportValidationErrors="false" AutoFit="true" Append="false" PreserveSortAFLayout="true" PreserveFormat="true">
    <DataBinding FileBinding="true" ConnectionID="683" DataBindingLoadMode="1"/>
  </Map>
  <Map ID="39305" Name="root_Map683" RootElement="root" SchemaID="Schema684" ShowImportExportValidationErrors="false" AutoFit="true" Append="false" PreserveSortAFLayout="true" PreserveFormat="true">
    <DataBinding FileBinding="true" ConnectionID="684" DataBindingLoadMode="1"/>
  </Map>
  <Map ID="39340" Name="root_Map684" RootElement="root" SchemaID="Schema685" ShowImportExportValidationErrors="false" AutoFit="true" Append="false" PreserveSortAFLayout="true" PreserveFormat="true">
    <DataBinding FileBinding="true" ConnectionID="685" DataBindingLoadMode="1"/>
  </Map>
  <Map ID="39375" Name="root_Map685" RootElement="root" SchemaID="Schema686" ShowImportExportValidationErrors="false" AutoFit="true" Append="false" PreserveSortAFLayout="true" PreserveFormat="true">
    <DataBinding FileBinding="true" ConnectionID="686" DataBindingLoadMode="1"/>
  </Map>
  <Map ID="39410" Name="root_Map686" RootElement="root" SchemaID="Schema687" ShowImportExportValidationErrors="false" AutoFit="true" Append="false" PreserveSortAFLayout="true" PreserveFormat="true">
    <DataBinding FileBinding="true" ConnectionID="687" DataBindingLoadMode="1"/>
  </Map>
  <Map ID="39445" Name="root_Map687" RootElement="root" SchemaID="Schema688" ShowImportExportValidationErrors="false" AutoFit="true" Append="false" PreserveSortAFLayout="true" PreserveFormat="true">
    <DataBinding FileBinding="true" ConnectionID="688" DataBindingLoadMode="1"/>
  </Map>
  <Map ID="39480" Name="root_Map688" RootElement="root" SchemaID="Schema689" ShowImportExportValidationErrors="false" AutoFit="true" Append="false" PreserveSortAFLayout="true" PreserveFormat="true">
    <DataBinding FileBinding="true" ConnectionID="689" DataBindingLoadMode="1"/>
  </Map>
  <Map ID="39515" Name="root_Map689" RootElement="root" SchemaID="Schema690" ShowImportExportValidationErrors="false" AutoFit="true" Append="false" PreserveSortAFLayout="true" PreserveFormat="true">
    <DataBinding FileBinding="true" ConnectionID="690" DataBindingLoadMode="1"/>
  </Map>
  <Map ID="230" Name="root_Map69" RootElement="root" SchemaID="Schema70" ShowImportExportValidationErrors="false" AutoFit="true" Append="false" PreserveSortAFLayout="true" PreserveFormat="true">
    <DataBinding FileBinding="true" ConnectionID="72" DataBindingLoadMode="1"/>
  </Map>
  <Map ID="39550" Name="root_Map690" RootElement="root" SchemaID="Schema691" ShowImportExportValidationErrors="false" AutoFit="true" Append="false" PreserveSortAFLayout="true" PreserveFormat="true">
    <DataBinding FileBinding="true" ConnectionID="691" DataBindingLoadMode="1"/>
  </Map>
  <Map ID="39584" Name="root_Map691" RootElement="root" SchemaID="Schema692" ShowImportExportValidationErrors="false" AutoFit="true" Append="false" PreserveSortAFLayout="true" PreserveFormat="true">
    <DataBinding FileBinding="true" ConnectionID="692" DataBindingLoadMode="1"/>
  </Map>
  <Map ID="39618" Name="root_Map692" RootElement="root" SchemaID="Schema693" ShowImportExportValidationErrors="false" AutoFit="true" Append="false" PreserveSortAFLayout="true" PreserveFormat="true">
    <DataBinding FileBinding="true" ConnectionID="693" DataBindingLoadMode="1"/>
  </Map>
  <Map ID="39652" Name="root_Map693" RootElement="root" SchemaID="Schema694" ShowImportExportValidationErrors="false" AutoFit="true" Append="false" PreserveSortAFLayout="true" PreserveFormat="true">
    <DataBinding FileBinding="true" ConnectionID="694" DataBindingLoadMode="1"/>
  </Map>
  <Map ID="39686" Name="root_Map694" RootElement="root" SchemaID="Schema695" ShowImportExportValidationErrors="false" AutoFit="true" Append="false" PreserveSortAFLayout="true" PreserveFormat="true">
    <DataBinding FileBinding="true" ConnectionID="695" DataBindingLoadMode="1"/>
  </Map>
  <Map ID="39720" Name="root_Map695" RootElement="root" SchemaID="Schema696" ShowImportExportValidationErrors="false" AutoFit="true" Append="false" PreserveSortAFLayout="true" PreserveFormat="true">
    <DataBinding FileBinding="true" ConnectionID="696" DataBindingLoadMode="1"/>
  </Map>
  <Map ID="39754" Name="root_Map696" RootElement="root" SchemaID="Schema697" ShowImportExportValidationErrors="false" AutoFit="true" Append="false" PreserveSortAFLayout="true" PreserveFormat="true">
    <DataBinding FileBinding="true" ConnectionID="697" DataBindingLoadMode="1"/>
  </Map>
  <Map ID="39788" Name="root_Map697" RootElement="root" SchemaID="Schema698" ShowImportExportValidationErrors="false" AutoFit="true" Append="false" PreserveSortAFLayout="true" PreserveFormat="true">
    <DataBinding FileBinding="true" ConnectionID="698" DataBindingLoadMode="1"/>
  </Map>
  <Map ID="39822" Name="root_Map698" RootElement="root" SchemaID="Schema699" ShowImportExportValidationErrors="false" AutoFit="true" Append="false" PreserveSortAFLayout="true" PreserveFormat="true">
    <DataBinding FileBinding="true" ConnectionID="699" DataBindingLoadMode="1"/>
  </Map>
  <Map ID="39856" Name="root_Map699" RootElement="root" SchemaID="Schema700" ShowImportExportValidationErrors="false" AutoFit="true" Append="false" PreserveSortAFLayout="true" PreserveFormat="true">
    <DataBinding FileBinding="true" ConnectionID="700" DataBindingLoadMode="1"/>
  </Map>
  <Map ID="8" Name="root_Map7" RootElement="root" SchemaID="Schema8" ShowImportExportValidationErrors="false" AutoFit="true" Append="false" PreserveSortAFLayout="true" PreserveFormat="true">
    <DataBinding FileBinding="true" ConnectionID="26" DataBindingLoadMode="1"/>
  </Map>
  <Map ID="234" Name="root_Map70" RootElement="root" SchemaID="Schema71" ShowImportExportValidationErrors="false" AutoFit="true" Append="false" PreserveSortAFLayout="true" PreserveFormat="true">
    <DataBinding FileBinding="true" ConnectionID="1" DataBindingLoadMode="1"/>
  </Map>
  <Map ID="39890" Name="root_Map700" RootElement="root" SchemaID="Schema701" ShowImportExportValidationErrors="false" AutoFit="true" Append="false" PreserveSortAFLayout="true" PreserveFormat="true">
    <DataBinding FileBinding="true" ConnectionID="701" DataBindingLoadMode="1"/>
  </Map>
  <Map ID="39922" Name="root_Map701" RootElement="root" SchemaID="Schema702" ShowImportExportValidationErrors="false" AutoFit="true" Append="false" PreserveSortAFLayout="true" PreserveFormat="true">
    <DataBinding FileBinding="true" ConnectionID="702" DataBindingLoadMode="1"/>
  </Map>
  <Map ID="39954" Name="root_Map702" RootElement="root" SchemaID="Schema703" ShowImportExportValidationErrors="false" AutoFit="true" Append="false" PreserveSortAFLayout="true" PreserveFormat="true">
    <DataBinding FileBinding="true" ConnectionID="703" DataBindingLoadMode="1"/>
  </Map>
  <Map ID="39986" Name="root_Map703" RootElement="root" SchemaID="Schema704" ShowImportExportValidationErrors="false" AutoFit="true" Append="false" PreserveSortAFLayout="true" PreserveFormat="true">
    <DataBinding FileBinding="true" ConnectionID="704" DataBindingLoadMode="1"/>
  </Map>
  <Map ID="40018" Name="root_Map704" RootElement="root" SchemaID="Schema705" ShowImportExportValidationErrors="false" AutoFit="true" Append="false" PreserveSortAFLayout="true" PreserveFormat="true">
    <DataBinding FileBinding="true" ConnectionID="705" DataBindingLoadMode="1"/>
  </Map>
  <Map ID="40050" Name="root_Map705" RootElement="root" SchemaID="Schema706" ShowImportExportValidationErrors="false" AutoFit="true" Append="false" PreserveSortAFLayout="true" PreserveFormat="true">
    <DataBinding FileBinding="true" ConnectionID="706" DataBindingLoadMode="1"/>
  </Map>
  <Map ID="40082" Name="root_Map706" RootElement="root" SchemaID="Schema707" ShowImportExportValidationErrors="false" AutoFit="true" Append="false" PreserveSortAFLayout="true" PreserveFormat="true">
    <DataBinding FileBinding="true" ConnectionID="707" DataBindingLoadMode="1"/>
  </Map>
  <Map ID="40114" Name="root_Map707" RootElement="root" SchemaID="Schema708" ShowImportExportValidationErrors="false" AutoFit="true" Append="false" PreserveSortAFLayout="true" PreserveFormat="true">
    <DataBinding FileBinding="true" ConnectionID="708" DataBindingLoadMode="1"/>
  </Map>
  <Map ID="40146" Name="root_Map708" RootElement="root" SchemaID="Schema709" ShowImportExportValidationErrors="false" AutoFit="true" Append="false" PreserveSortAFLayout="true" PreserveFormat="true">
    <DataBinding FileBinding="true" ConnectionID="709" DataBindingLoadMode="1"/>
  </Map>
  <Map ID="40178" Name="root_Map709" RootElement="root" SchemaID="Schema710" ShowImportExportValidationErrors="false" AutoFit="true" Append="false" PreserveSortAFLayout="true" PreserveFormat="true">
    <DataBinding FileBinding="true" ConnectionID="710" DataBindingLoadMode="1"/>
  </Map>
  <Map ID="237" Name="root_Map71" RootElement="root" SchemaID="Schema72" ShowImportExportValidationErrors="false" AutoFit="true" Append="false" PreserveSortAFLayout="true" PreserveFormat="true">
    <DataBinding FileBinding="true" ConnectionID="2" DataBindingLoadMode="1"/>
  </Map>
  <Map ID="40210" Name="root_Map710" RootElement="root" SchemaID="Schema711" ShowImportExportValidationErrors="false" AutoFit="true" Append="false" PreserveSortAFLayout="true" PreserveFormat="true">
    <DataBinding FileBinding="true" ConnectionID="711" DataBindingLoadMode="1"/>
  </Map>
  <Map ID="40241" Name="root_Map711" RootElement="root" SchemaID="Schema712" ShowImportExportValidationErrors="false" AutoFit="true" Append="false" PreserveSortAFLayout="true" PreserveFormat="true">
    <DataBinding FileBinding="true" ConnectionID="712" DataBindingLoadMode="1"/>
  </Map>
  <Map ID="40272" Name="root_Map712" RootElement="root" SchemaID="Schema713" ShowImportExportValidationErrors="false" AutoFit="true" Append="false" PreserveSortAFLayout="true" PreserveFormat="true">
    <DataBinding FileBinding="true" ConnectionID="713" DataBindingLoadMode="1"/>
  </Map>
  <Map ID="40303" Name="root_Map713" RootElement="root" SchemaID="Schema714" ShowImportExportValidationErrors="false" AutoFit="true" Append="false" PreserveSortAFLayout="true" PreserveFormat="true">
    <DataBinding FileBinding="true" ConnectionID="714" DataBindingLoadMode="1"/>
  </Map>
  <Map ID="40334" Name="root_Map714" RootElement="root" SchemaID="Schema715" ShowImportExportValidationErrors="false" AutoFit="true" Append="false" PreserveSortAFLayout="true" PreserveFormat="true">
    <DataBinding FileBinding="true" ConnectionID="715" DataBindingLoadMode="1"/>
  </Map>
  <Map ID="40365" Name="root_Map715" RootElement="root" SchemaID="Schema716" ShowImportExportValidationErrors="false" AutoFit="true" Append="false" PreserveSortAFLayout="true" PreserveFormat="true">
    <DataBinding FileBinding="true" ConnectionID="716" DataBindingLoadMode="1"/>
  </Map>
  <Map ID="40396" Name="root_Map716" RootElement="root" SchemaID="Schema717" ShowImportExportValidationErrors="false" AutoFit="true" Append="false" PreserveSortAFLayout="true" PreserveFormat="true">
    <DataBinding FileBinding="true" ConnectionID="717" DataBindingLoadMode="1"/>
  </Map>
  <Map ID="40427" Name="root_Map717" RootElement="root" SchemaID="Schema718" ShowImportExportValidationErrors="false" AutoFit="true" Append="false" PreserveSortAFLayout="true" PreserveFormat="true">
    <DataBinding FileBinding="true" ConnectionID="718" DataBindingLoadMode="1"/>
  </Map>
  <Map ID="40458" Name="root_Map718" RootElement="root" SchemaID="Schema719" ShowImportExportValidationErrors="false" AutoFit="true" Append="false" PreserveSortAFLayout="true" PreserveFormat="true">
    <DataBinding FileBinding="true" ConnectionID="719" DataBindingLoadMode="1"/>
  </Map>
  <Map ID="40489" Name="root_Map719" RootElement="root" SchemaID="Schema720" ShowImportExportValidationErrors="false" AutoFit="true" Append="false" PreserveSortAFLayout="true" PreserveFormat="true">
    <DataBinding FileBinding="true" ConnectionID="720" DataBindingLoadMode="1"/>
  </Map>
  <Map ID="240" Name="root_Map72" RootElement="root" SchemaID="Schema73" ShowImportExportValidationErrors="false" AutoFit="true" Append="false" PreserveSortAFLayout="true" PreserveFormat="true">
    <DataBinding FileBinding="true" ConnectionID="73" DataBindingLoadMode="1"/>
  </Map>
  <Map ID="40520" Name="root_Map720" RootElement="root" SchemaID="Schema721" ShowImportExportValidationErrors="false" AutoFit="true" Append="false" PreserveSortAFLayout="true" PreserveFormat="true">
    <DataBinding FileBinding="true" ConnectionID="721" DataBindingLoadMode="1"/>
  </Map>
  <Map ID="40550" Name="root_Map721" RootElement="root" SchemaID="Schema722" ShowImportExportValidationErrors="false" AutoFit="true" Append="false" PreserveSortAFLayout="true" PreserveFormat="true">
    <DataBinding FileBinding="true" ConnectionID="722" DataBindingLoadMode="1"/>
  </Map>
  <Map ID="40580" Name="root_Map722" RootElement="root" SchemaID="Schema723" ShowImportExportValidationErrors="false" AutoFit="true" Append="false" PreserveSortAFLayout="true" PreserveFormat="true">
    <DataBinding FileBinding="true" ConnectionID="723" DataBindingLoadMode="1"/>
  </Map>
  <Map ID="40610" Name="root_Map723" RootElement="root" SchemaID="Schema724" ShowImportExportValidationErrors="false" AutoFit="true" Append="false" PreserveSortAFLayout="true" PreserveFormat="true">
    <DataBinding FileBinding="true" ConnectionID="724" DataBindingLoadMode="1"/>
  </Map>
  <Map ID="40640" Name="root_Map724" RootElement="root" SchemaID="Schema725" ShowImportExportValidationErrors="false" AutoFit="true" Append="false" PreserveSortAFLayout="true" PreserveFormat="true">
    <DataBinding FileBinding="true" ConnectionID="725" DataBindingLoadMode="1"/>
  </Map>
  <Map ID="40670" Name="root_Map725" RootElement="root" SchemaID="Schema726" ShowImportExportValidationErrors="false" AutoFit="true" Append="false" PreserveSortAFLayout="true" PreserveFormat="true">
    <DataBinding FileBinding="true" ConnectionID="726" DataBindingLoadMode="1"/>
  </Map>
  <Map ID="40700" Name="root_Map726" RootElement="root" SchemaID="Schema727" ShowImportExportValidationErrors="false" AutoFit="true" Append="false" PreserveSortAFLayout="true" PreserveFormat="true">
    <DataBinding FileBinding="true" ConnectionID="727" DataBindingLoadMode="1"/>
  </Map>
  <Map ID="40730" Name="root_Map727" RootElement="root" SchemaID="Schema728" ShowImportExportValidationErrors="false" AutoFit="true" Append="false" PreserveSortAFLayout="true" PreserveFormat="true">
    <DataBinding FileBinding="true" ConnectionID="728" DataBindingLoadMode="1"/>
  </Map>
  <Map ID="40760" Name="root_Map728" RootElement="root" SchemaID="Schema729" ShowImportExportValidationErrors="false" AutoFit="true" Append="false" PreserveSortAFLayout="true" PreserveFormat="true">
    <DataBinding FileBinding="true" ConnectionID="729" DataBindingLoadMode="1"/>
  </Map>
  <Map ID="40790" Name="root_Map729" RootElement="root" SchemaID="Schema730" ShowImportExportValidationErrors="false" AutoFit="true" Append="false" PreserveSortAFLayout="true" PreserveFormat="true">
    <DataBinding FileBinding="true" ConnectionID="730" DataBindingLoadMode="1"/>
  </Map>
  <Map ID="243" Name="root_Map73" RootElement="root" SchemaID="Schema74" ShowImportExportValidationErrors="false" AutoFit="true" Append="false" PreserveSortAFLayout="true" PreserveFormat="true">
    <DataBinding FileBinding="true" ConnectionID="74" DataBindingLoadMode="1"/>
  </Map>
  <Map ID="40820" Name="root_Map730" RootElement="root" SchemaID="Schema731" ShowImportExportValidationErrors="false" AutoFit="true" Append="false" PreserveSortAFLayout="true" PreserveFormat="true">
    <DataBinding FileBinding="true" ConnectionID="731" DataBindingLoadMode="1"/>
  </Map>
  <Map ID="40849" Name="root_Map731" RootElement="root" SchemaID="Schema732" ShowImportExportValidationErrors="false" AutoFit="true" Append="false" PreserveSortAFLayout="true" PreserveFormat="true">
    <DataBinding FileBinding="true" ConnectionID="732" DataBindingLoadMode="1"/>
  </Map>
  <Map ID="40878" Name="root_Map732" RootElement="root" SchemaID="Schema733" ShowImportExportValidationErrors="false" AutoFit="true" Append="false" PreserveSortAFLayout="true" PreserveFormat="true">
    <DataBinding FileBinding="true" ConnectionID="733" DataBindingLoadMode="1"/>
  </Map>
  <Map ID="40907" Name="root_Map733" RootElement="root" SchemaID="Schema734" ShowImportExportValidationErrors="false" AutoFit="true" Append="false" PreserveSortAFLayout="true" PreserveFormat="true">
    <DataBinding FileBinding="true" ConnectionID="734" DataBindingLoadMode="1"/>
  </Map>
  <Map ID="40936" Name="root_Map734" RootElement="root" SchemaID="Schema735" ShowImportExportValidationErrors="false" AutoFit="true" Append="false" PreserveSortAFLayout="true" PreserveFormat="true">
    <DataBinding FileBinding="true" ConnectionID="735" DataBindingLoadMode="1"/>
  </Map>
  <Map ID="40965" Name="root_Map735" RootElement="root" SchemaID="Schema736" ShowImportExportValidationErrors="false" AutoFit="true" Append="false" PreserveSortAFLayout="true" PreserveFormat="true">
    <DataBinding FileBinding="true" ConnectionID="736" DataBindingLoadMode="1"/>
  </Map>
  <Map ID="40994" Name="root_Map736" RootElement="root" SchemaID="Schema737" ShowImportExportValidationErrors="false" AutoFit="true" Append="false" PreserveSortAFLayout="true" PreserveFormat="true">
    <DataBinding FileBinding="true" ConnectionID="737" DataBindingLoadMode="1"/>
  </Map>
  <Map ID="41023" Name="root_Map737" RootElement="root" SchemaID="Schema738" ShowImportExportValidationErrors="false" AutoFit="true" Append="false" PreserveSortAFLayout="true" PreserveFormat="true">
    <DataBinding FileBinding="true" ConnectionID="738" DataBindingLoadMode="1"/>
  </Map>
  <Map ID="41052" Name="root_Map738" RootElement="root" SchemaID="Schema739" ShowImportExportValidationErrors="false" AutoFit="true" Append="false" PreserveSortAFLayout="true" PreserveFormat="true">
    <DataBinding FileBinding="true" ConnectionID="739" DataBindingLoadMode="1"/>
  </Map>
  <Map ID="41081" Name="root_Map739" RootElement="root" SchemaID="Schema740" ShowImportExportValidationErrors="false" AutoFit="true" Append="false" PreserveSortAFLayout="true" PreserveFormat="true">
    <DataBinding FileBinding="true" ConnectionID="740" DataBindingLoadMode="1"/>
  </Map>
  <Map ID="246" Name="root_Map74" RootElement="root" SchemaID="Schema75" ShowImportExportValidationErrors="false" AutoFit="true" Append="false" PreserveSortAFLayout="true" PreserveFormat="true">
    <DataBinding FileBinding="true" ConnectionID="75" DataBindingLoadMode="1"/>
  </Map>
  <Map ID="41110" Name="root_Map740" RootElement="root" SchemaID="Schema741" ShowImportExportValidationErrors="false" AutoFit="true" Append="false" PreserveSortAFLayout="true" PreserveFormat="true">
    <DataBinding FileBinding="true" ConnectionID="741" DataBindingLoadMode="1"/>
  </Map>
  <Map ID="41138" Name="root_Map741" RootElement="root" SchemaID="Schema742" ShowImportExportValidationErrors="false" AutoFit="true" Append="false" PreserveSortAFLayout="true" PreserveFormat="true">
    <DataBinding FileBinding="true" ConnectionID="742" DataBindingLoadMode="1"/>
  </Map>
  <Map ID="41166" Name="root_Map742" RootElement="root" SchemaID="Schema743" ShowImportExportValidationErrors="false" AutoFit="true" Append="false" PreserveSortAFLayout="true" PreserveFormat="true">
    <DataBinding FileBinding="true" ConnectionID="743" DataBindingLoadMode="1"/>
  </Map>
  <Map ID="41194" Name="root_Map743" RootElement="root" SchemaID="Schema744" ShowImportExportValidationErrors="false" AutoFit="true" Append="false" PreserveSortAFLayout="true" PreserveFormat="true">
    <DataBinding FileBinding="true" ConnectionID="744" DataBindingLoadMode="1"/>
  </Map>
  <Map ID="41222" Name="root_Map744" RootElement="root" SchemaID="Schema745" ShowImportExportValidationErrors="false" AutoFit="true" Append="false" PreserveSortAFLayout="true" PreserveFormat="true">
    <DataBinding FileBinding="true" ConnectionID="745" DataBindingLoadMode="1"/>
  </Map>
  <Map ID="41250" Name="root_Map745" RootElement="root" SchemaID="Schema746" ShowImportExportValidationErrors="false" AutoFit="true" Append="false" PreserveSortAFLayout="true" PreserveFormat="true">
    <DataBinding FileBinding="true" ConnectionID="746" DataBindingLoadMode="1"/>
  </Map>
  <Map ID="41278" Name="root_Map746" RootElement="root" SchemaID="Schema747" ShowImportExportValidationErrors="false" AutoFit="true" Append="false" PreserveSortAFLayout="true" PreserveFormat="true">
    <DataBinding FileBinding="true" ConnectionID="747" DataBindingLoadMode="1"/>
  </Map>
  <Map ID="41306" Name="root_Map747" RootElement="root" SchemaID="Schema748" ShowImportExportValidationErrors="false" AutoFit="true" Append="false" PreserveSortAFLayout="true" PreserveFormat="true">
    <DataBinding FileBinding="true" ConnectionID="748" DataBindingLoadMode="1"/>
  </Map>
  <Map ID="41334" Name="root_Map748" RootElement="root" SchemaID="Schema749" ShowImportExportValidationErrors="false" AutoFit="true" Append="false" PreserveSortAFLayout="true" PreserveFormat="true">
    <DataBinding FileBinding="true" ConnectionID="749" DataBindingLoadMode="1"/>
  </Map>
  <Map ID="41362" Name="root_Map749" RootElement="root" SchemaID="Schema750" ShowImportExportValidationErrors="false" AutoFit="true" Append="false" PreserveSortAFLayout="true" PreserveFormat="true">
    <DataBinding FileBinding="true" ConnectionID="750" DataBindingLoadMode="1"/>
  </Map>
  <Map ID="249" Name="root_Map75" RootElement="root" SchemaID="Schema76" ShowImportExportValidationErrors="false" AutoFit="true" Append="false" PreserveSortAFLayout="true" PreserveFormat="true">
    <DataBinding FileBinding="true" ConnectionID="76" DataBindingLoadMode="1"/>
  </Map>
  <Map ID="41390" Name="root_Map750" RootElement="root" SchemaID="Schema751" ShowImportExportValidationErrors="false" AutoFit="true" Append="false" PreserveSortAFLayout="true" PreserveFormat="true">
    <DataBinding FileBinding="true" ConnectionID="751" DataBindingLoadMode="1"/>
  </Map>
  <Map ID="41417" Name="root_Map751" RootElement="root" SchemaID="Schema752" ShowImportExportValidationErrors="false" AutoFit="true" Append="false" PreserveSortAFLayout="true" PreserveFormat="true">
    <DataBinding FileBinding="true" ConnectionID="752" DataBindingLoadMode="1"/>
  </Map>
  <Map ID="41444" Name="root_Map752" RootElement="root" SchemaID="Schema753" ShowImportExportValidationErrors="false" AutoFit="true" Append="false" PreserveSortAFLayout="true" PreserveFormat="true">
    <DataBinding FileBinding="true" ConnectionID="753" DataBindingLoadMode="1"/>
  </Map>
  <Map ID="41471" Name="root_Map753" RootElement="root" SchemaID="Schema754" ShowImportExportValidationErrors="false" AutoFit="true" Append="false" PreserveSortAFLayout="true" PreserveFormat="true">
    <DataBinding FileBinding="true" ConnectionID="754" DataBindingLoadMode="1"/>
  </Map>
  <Map ID="41498" Name="root_Map754" RootElement="root" SchemaID="Schema755" ShowImportExportValidationErrors="false" AutoFit="true" Append="false" PreserveSortAFLayout="true" PreserveFormat="true">
    <DataBinding FileBinding="true" ConnectionID="755" DataBindingLoadMode="1"/>
  </Map>
  <Map ID="41525" Name="root_Map755" RootElement="root" SchemaID="Schema756" ShowImportExportValidationErrors="false" AutoFit="true" Append="false" PreserveSortAFLayout="true" PreserveFormat="true">
    <DataBinding FileBinding="true" ConnectionID="756" DataBindingLoadMode="1"/>
  </Map>
  <Map ID="41552" Name="root_Map756" RootElement="root" SchemaID="Schema757" ShowImportExportValidationErrors="false" AutoFit="true" Append="false" PreserveSortAFLayout="true" PreserveFormat="true">
    <DataBinding FileBinding="true" ConnectionID="757" DataBindingLoadMode="1"/>
  </Map>
  <Map ID="41579" Name="root_Map757" RootElement="root" SchemaID="Schema758" ShowImportExportValidationErrors="false" AutoFit="true" Append="false" PreserveSortAFLayout="true" PreserveFormat="true">
    <DataBinding FileBinding="true" ConnectionID="758" DataBindingLoadMode="1"/>
  </Map>
  <Map ID="41606" Name="root_Map758" RootElement="root" SchemaID="Schema759" ShowImportExportValidationErrors="false" AutoFit="true" Append="false" PreserveSortAFLayout="true" PreserveFormat="true">
    <DataBinding FileBinding="true" ConnectionID="759" DataBindingLoadMode="1"/>
  </Map>
  <Map ID="41633" Name="root_Map759" RootElement="root" SchemaID="Schema760" ShowImportExportValidationErrors="false" AutoFit="true" Append="false" PreserveSortAFLayout="true" PreserveFormat="true">
    <DataBinding FileBinding="true" ConnectionID="760" DataBindingLoadMode="1"/>
  </Map>
  <Map ID="252" Name="root_Map76" RootElement="root" SchemaID="Schema77" ShowImportExportValidationErrors="false" AutoFit="true" Append="false" PreserveSortAFLayout="true" PreserveFormat="true">
    <DataBinding FileBinding="true" ConnectionID="77" DataBindingLoadMode="1"/>
  </Map>
  <Map ID="41660" Name="root_Map760" RootElement="root" SchemaID="Schema761" ShowImportExportValidationErrors="false" AutoFit="true" Append="false" PreserveSortAFLayout="true" PreserveFormat="true">
    <DataBinding FileBinding="true" ConnectionID="761" DataBindingLoadMode="1"/>
  </Map>
  <Map ID="41686" Name="root_Map761" RootElement="root" SchemaID="Schema762" ShowImportExportValidationErrors="false" AutoFit="true" Append="false" PreserveSortAFLayout="true" PreserveFormat="true">
    <DataBinding FileBinding="true" ConnectionID="762" DataBindingLoadMode="1"/>
  </Map>
  <Map ID="41712" Name="root_Map762" RootElement="root" SchemaID="Schema763" ShowImportExportValidationErrors="false" AutoFit="true" Append="false" PreserveSortAFLayout="true" PreserveFormat="true">
    <DataBinding FileBinding="true" ConnectionID="763" DataBindingLoadMode="1"/>
  </Map>
  <Map ID="41738" Name="root_Map763" RootElement="root" SchemaID="Schema764" ShowImportExportValidationErrors="false" AutoFit="true" Append="false" PreserveSortAFLayout="true" PreserveFormat="true">
    <DataBinding FileBinding="true" ConnectionID="764" DataBindingLoadMode="1"/>
  </Map>
  <Map ID="41764" Name="root_Map764" RootElement="root" SchemaID="Schema765" ShowImportExportValidationErrors="false" AutoFit="true" Append="false" PreserveSortAFLayout="true" PreserveFormat="true">
    <DataBinding FileBinding="true" ConnectionID="765" DataBindingLoadMode="1"/>
  </Map>
  <Map ID="41790" Name="root_Map765" RootElement="root" SchemaID="Schema766" ShowImportExportValidationErrors="false" AutoFit="true" Append="false" PreserveSortAFLayout="true" PreserveFormat="true">
    <DataBinding FileBinding="true" ConnectionID="766" DataBindingLoadMode="1"/>
  </Map>
  <Map ID="41816" Name="root_Map766" RootElement="root" SchemaID="Schema767" ShowImportExportValidationErrors="false" AutoFit="true" Append="false" PreserveSortAFLayout="true" PreserveFormat="true">
    <DataBinding FileBinding="true" ConnectionID="767" DataBindingLoadMode="1"/>
  </Map>
  <Map ID="41842" Name="root_Map767" RootElement="root" SchemaID="Schema768" ShowImportExportValidationErrors="false" AutoFit="true" Append="false" PreserveSortAFLayout="true" PreserveFormat="true">
    <DataBinding FileBinding="true" ConnectionID="768" DataBindingLoadMode="1"/>
  </Map>
  <Map ID="41868" Name="root_Map768" RootElement="root" SchemaID="Schema769" ShowImportExportValidationErrors="false" AutoFit="true" Append="false" PreserveSortAFLayout="true" PreserveFormat="true">
    <DataBinding FileBinding="true" ConnectionID="769" DataBindingLoadMode="1"/>
  </Map>
  <Map ID="41894" Name="root_Map769" RootElement="root" SchemaID="Schema770" ShowImportExportValidationErrors="false" AutoFit="true" Append="false" PreserveSortAFLayout="true" PreserveFormat="true">
    <DataBinding FileBinding="true" ConnectionID="770" DataBindingLoadMode="1"/>
  </Map>
  <Map ID="255" Name="root_Map77" RootElement="root" SchemaID="Schema78" ShowImportExportValidationErrors="false" AutoFit="true" Append="false" PreserveSortAFLayout="true" PreserveFormat="true">
    <DataBinding FileBinding="true" ConnectionID="78" DataBindingLoadMode="1"/>
  </Map>
  <Map ID="41920" Name="root_Map770" RootElement="root" SchemaID="Schema771" ShowImportExportValidationErrors="false" AutoFit="true" Append="false" PreserveSortAFLayout="true" PreserveFormat="true">
    <DataBinding FileBinding="true" ConnectionID="771" DataBindingLoadMode="1"/>
  </Map>
  <Map ID="41945" Name="root_Map771" RootElement="root" SchemaID="Schema772" ShowImportExportValidationErrors="false" AutoFit="true" Append="false" PreserveSortAFLayout="true" PreserveFormat="true">
    <DataBinding FileBinding="true" ConnectionID="772" DataBindingLoadMode="1"/>
  </Map>
  <Map ID="41970" Name="root_Map772" RootElement="root" SchemaID="Schema773" ShowImportExportValidationErrors="false" AutoFit="true" Append="false" PreserveSortAFLayout="true" PreserveFormat="true">
    <DataBinding FileBinding="true" ConnectionID="773" DataBindingLoadMode="1"/>
  </Map>
  <Map ID="41995" Name="root_Map773" RootElement="root" SchemaID="Schema774" ShowImportExportValidationErrors="false" AutoFit="true" Append="false" PreserveSortAFLayout="true" PreserveFormat="true">
    <DataBinding FileBinding="true" ConnectionID="774" DataBindingLoadMode="1"/>
  </Map>
  <Map ID="42020" Name="root_Map774" RootElement="root" SchemaID="Schema775" ShowImportExportValidationErrors="false" AutoFit="true" Append="false" PreserveSortAFLayout="true" PreserveFormat="true">
    <DataBinding FileBinding="true" ConnectionID="775" DataBindingLoadMode="1"/>
  </Map>
  <Map ID="42045" Name="root_Map775" RootElement="root" SchemaID="Schema776" ShowImportExportValidationErrors="false" AutoFit="true" Append="false" PreserveSortAFLayout="true" PreserveFormat="true">
    <DataBinding FileBinding="true" ConnectionID="776" DataBindingLoadMode="1"/>
  </Map>
  <Map ID="42070" Name="root_Map776" RootElement="root" SchemaID="Schema777" ShowImportExportValidationErrors="false" AutoFit="true" Append="false" PreserveSortAFLayout="true" PreserveFormat="true">
    <DataBinding FileBinding="true" ConnectionID="777" DataBindingLoadMode="1"/>
  </Map>
  <Map ID="42095" Name="root_Map777" RootElement="root" SchemaID="Schema778" ShowImportExportValidationErrors="false" AutoFit="true" Append="false" PreserveSortAFLayout="true" PreserveFormat="true">
    <DataBinding FileBinding="true" ConnectionID="778" DataBindingLoadMode="1"/>
  </Map>
  <Map ID="42120" Name="root_Map778" RootElement="root" SchemaID="Schema779" ShowImportExportValidationErrors="false" AutoFit="true" Append="false" PreserveSortAFLayout="true" PreserveFormat="true">
    <DataBinding FileBinding="true" ConnectionID="779" DataBindingLoadMode="1"/>
  </Map>
  <Map ID="42145" Name="root_Map779" RootElement="root" SchemaID="Schema780" ShowImportExportValidationErrors="false" AutoFit="true" Append="false" PreserveSortAFLayout="true" PreserveFormat="true">
    <DataBinding FileBinding="true" ConnectionID="780" DataBindingLoadMode="1"/>
  </Map>
  <Map ID="256" Name="root_Map78" RootElement="root" SchemaID="Schema79" ShowImportExportValidationErrors="false" AutoFit="true" Append="false" PreserveSortAFLayout="true" PreserveFormat="true">
    <DataBinding FileBinding="true" ConnectionID="79" DataBindingLoadMode="1"/>
  </Map>
  <Map ID="42170" Name="root_Map780" RootElement="root" SchemaID="Schema781" ShowImportExportValidationErrors="false" AutoFit="true" Append="false" PreserveSortAFLayout="true" PreserveFormat="true">
    <DataBinding FileBinding="true" ConnectionID="781" DataBindingLoadMode="1"/>
  </Map>
  <Map ID="42194" Name="root_Map781" RootElement="root" SchemaID="Schema782" ShowImportExportValidationErrors="false" AutoFit="true" Append="false" PreserveSortAFLayout="true" PreserveFormat="true">
    <DataBinding FileBinding="true" ConnectionID="782" DataBindingLoadMode="1"/>
  </Map>
  <Map ID="42218" Name="root_Map782" RootElement="root" SchemaID="Schema783" ShowImportExportValidationErrors="false" AutoFit="true" Append="false" PreserveSortAFLayout="true" PreserveFormat="true">
    <DataBinding FileBinding="true" ConnectionID="783" DataBindingLoadMode="1"/>
  </Map>
  <Map ID="42242" Name="root_Map783" RootElement="root" SchemaID="Schema784" ShowImportExportValidationErrors="false" AutoFit="true" Append="false" PreserveSortAFLayout="true" PreserveFormat="true">
    <DataBinding FileBinding="true" ConnectionID="784" DataBindingLoadMode="1"/>
  </Map>
  <Map ID="42266" Name="root_Map784" RootElement="root" SchemaID="Schema785" ShowImportExportValidationErrors="false" AutoFit="true" Append="false" PreserveSortAFLayout="true" PreserveFormat="true">
    <DataBinding FileBinding="true" ConnectionID="785" DataBindingLoadMode="1"/>
  </Map>
  <Map ID="42290" Name="root_Map785" RootElement="root" SchemaID="Schema786" ShowImportExportValidationErrors="false" AutoFit="true" Append="false" PreserveSortAFLayout="true" PreserveFormat="true">
    <DataBinding FileBinding="true" ConnectionID="786" DataBindingLoadMode="1"/>
  </Map>
  <Map ID="42314" Name="root_Map786" RootElement="root" SchemaID="Schema787" ShowImportExportValidationErrors="false" AutoFit="true" Append="false" PreserveSortAFLayout="true" PreserveFormat="true">
    <DataBinding FileBinding="true" ConnectionID="787" DataBindingLoadMode="1"/>
  </Map>
  <Map ID="42338" Name="root_Map787" RootElement="root" SchemaID="Schema788" ShowImportExportValidationErrors="false" AutoFit="true" Append="false" PreserveSortAFLayout="true" PreserveFormat="true">
    <DataBinding FileBinding="true" ConnectionID="788" DataBindingLoadMode="1"/>
  </Map>
  <Map ID="42362" Name="root_Map788" RootElement="root" SchemaID="Schema789" ShowImportExportValidationErrors="false" AutoFit="true" Append="false" PreserveSortAFLayout="true" PreserveFormat="true">
    <DataBinding FileBinding="true" ConnectionID="789" DataBindingLoadMode="1"/>
  </Map>
  <Map ID="42386" Name="root_Map789" RootElement="root" SchemaID="Schema790" ShowImportExportValidationErrors="false" AutoFit="true" Append="false" PreserveSortAFLayout="true" PreserveFormat="true">
    <DataBinding FileBinding="true" ConnectionID="790" DataBindingLoadMode="1"/>
  </Map>
  <Map ID="257" Name="root_Map79" RootElement="root" SchemaID="Schema80" ShowImportExportValidationErrors="false" AutoFit="true" Append="false" PreserveSortAFLayout="true" PreserveFormat="true">
    <DataBinding FileBinding="true" ConnectionID="80" DataBindingLoadMode="1"/>
  </Map>
  <Map ID="42410" Name="root_Map790" RootElement="root" SchemaID="Schema791" ShowImportExportValidationErrors="false" AutoFit="true" Append="false" PreserveSortAFLayout="true" PreserveFormat="true">
    <DataBinding FileBinding="true" ConnectionID="791" DataBindingLoadMode="1"/>
  </Map>
  <Map ID="42433" Name="root_Map791" RootElement="root" SchemaID="Schema792" ShowImportExportValidationErrors="false" AutoFit="true" Append="false" PreserveSortAFLayout="true" PreserveFormat="true">
    <DataBinding FileBinding="true" ConnectionID="792" DataBindingLoadMode="1"/>
  </Map>
  <Map ID="42456" Name="root_Map792" RootElement="root" SchemaID="Schema793" ShowImportExportValidationErrors="false" AutoFit="true" Append="false" PreserveSortAFLayout="true" PreserveFormat="true">
    <DataBinding FileBinding="true" ConnectionID="793" DataBindingLoadMode="1"/>
  </Map>
  <Map ID="42479" Name="root_Map793" RootElement="root" SchemaID="Schema794" ShowImportExportValidationErrors="false" AutoFit="true" Append="false" PreserveSortAFLayout="true" PreserveFormat="true">
    <DataBinding FileBinding="true" ConnectionID="794" DataBindingLoadMode="1"/>
  </Map>
  <Map ID="42502" Name="root_Map794" RootElement="root" SchemaID="Schema795" ShowImportExportValidationErrors="false" AutoFit="true" Append="false" PreserveSortAFLayout="true" PreserveFormat="true">
    <DataBinding FileBinding="true" ConnectionID="795" DataBindingLoadMode="1"/>
  </Map>
  <Map ID="42525" Name="root_Map795" RootElement="root" SchemaID="Schema796" ShowImportExportValidationErrors="false" AutoFit="true" Append="false" PreserveSortAFLayout="true" PreserveFormat="true">
    <DataBinding FileBinding="true" ConnectionID="796" DataBindingLoadMode="1"/>
  </Map>
  <Map ID="42548" Name="root_Map796" RootElement="root" SchemaID="Schema797" ShowImportExportValidationErrors="false" AutoFit="true" Append="false" PreserveSortAFLayout="true" PreserveFormat="true">
    <DataBinding FileBinding="true" ConnectionID="797" DataBindingLoadMode="1"/>
  </Map>
  <Map ID="42571" Name="root_Map797" RootElement="root" SchemaID="Schema798" ShowImportExportValidationErrors="false" AutoFit="true" Append="false" PreserveSortAFLayout="true" PreserveFormat="true">
    <DataBinding FileBinding="true" ConnectionID="798" DataBindingLoadMode="1"/>
  </Map>
  <Map ID="42594" Name="root_Map798" RootElement="root" SchemaID="Schema799" ShowImportExportValidationErrors="false" AutoFit="true" Append="false" PreserveSortAFLayout="true" PreserveFormat="true">
    <DataBinding FileBinding="true" ConnectionID="799" DataBindingLoadMode="1"/>
  </Map>
  <Map ID="42617" Name="root_Map799" RootElement="root" SchemaID="Schema800" ShowImportExportValidationErrors="false" AutoFit="true" Append="false" PreserveSortAFLayout="true" PreserveFormat="true">
    <DataBinding FileBinding="true" ConnectionID="800" DataBindingLoadMode="1"/>
  </Map>
  <Map ID="9" Name="root_Map8" RootElement="root" SchemaID="Schema9" ShowImportExportValidationErrors="false" AutoFit="true" Append="false" PreserveSortAFLayout="true" PreserveFormat="true">
    <DataBinding FileBinding="true" ConnectionID="27" DataBindingLoadMode="1"/>
  </Map>
  <Map ID="260" Name="root_Map80" RootElement="root" SchemaID="Schema81" ShowImportExportValidationErrors="false" AutoFit="true" Append="false" PreserveSortAFLayout="true" PreserveFormat="true">
    <DataBinding FileBinding="true" ConnectionID="81" DataBindingLoadMode="1"/>
  </Map>
  <Map ID="42640" Name="root_Map800" RootElement="root" SchemaID="Schema801" ShowImportExportValidationErrors="false" AutoFit="true" Append="false" PreserveSortAFLayout="true" PreserveFormat="true">
    <DataBinding FileBinding="true" ConnectionID="801" DataBindingLoadMode="1"/>
  </Map>
  <Map ID="42661" Name="root_Map801" RootElement="root" SchemaID="Schema802" ShowImportExportValidationErrors="false" AutoFit="true" Append="false" PreserveSortAFLayout="true" PreserveFormat="true">
    <DataBinding FileBinding="true" ConnectionID="802" DataBindingLoadMode="1"/>
  </Map>
  <Map ID="42682" Name="root_Map802" RootElement="root" SchemaID="Schema803" ShowImportExportValidationErrors="false" AutoFit="true" Append="false" PreserveSortAFLayout="true" PreserveFormat="true">
    <DataBinding FileBinding="true" ConnectionID="803" DataBindingLoadMode="1"/>
  </Map>
  <Map ID="42703" Name="root_Map803" RootElement="root" SchemaID="Schema804" ShowImportExportValidationErrors="false" AutoFit="true" Append="false" PreserveSortAFLayout="true" PreserveFormat="true">
    <DataBinding FileBinding="true" ConnectionID="804" DataBindingLoadMode="1"/>
  </Map>
  <Map ID="42724" Name="root_Map804" RootElement="root" SchemaID="Schema805" ShowImportExportValidationErrors="false" AutoFit="true" Append="false" PreserveSortAFLayout="true" PreserveFormat="true">
    <DataBinding FileBinding="true" ConnectionID="805" DataBindingLoadMode="1"/>
  </Map>
  <Map ID="42745" Name="root_Map805" RootElement="root" SchemaID="Schema806" ShowImportExportValidationErrors="false" AutoFit="true" Append="false" PreserveSortAFLayout="true" PreserveFormat="true">
    <DataBinding FileBinding="true" ConnectionID="806" DataBindingLoadMode="1"/>
  </Map>
  <Map ID="42766" Name="root_Map806" RootElement="root" SchemaID="Schema807" ShowImportExportValidationErrors="false" AutoFit="true" Append="false" PreserveSortAFLayout="true" PreserveFormat="true">
    <DataBinding FileBinding="true" ConnectionID="807" DataBindingLoadMode="1"/>
  </Map>
  <Map ID="42787" Name="root_Map807" RootElement="root" SchemaID="Schema808" ShowImportExportValidationErrors="false" AutoFit="true" Append="false" PreserveSortAFLayout="true" PreserveFormat="true">
    <DataBinding FileBinding="true" ConnectionID="808" DataBindingLoadMode="1"/>
  </Map>
  <Map ID="42808" Name="root_Map808" RootElement="root" SchemaID="Schema809" ShowImportExportValidationErrors="false" AutoFit="true" Append="false" PreserveSortAFLayout="true" PreserveFormat="true">
    <DataBinding FileBinding="true" ConnectionID="809" DataBindingLoadMode="1"/>
  </Map>
  <Map ID="42829" Name="root_Map809" RootElement="root" SchemaID="Schema810" ShowImportExportValidationErrors="false" AutoFit="true" Append="false" PreserveSortAFLayout="true" PreserveFormat="true">
    <DataBinding FileBinding="true" ConnectionID="810" DataBindingLoadMode="1"/>
  </Map>
  <Map ID="262" Name="root_Map81" RootElement="root" SchemaID="Schema82" ShowImportExportValidationErrors="false" AutoFit="true" Append="false" PreserveSortAFLayout="true" PreserveFormat="true">
    <DataBinding FileBinding="true" ConnectionID="82" DataBindingLoadMode="1"/>
  </Map>
  <Map ID="42850" Name="root_Map810" RootElement="root" SchemaID="Schema811" ShowImportExportValidationErrors="false" AutoFit="true" Append="false" PreserveSortAFLayout="true" PreserveFormat="true">
    <DataBinding FileBinding="true" ConnectionID="811" DataBindingLoadMode="1"/>
  </Map>
  <Map ID="42870" Name="root_Map811" RootElement="root" SchemaID="Schema812" ShowImportExportValidationErrors="false" AutoFit="true" Append="false" PreserveSortAFLayout="true" PreserveFormat="true">
    <DataBinding FileBinding="true" ConnectionID="812" DataBindingLoadMode="1"/>
  </Map>
  <Map ID="42890" Name="root_Map812" RootElement="root" SchemaID="Schema813" ShowImportExportValidationErrors="false" AutoFit="true" Append="false" PreserveSortAFLayout="true" PreserveFormat="true">
    <DataBinding FileBinding="true" ConnectionID="813" DataBindingLoadMode="1"/>
  </Map>
  <Map ID="42910" Name="root_Map813" RootElement="root" SchemaID="Schema814" ShowImportExportValidationErrors="false" AutoFit="true" Append="false" PreserveSortAFLayout="true" PreserveFormat="true">
    <DataBinding FileBinding="true" ConnectionID="814" DataBindingLoadMode="1"/>
  </Map>
  <Map ID="42930" Name="root_Map814" RootElement="root" SchemaID="Schema815" ShowImportExportValidationErrors="false" AutoFit="true" Append="false" PreserveSortAFLayout="true" PreserveFormat="true">
    <DataBinding FileBinding="true" ConnectionID="815" DataBindingLoadMode="1"/>
  </Map>
  <Map ID="42950" Name="root_Map815" RootElement="root" SchemaID="Schema816" ShowImportExportValidationErrors="false" AutoFit="true" Append="false" PreserveSortAFLayout="true" PreserveFormat="true">
    <DataBinding FileBinding="true" ConnectionID="816" DataBindingLoadMode="1"/>
  </Map>
  <Map ID="42970" Name="root_Map816" RootElement="root" SchemaID="Schema817" ShowImportExportValidationErrors="false" AutoFit="true" Append="false" PreserveSortAFLayout="true" PreserveFormat="true">
    <DataBinding FileBinding="true" ConnectionID="817" DataBindingLoadMode="1"/>
  </Map>
  <Map ID="42990" Name="root_Map817" RootElement="root" SchemaID="Schema818" ShowImportExportValidationErrors="false" AutoFit="true" Append="false" PreserveSortAFLayout="true" PreserveFormat="true">
    <DataBinding FileBinding="true" ConnectionID="818" DataBindingLoadMode="1"/>
  </Map>
  <Map ID="43010" Name="root_Map818" RootElement="root" SchemaID="Schema819" ShowImportExportValidationErrors="false" AutoFit="true" Append="false" PreserveSortAFLayout="true" PreserveFormat="true">
    <DataBinding FileBinding="true" ConnectionID="819" DataBindingLoadMode="1"/>
  </Map>
  <Map ID="43030" Name="root_Map819" RootElement="root" SchemaID="Schema820" ShowImportExportValidationErrors="false" AutoFit="true" Append="false" PreserveSortAFLayout="true" PreserveFormat="true">
    <DataBinding FileBinding="true" ConnectionID="820" DataBindingLoadMode="1"/>
  </Map>
  <Map ID="264" Name="root_Map82" RootElement="root" SchemaID="Schema83" ShowImportExportValidationErrors="false" AutoFit="true" Append="false" PreserveSortAFLayout="true" PreserveFormat="true">
    <DataBinding FileBinding="true" ConnectionID="83" DataBindingLoadMode="1"/>
  </Map>
  <Map ID="43050" Name="root_Map820" RootElement="root" SchemaID="Schema821" ShowImportExportValidationErrors="false" AutoFit="true" Append="false" PreserveSortAFLayout="true" PreserveFormat="true">
    <DataBinding FileBinding="true" ConnectionID="821" DataBindingLoadMode="1"/>
  </Map>
  <Map ID="43069" Name="root_Map821" RootElement="root" SchemaID="Schema822" ShowImportExportValidationErrors="false" AutoFit="true" Append="false" PreserveSortAFLayout="true" PreserveFormat="true">
    <DataBinding FileBinding="true" ConnectionID="822" DataBindingLoadMode="1"/>
  </Map>
  <Map ID="43088" Name="root_Map822" RootElement="root" SchemaID="Schema823" ShowImportExportValidationErrors="false" AutoFit="true" Append="false" PreserveSortAFLayout="true" PreserveFormat="true">
    <DataBinding FileBinding="true" ConnectionID="823" DataBindingLoadMode="1"/>
  </Map>
  <Map ID="43107" Name="root_Map823" RootElement="root" SchemaID="Schema824" ShowImportExportValidationErrors="false" AutoFit="true" Append="false" PreserveSortAFLayout="true" PreserveFormat="true">
    <DataBinding FileBinding="true" ConnectionID="824" DataBindingLoadMode="1"/>
  </Map>
  <Map ID="43126" Name="root_Map824" RootElement="root" SchemaID="Schema825" ShowImportExportValidationErrors="false" AutoFit="true" Append="false" PreserveSortAFLayout="true" PreserveFormat="true">
    <DataBinding FileBinding="true" ConnectionID="825" DataBindingLoadMode="1"/>
  </Map>
  <Map ID="43145" Name="root_Map825" RootElement="root" SchemaID="Schema826" ShowImportExportValidationErrors="false" AutoFit="true" Append="false" PreserveSortAFLayout="true" PreserveFormat="true">
    <DataBinding FileBinding="true" ConnectionID="826" DataBindingLoadMode="1"/>
  </Map>
  <Map ID="43164" Name="root_Map826" RootElement="root" SchemaID="Schema827" ShowImportExportValidationErrors="false" AutoFit="true" Append="false" PreserveSortAFLayout="true" PreserveFormat="true">
    <DataBinding FileBinding="true" ConnectionID="827" DataBindingLoadMode="1"/>
  </Map>
  <Map ID="43183" Name="root_Map827" RootElement="root" SchemaID="Schema828" ShowImportExportValidationErrors="false" AutoFit="true" Append="false" PreserveSortAFLayout="true" PreserveFormat="true">
    <DataBinding FileBinding="true" ConnectionID="828" DataBindingLoadMode="1"/>
  </Map>
  <Map ID="43202" Name="root_Map828" RootElement="root" SchemaID="Schema829" ShowImportExportValidationErrors="false" AutoFit="true" Append="false" PreserveSortAFLayout="true" PreserveFormat="true">
    <DataBinding FileBinding="true" ConnectionID="829" DataBindingLoadMode="1"/>
  </Map>
  <Map ID="43221" Name="root_Map829" RootElement="root" SchemaID="Schema830" ShowImportExportValidationErrors="false" AutoFit="true" Append="false" PreserveSortAFLayout="true" PreserveFormat="true">
    <DataBinding FileBinding="true" ConnectionID="830" DataBindingLoadMode="1"/>
  </Map>
  <Map ID="266" Name="root_Map83" RootElement="root" SchemaID="Schema84" ShowImportExportValidationErrors="false" AutoFit="true" Append="false" PreserveSortAFLayout="true" PreserveFormat="true">
    <DataBinding FileBinding="true" ConnectionID="84" DataBindingLoadMode="1"/>
  </Map>
  <Map ID="43240" Name="root_Map830" RootElement="root" SchemaID="Schema831" ShowImportExportValidationErrors="false" AutoFit="true" Append="false" PreserveSortAFLayout="true" PreserveFormat="true">
    <DataBinding FileBinding="true" ConnectionID="831" DataBindingLoadMode="1"/>
  </Map>
  <Map ID="43258" Name="root_Map831" RootElement="root" SchemaID="Schema832" ShowImportExportValidationErrors="false" AutoFit="true" Append="false" PreserveSortAFLayout="true" PreserveFormat="true">
    <DataBinding FileBinding="true" ConnectionID="832" DataBindingLoadMode="1"/>
  </Map>
  <Map ID="43276" Name="root_Map832" RootElement="root" SchemaID="Schema833" ShowImportExportValidationErrors="false" AutoFit="true" Append="false" PreserveSortAFLayout="true" PreserveFormat="true">
    <DataBinding FileBinding="true" ConnectionID="833" DataBindingLoadMode="1"/>
  </Map>
  <Map ID="43294" Name="root_Map833" RootElement="root" SchemaID="Schema834" ShowImportExportValidationErrors="false" AutoFit="true" Append="false" PreserveSortAFLayout="true" PreserveFormat="true">
    <DataBinding FileBinding="true" ConnectionID="834" DataBindingLoadMode="1"/>
  </Map>
  <Map ID="43312" Name="root_Map834" RootElement="root" SchemaID="Schema835" ShowImportExportValidationErrors="false" AutoFit="true" Append="false" PreserveSortAFLayout="true" PreserveFormat="true">
    <DataBinding FileBinding="true" ConnectionID="835" DataBindingLoadMode="1"/>
  </Map>
  <Map ID="43330" Name="root_Map835" RootElement="root" SchemaID="Schema836" ShowImportExportValidationErrors="false" AutoFit="true" Append="false" PreserveSortAFLayout="true" PreserveFormat="true">
    <DataBinding FileBinding="true" ConnectionID="836" DataBindingLoadMode="1"/>
  </Map>
  <Map ID="43348" Name="root_Map836" RootElement="root" SchemaID="Schema837" ShowImportExportValidationErrors="false" AutoFit="true" Append="false" PreserveSortAFLayout="true" PreserveFormat="true">
    <DataBinding FileBinding="true" ConnectionID="837" DataBindingLoadMode="1"/>
  </Map>
  <Map ID="43366" Name="root_Map837" RootElement="root" SchemaID="Schema838" ShowImportExportValidationErrors="false" AutoFit="true" Append="false" PreserveSortAFLayout="true" PreserveFormat="true">
    <DataBinding FileBinding="true" ConnectionID="838" DataBindingLoadMode="1"/>
  </Map>
  <Map ID="43384" Name="root_Map838" RootElement="root" SchemaID="Schema839" ShowImportExportValidationErrors="false" AutoFit="true" Append="false" PreserveSortAFLayout="true" PreserveFormat="true">
    <DataBinding FileBinding="true" ConnectionID="839" DataBindingLoadMode="1"/>
  </Map>
  <Map ID="43402" Name="root_Map839" RootElement="root" SchemaID="Schema840" ShowImportExportValidationErrors="false" AutoFit="true" Append="false" PreserveSortAFLayout="true" PreserveFormat="true">
    <DataBinding FileBinding="true" ConnectionID="840" DataBindingLoadMode="1"/>
  </Map>
  <Map ID="268" Name="root_Map84" RootElement="root" SchemaID="Schema85" ShowImportExportValidationErrors="false" AutoFit="true" Append="false" PreserveSortAFLayout="true" PreserveFormat="true">
    <DataBinding FileBinding="true" ConnectionID="85" DataBindingLoadMode="1"/>
  </Map>
  <Map ID="43420" Name="root_Map840" RootElement="root" SchemaID="Schema841" ShowImportExportValidationErrors="false" AutoFit="true" Append="false" PreserveSortAFLayout="true" PreserveFormat="true">
    <DataBinding FileBinding="true" ConnectionID="841" DataBindingLoadMode="1"/>
  </Map>
  <Map ID="43437" Name="root_Map841" RootElement="root" SchemaID="Schema842" ShowImportExportValidationErrors="false" AutoFit="true" Append="false" PreserveSortAFLayout="true" PreserveFormat="true">
    <DataBinding FileBinding="true" ConnectionID="842" DataBindingLoadMode="1"/>
  </Map>
  <Map ID="43454" Name="root_Map842" RootElement="root" SchemaID="Schema843" ShowImportExportValidationErrors="false" AutoFit="true" Append="false" PreserveSortAFLayout="true" PreserveFormat="true">
    <DataBinding FileBinding="true" ConnectionID="843" DataBindingLoadMode="1"/>
  </Map>
  <Map ID="43471" Name="root_Map843" RootElement="root" SchemaID="Schema844" ShowImportExportValidationErrors="false" AutoFit="true" Append="false" PreserveSortAFLayout="true" PreserveFormat="true">
    <DataBinding FileBinding="true" ConnectionID="844" DataBindingLoadMode="1"/>
  </Map>
  <Map ID="43488" Name="root_Map844" RootElement="root" SchemaID="Schema845" ShowImportExportValidationErrors="false" AutoFit="true" Append="false" PreserveSortAFLayout="true" PreserveFormat="true">
    <DataBinding FileBinding="true" ConnectionID="845" DataBindingLoadMode="1"/>
  </Map>
  <Map ID="43505" Name="root_Map845" RootElement="root" SchemaID="Schema846" ShowImportExportValidationErrors="false" AutoFit="true" Append="false" PreserveSortAFLayout="true" PreserveFormat="true">
    <DataBinding FileBinding="true" ConnectionID="846" DataBindingLoadMode="1"/>
  </Map>
  <Map ID="43522" Name="root_Map846" RootElement="root" SchemaID="Schema847" ShowImportExportValidationErrors="false" AutoFit="true" Append="false" PreserveSortAFLayout="true" PreserveFormat="true">
    <DataBinding FileBinding="true" ConnectionID="847" DataBindingLoadMode="1"/>
  </Map>
  <Map ID="43539" Name="root_Map847" RootElement="root" SchemaID="Schema848" ShowImportExportValidationErrors="false" AutoFit="true" Append="false" PreserveSortAFLayout="true" PreserveFormat="true">
    <DataBinding FileBinding="true" ConnectionID="848" DataBindingLoadMode="1"/>
  </Map>
  <Map ID="43556" Name="root_Map848" RootElement="root" SchemaID="Schema849" ShowImportExportValidationErrors="false" AutoFit="true" Append="false" PreserveSortAFLayout="true" PreserveFormat="true">
    <DataBinding FileBinding="true" ConnectionID="849" DataBindingLoadMode="1"/>
  </Map>
  <Map ID="43573" Name="root_Map849" RootElement="root" SchemaID="Schema850" ShowImportExportValidationErrors="false" AutoFit="true" Append="false" PreserveSortAFLayout="true" PreserveFormat="true">
    <DataBinding FileBinding="true" ConnectionID="850" DataBindingLoadMode="1"/>
  </Map>
  <Map ID="270" Name="root_Map85" RootElement="root" SchemaID="Schema86" ShowImportExportValidationErrors="false" AutoFit="true" Append="false" PreserveSortAFLayout="true" PreserveFormat="true">
    <DataBinding FileBinding="true" ConnectionID="86" DataBindingLoadMode="1"/>
  </Map>
  <Map ID="43590" Name="root_Map850" RootElement="root" SchemaID="Schema851" ShowImportExportValidationErrors="false" AutoFit="true" Append="false" PreserveSortAFLayout="true" PreserveFormat="true">
    <DataBinding FileBinding="true" ConnectionID="851" DataBindingLoadMode="1"/>
  </Map>
  <Map ID="43606" Name="root_Map851" RootElement="root" SchemaID="Schema852" ShowImportExportValidationErrors="false" AutoFit="true" Append="false" PreserveSortAFLayout="true" PreserveFormat="true">
    <DataBinding FileBinding="true" ConnectionID="852" DataBindingLoadMode="1"/>
  </Map>
  <Map ID="43622" Name="root_Map852" RootElement="root" SchemaID="Schema853" ShowImportExportValidationErrors="false" AutoFit="true" Append="false" PreserveSortAFLayout="true" PreserveFormat="true">
    <DataBinding FileBinding="true" ConnectionID="853" DataBindingLoadMode="1"/>
  </Map>
  <Map ID="43638" Name="root_Map853" RootElement="root" SchemaID="Schema854" ShowImportExportValidationErrors="false" AutoFit="true" Append="false" PreserveSortAFLayout="true" PreserveFormat="true">
    <DataBinding FileBinding="true" ConnectionID="854" DataBindingLoadMode="1"/>
  </Map>
  <Map ID="43654" Name="root_Map854" RootElement="root" SchemaID="Schema855" ShowImportExportValidationErrors="false" AutoFit="true" Append="false" PreserveSortAFLayout="true" PreserveFormat="true">
    <DataBinding FileBinding="true" ConnectionID="855" DataBindingLoadMode="1"/>
  </Map>
  <Map ID="43670" Name="root_Map855" RootElement="root" SchemaID="Schema856" ShowImportExportValidationErrors="false" AutoFit="true" Append="false" PreserveSortAFLayout="true" PreserveFormat="true">
    <DataBinding FileBinding="true" ConnectionID="856" DataBindingLoadMode="1"/>
  </Map>
  <Map ID="43686" Name="root_Map856" RootElement="root" SchemaID="Schema857" ShowImportExportValidationErrors="false" AutoFit="true" Append="false" PreserveSortAFLayout="true" PreserveFormat="true">
    <DataBinding FileBinding="true" ConnectionID="857" DataBindingLoadMode="1"/>
  </Map>
  <Map ID="43702" Name="root_Map857" RootElement="root" SchemaID="Schema858" ShowImportExportValidationErrors="false" AutoFit="true" Append="false" PreserveSortAFLayout="true" PreserveFormat="true">
    <DataBinding FileBinding="true" ConnectionID="858" DataBindingLoadMode="1"/>
  </Map>
  <Map ID="43718" Name="root_Map858" RootElement="root" SchemaID="Schema859" ShowImportExportValidationErrors="false" AutoFit="true" Append="false" PreserveSortAFLayout="true" PreserveFormat="true">
    <DataBinding FileBinding="true" ConnectionID="859" DataBindingLoadMode="1"/>
  </Map>
  <Map ID="43734" Name="root_Map859" RootElement="root" SchemaID="Schema860" ShowImportExportValidationErrors="false" AutoFit="true" Append="false" PreserveSortAFLayout="true" PreserveFormat="true">
    <DataBinding FileBinding="true" ConnectionID="860" DataBindingLoadMode="1"/>
  </Map>
  <Map ID="272" Name="root_Map86" RootElement="root" SchemaID="Schema87" ShowImportExportValidationErrors="false" AutoFit="true" Append="false" PreserveSortAFLayout="true" PreserveFormat="true">
    <DataBinding FileBinding="true" ConnectionID="87" DataBindingLoadMode="1"/>
  </Map>
  <Map ID="43750" Name="root_Map860" RootElement="root" SchemaID="Schema861" ShowImportExportValidationErrors="false" AutoFit="true" Append="false" PreserveSortAFLayout="true" PreserveFormat="true">
    <DataBinding FileBinding="true" ConnectionID="861" DataBindingLoadMode="1"/>
  </Map>
  <Map ID="43765" Name="root_Map861" RootElement="root" SchemaID="Schema862" ShowImportExportValidationErrors="false" AutoFit="true" Append="false" PreserveSortAFLayout="true" PreserveFormat="true">
    <DataBinding FileBinding="true" ConnectionID="862" DataBindingLoadMode="1"/>
  </Map>
  <Map ID="43780" Name="root_Map862" RootElement="root" SchemaID="Schema863" ShowImportExportValidationErrors="false" AutoFit="true" Append="false" PreserveSortAFLayout="true" PreserveFormat="true">
    <DataBinding FileBinding="true" ConnectionID="863" DataBindingLoadMode="1"/>
  </Map>
  <Map ID="43795" Name="root_Map863" RootElement="root" SchemaID="Schema864" ShowImportExportValidationErrors="false" AutoFit="true" Append="false" PreserveSortAFLayout="true" PreserveFormat="true">
    <DataBinding FileBinding="true" ConnectionID="864" DataBindingLoadMode="1"/>
  </Map>
  <Map ID="43810" Name="root_Map864" RootElement="root" SchemaID="Schema865" ShowImportExportValidationErrors="false" AutoFit="true" Append="false" PreserveSortAFLayout="true" PreserveFormat="true">
    <DataBinding FileBinding="true" ConnectionID="865" DataBindingLoadMode="1"/>
  </Map>
  <Map ID="43825" Name="root_Map865" RootElement="root" SchemaID="Schema866" ShowImportExportValidationErrors="false" AutoFit="true" Append="false" PreserveSortAFLayout="true" PreserveFormat="true">
    <DataBinding FileBinding="true" ConnectionID="866" DataBindingLoadMode="1"/>
  </Map>
  <Map ID="43840" Name="root_Map866" RootElement="root" SchemaID="Schema867" ShowImportExportValidationErrors="false" AutoFit="true" Append="false" PreserveSortAFLayout="true" PreserveFormat="true">
    <DataBinding FileBinding="true" ConnectionID="867" DataBindingLoadMode="1"/>
  </Map>
  <Map ID="43855" Name="root_Map867" RootElement="root" SchemaID="Schema868" ShowImportExportValidationErrors="false" AutoFit="true" Append="false" PreserveSortAFLayout="true" PreserveFormat="true">
    <DataBinding FileBinding="true" ConnectionID="868" DataBindingLoadMode="1"/>
  </Map>
  <Map ID="43870" Name="root_Map868" RootElement="root" SchemaID="Schema869" ShowImportExportValidationErrors="false" AutoFit="true" Append="false" PreserveSortAFLayout="true" PreserveFormat="true">
    <DataBinding FileBinding="true" ConnectionID="869" DataBindingLoadMode="1"/>
  </Map>
  <Map ID="43885" Name="root_Map869" RootElement="root" SchemaID="Schema870" ShowImportExportValidationErrors="false" AutoFit="true" Append="false" PreserveSortAFLayout="true" PreserveFormat="true">
    <DataBinding FileBinding="true" ConnectionID="870" DataBindingLoadMode="1"/>
  </Map>
  <Map ID="274" Name="root_Map87" RootElement="root" SchemaID="Schema88" ShowImportExportValidationErrors="false" AutoFit="true" Append="false" PreserveSortAFLayout="true" PreserveFormat="true">
    <DataBinding FileBinding="true" ConnectionID="88" DataBindingLoadMode="1"/>
  </Map>
  <Map ID="43900" Name="root_Map870" RootElement="root" SchemaID="Schema871" ShowImportExportValidationErrors="false" AutoFit="true" Append="false" PreserveSortAFLayout="true" PreserveFormat="true">
    <DataBinding FileBinding="true" ConnectionID="871" DataBindingLoadMode="1"/>
  </Map>
  <Map ID="43914" Name="root_Map871" RootElement="root" SchemaID="Schema872" ShowImportExportValidationErrors="false" AutoFit="true" Append="false" PreserveSortAFLayout="true" PreserveFormat="true">
    <DataBinding FileBinding="true" ConnectionID="872" DataBindingLoadMode="1"/>
  </Map>
  <Map ID="43928" Name="root_Map872" RootElement="root" SchemaID="Schema873" ShowImportExportValidationErrors="false" AutoFit="true" Append="false" PreserveSortAFLayout="true" PreserveFormat="true">
    <DataBinding FileBinding="true" ConnectionID="873" DataBindingLoadMode="1"/>
  </Map>
  <Map ID="43942" Name="root_Map873" RootElement="root" SchemaID="Schema874" ShowImportExportValidationErrors="false" AutoFit="true" Append="false" PreserveSortAFLayout="true" PreserveFormat="true">
    <DataBinding FileBinding="true" ConnectionID="874" DataBindingLoadMode="1"/>
  </Map>
  <Map ID="43956" Name="root_Map874" RootElement="root" SchemaID="Schema875" ShowImportExportValidationErrors="false" AutoFit="true" Append="false" PreserveSortAFLayout="true" PreserveFormat="true">
    <DataBinding FileBinding="true" ConnectionID="875" DataBindingLoadMode="1"/>
  </Map>
  <Map ID="43970" Name="root_Map875" RootElement="root" SchemaID="Schema876" ShowImportExportValidationErrors="false" AutoFit="true" Append="false" PreserveSortAFLayout="true" PreserveFormat="true">
    <DataBinding FileBinding="true" ConnectionID="876" DataBindingLoadMode="1"/>
  </Map>
  <Map ID="43984" Name="root_Map876" RootElement="root" SchemaID="Schema877" ShowImportExportValidationErrors="false" AutoFit="true" Append="false" PreserveSortAFLayout="true" PreserveFormat="true">
    <DataBinding FileBinding="true" ConnectionID="877" DataBindingLoadMode="1"/>
  </Map>
  <Map ID="43998" Name="root_Map877" RootElement="root" SchemaID="Schema878" ShowImportExportValidationErrors="false" AutoFit="true" Append="false" PreserveSortAFLayout="true" PreserveFormat="true">
    <DataBinding FileBinding="true" ConnectionID="878" DataBindingLoadMode="1"/>
  </Map>
  <Map ID="44012" Name="root_Map878" RootElement="root" SchemaID="Schema879" ShowImportExportValidationErrors="false" AutoFit="true" Append="false" PreserveSortAFLayout="true" PreserveFormat="true">
    <DataBinding FileBinding="true" ConnectionID="879" DataBindingLoadMode="1"/>
  </Map>
  <Map ID="44026" Name="root_Map879" RootElement="root" SchemaID="Schema880" ShowImportExportValidationErrors="false" AutoFit="true" Append="false" PreserveSortAFLayout="true" PreserveFormat="true">
    <DataBinding FileBinding="true" ConnectionID="880" DataBindingLoadMode="1"/>
  </Map>
  <Map ID="276" Name="root_Map88" RootElement="root" SchemaID="Schema89" ShowImportExportValidationErrors="false" AutoFit="true" Append="false" PreserveSortAFLayout="true" PreserveFormat="true">
    <DataBinding FileBinding="true" ConnectionID="89" DataBindingLoadMode="1"/>
  </Map>
  <Map ID="44040" Name="root_Map880" RootElement="root" SchemaID="Schema881" ShowImportExportValidationErrors="false" AutoFit="true" Append="false" PreserveSortAFLayout="true" PreserveFormat="true">
    <DataBinding FileBinding="true" ConnectionID="881" DataBindingLoadMode="1"/>
  </Map>
  <Map ID="44053" Name="root_Map881" RootElement="root" SchemaID="Schema882" ShowImportExportValidationErrors="false" AutoFit="true" Append="false" PreserveSortAFLayout="true" PreserveFormat="true">
    <DataBinding FileBinding="true" ConnectionID="882" DataBindingLoadMode="1"/>
  </Map>
  <Map ID="44066" Name="root_Map882" RootElement="root" SchemaID="Schema883" ShowImportExportValidationErrors="false" AutoFit="true" Append="false" PreserveSortAFLayout="true" PreserveFormat="true">
    <DataBinding FileBinding="true" ConnectionID="883" DataBindingLoadMode="1"/>
  </Map>
  <Map ID="44079" Name="root_Map883" RootElement="root" SchemaID="Schema884" ShowImportExportValidationErrors="false" AutoFit="true" Append="false" PreserveSortAFLayout="true" PreserveFormat="true">
    <DataBinding FileBinding="true" ConnectionID="884" DataBindingLoadMode="1"/>
  </Map>
  <Map ID="44092" Name="root_Map884" RootElement="root" SchemaID="Schema885" ShowImportExportValidationErrors="false" AutoFit="true" Append="false" PreserveSortAFLayout="true" PreserveFormat="true">
    <DataBinding FileBinding="true" ConnectionID="885" DataBindingLoadMode="1"/>
  </Map>
  <Map ID="44105" Name="root_Map885" RootElement="root" SchemaID="Schema886" ShowImportExportValidationErrors="false" AutoFit="true" Append="false" PreserveSortAFLayout="true" PreserveFormat="true">
    <DataBinding FileBinding="true" ConnectionID="886" DataBindingLoadMode="1"/>
  </Map>
  <Map ID="44118" Name="root_Map886" RootElement="root" SchemaID="Schema887" ShowImportExportValidationErrors="false" AutoFit="true" Append="false" PreserveSortAFLayout="true" PreserveFormat="true">
    <DataBinding FileBinding="true" ConnectionID="887" DataBindingLoadMode="1"/>
  </Map>
  <Map ID="44131" Name="root_Map887" RootElement="root" SchemaID="Schema888" ShowImportExportValidationErrors="false" AutoFit="true" Append="false" PreserveSortAFLayout="true" PreserveFormat="true">
    <DataBinding FileBinding="true" ConnectionID="888" DataBindingLoadMode="1"/>
  </Map>
  <Map ID="44144" Name="root_Map888" RootElement="root" SchemaID="Schema889" ShowImportExportValidationErrors="false" AutoFit="true" Append="false" PreserveSortAFLayout="true" PreserveFormat="true">
    <DataBinding FileBinding="true" ConnectionID="889" DataBindingLoadMode="1"/>
  </Map>
  <Map ID="44157" Name="root_Map889" RootElement="root" SchemaID="Schema890" ShowImportExportValidationErrors="false" AutoFit="true" Append="false" PreserveSortAFLayout="true" PreserveFormat="true">
    <DataBinding FileBinding="true" ConnectionID="890" DataBindingLoadMode="1"/>
  </Map>
  <Map ID="278" Name="root_Map89" RootElement="root" SchemaID="Schema90" ShowImportExportValidationErrors="false" AutoFit="true" Append="false" PreserveSortAFLayout="true" PreserveFormat="true">
    <DataBinding FileBinding="true" ConnectionID="90" DataBindingLoadMode="1"/>
  </Map>
  <Map ID="44170" Name="root_Map890" RootElement="root" SchemaID="Schema891" ShowImportExportValidationErrors="false" AutoFit="true" Append="false" PreserveSortAFLayout="true" PreserveFormat="true">
    <DataBinding FileBinding="true" ConnectionID="891" DataBindingLoadMode="1"/>
  </Map>
  <Map ID="44182" Name="root_Map891" RootElement="root" SchemaID="Schema892" ShowImportExportValidationErrors="false" AutoFit="true" Append="false" PreserveSortAFLayout="true" PreserveFormat="true">
    <DataBinding FileBinding="true" ConnectionID="892" DataBindingLoadMode="1"/>
  </Map>
  <Map ID="44194" Name="root_Map892" RootElement="root" SchemaID="Schema893" ShowImportExportValidationErrors="false" AutoFit="true" Append="false" PreserveSortAFLayout="true" PreserveFormat="true">
    <DataBinding FileBinding="true" ConnectionID="893" DataBindingLoadMode="1"/>
  </Map>
  <Map ID="44206" Name="root_Map893" RootElement="root" SchemaID="Schema894" ShowImportExportValidationErrors="false" AutoFit="true" Append="false" PreserveSortAFLayout="true" PreserveFormat="true">
    <DataBinding FileBinding="true" ConnectionID="894" DataBindingLoadMode="1"/>
  </Map>
  <Map ID="44218" Name="root_Map894" RootElement="root" SchemaID="Schema895" ShowImportExportValidationErrors="false" AutoFit="true" Append="false" PreserveSortAFLayout="true" PreserveFormat="true">
    <DataBinding FileBinding="true" ConnectionID="895" DataBindingLoadMode="1"/>
  </Map>
  <Map ID="44230" Name="root_Map895" RootElement="root" SchemaID="Schema896" ShowImportExportValidationErrors="false" AutoFit="true" Append="false" PreserveSortAFLayout="true" PreserveFormat="true">
    <DataBinding FileBinding="true" ConnectionID="896" DataBindingLoadMode="1"/>
  </Map>
  <Map ID="44242" Name="root_Map896" RootElement="root" SchemaID="Schema897" ShowImportExportValidationErrors="false" AutoFit="true" Append="false" PreserveSortAFLayout="true" PreserveFormat="true">
    <DataBinding FileBinding="true" ConnectionID="897" DataBindingLoadMode="1"/>
  </Map>
  <Map ID="44254" Name="root_Map897" RootElement="root" SchemaID="Schema898" ShowImportExportValidationErrors="false" AutoFit="true" Append="false" PreserveSortAFLayout="true" PreserveFormat="true">
    <DataBinding FileBinding="true" ConnectionID="898" DataBindingLoadMode="1"/>
  </Map>
  <Map ID="44266" Name="root_Map898" RootElement="root" SchemaID="Schema899" ShowImportExportValidationErrors="false" AutoFit="true" Append="false" PreserveSortAFLayout="true" PreserveFormat="true">
    <DataBinding FileBinding="true" ConnectionID="899" DataBindingLoadMode="1"/>
  </Map>
  <Map ID="44278" Name="root_Map899" RootElement="root" SchemaID="Schema900" ShowImportExportValidationErrors="false" AutoFit="true" Append="false" PreserveSortAFLayout="true" PreserveFormat="true">
    <DataBinding FileBinding="true" ConnectionID="900" DataBindingLoadMode="1"/>
  </Map>
  <Map ID="10" Name="root_Map9" RootElement="root" SchemaID="Schema10" ShowImportExportValidationErrors="false" AutoFit="true" Append="false" PreserveSortAFLayout="true" PreserveFormat="true">
    <DataBinding FileBinding="true" ConnectionID="28" DataBindingLoadMode="1"/>
  </Map>
  <Map ID="280" Name="root_Map90" RootElement="root" SchemaID="Schema91" ShowImportExportValidationErrors="false" AutoFit="true" Append="false" PreserveSortAFLayout="true" PreserveFormat="true">
    <DataBinding FileBinding="true" ConnectionID="91" DataBindingLoadMode="1"/>
  </Map>
  <Map ID="281" Name="root_Map91" RootElement="root" SchemaID="Schema92" ShowImportExportValidationErrors="false" AutoFit="true" Append="false" PreserveSortAFLayout="true" PreserveFormat="true">
    <DataBinding FileBinding="true" ConnectionID="92" DataBindingLoadMode="1"/>
  </Map>
  <Map ID="282" Name="root_Map92" RootElement="root" SchemaID="Schema93" ShowImportExportValidationErrors="false" AutoFit="true" Append="false" PreserveSortAFLayout="true" PreserveFormat="true">
    <DataBinding FileBinding="true" ConnectionID="93" DataBindingLoadMode="1"/>
  </Map>
  <Map ID="283" Name="root_Map93" RootElement="root" SchemaID="Schema94" ShowImportExportValidationErrors="false" AutoFit="true" Append="false" PreserveSortAFLayout="true" PreserveFormat="true">
    <DataBinding FileBinding="true" ConnectionID="94" DataBindingLoadMode="1"/>
  </Map>
  <Map ID="284" Name="root_Map94" RootElement="root" SchemaID="Schema95" ShowImportExportValidationErrors="false" AutoFit="true" Append="false" PreserveSortAFLayout="true" PreserveFormat="true">
    <DataBinding FileBinding="true" ConnectionID="95" DataBindingLoadMode="1"/>
  </Map>
  <Map ID="285" Name="root_Map95" RootElement="root" SchemaID="Schema96" ShowImportExportValidationErrors="false" AutoFit="true" Append="false" PreserveSortAFLayout="true" PreserveFormat="true">
    <DataBinding FileBinding="true" ConnectionID="96" DataBindingLoadMode="1"/>
  </Map>
  <Map ID="286" Name="root_Map96" RootElement="root" SchemaID="Schema97" ShowImportExportValidationErrors="false" AutoFit="true" Append="false" PreserveSortAFLayout="true" PreserveFormat="true">
    <DataBinding FileBinding="true" ConnectionID="97" DataBindingLoadMode="1"/>
  </Map>
  <Map ID="287" Name="root_Map97" RootElement="root" SchemaID="Schema98" ShowImportExportValidationErrors="false" AutoFit="true" Append="false" PreserveSortAFLayout="true" PreserveFormat="true">
    <DataBinding FileBinding="true" ConnectionID="98" DataBindingLoadMode="1"/>
  </Map>
  <Map ID="288" Name="root_Map98" RootElement="root" SchemaID="Schema99" ShowImportExportValidationErrors="false" AutoFit="true" Append="false" PreserveSortAFLayout="true" PreserveFormat="true">
    <DataBinding FileBinding="true" ConnectionID="99" DataBindingLoadMode="1"/>
  </Map>
  <Map ID="289" Name="root_Map99" RootElement="root" SchemaID="Schema100" ShowImportExportValidationErrors="false" AutoFit="true" Append="false" PreserveSortAFLayout="true" PreserveFormat="true">
    <DataBinding FileBinding="true" ConnectionID="10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6"/>
  <sheetViews>
    <sheetView workbookViewId="0">
      <selection activeCell="A5" sqref="A5:J5"/>
    </sheetView>
  </sheetViews>
  <sheetFormatPr baseColWidth="10" defaultRowHeight="15" x14ac:dyDescent="0.25"/>
  <sheetData>
    <row r="1" spans="1:11" ht="45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6</v>
      </c>
      <c r="F1" s="4" t="s">
        <v>7</v>
      </c>
      <c r="G1" s="3" t="s">
        <v>8</v>
      </c>
      <c r="H1" s="4" t="s">
        <v>9</v>
      </c>
      <c r="I1" s="4" t="s">
        <v>10</v>
      </c>
      <c r="J1" s="4" t="s">
        <v>11</v>
      </c>
    </row>
    <row r="2" spans="1:11" x14ac:dyDescent="0.25">
      <c r="A2" t="s">
        <v>15</v>
      </c>
      <c r="C2" t="s">
        <v>12</v>
      </c>
      <c r="E2" t="s">
        <v>13</v>
      </c>
      <c r="F2" t="s">
        <v>14</v>
      </c>
      <c r="G2" t="s">
        <v>16</v>
      </c>
      <c r="H2" t="s">
        <v>17</v>
      </c>
      <c r="I2" t="s">
        <v>18</v>
      </c>
      <c r="J2" t="s">
        <v>19</v>
      </c>
      <c r="K2" t="str">
        <f>IF(OR(H2&gt;500,I2&gt;5,J2&gt;60),"SÍ","NO")</f>
        <v>SÍ</v>
      </c>
    </row>
    <row r="3" spans="1:11" x14ac:dyDescent="0.25">
      <c r="I3" s="5" t="s">
        <v>20</v>
      </c>
    </row>
    <row r="5" spans="1:11" x14ac:dyDescent="0.25">
      <c r="A5" t="s">
        <v>0</v>
      </c>
      <c r="C5">
        <v>595524</v>
      </c>
      <c r="E5">
        <v>20200901</v>
      </c>
      <c r="F5">
        <v>85530</v>
      </c>
      <c r="G5" t="s">
        <v>1</v>
      </c>
      <c r="H5">
        <v>1.1769999999999999E-2</v>
      </c>
      <c r="I5">
        <v>2.9903999999999998E-4</v>
      </c>
      <c r="J5">
        <v>305</v>
      </c>
    </row>
    <row r="6" spans="1:11" x14ac:dyDescent="0.25">
      <c r="A6" t="s">
        <v>0</v>
      </c>
      <c r="C6">
        <v>595524</v>
      </c>
      <c r="E6">
        <v>20200901</v>
      </c>
      <c r="F6">
        <v>85530</v>
      </c>
      <c r="G6" t="s">
        <v>1</v>
      </c>
      <c r="H6">
        <v>2.9903999999999998E-4</v>
      </c>
      <c r="I6">
        <v>1.1769999999999999E-2</v>
      </c>
      <c r="J6">
        <v>305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100"/>
  <sheetViews>
    <sheetView workbookViewId="0">
      <selection activeCell="X1" sqref="X1"/>
    </sheetView>
  </sheetViews>
  <sheetFormatPr baseColWidth="10" defaultRowHeight="15" x14ac:dyDescent="0.25"/>
  <cols>
    <col min="2" max="2" width="20.28515625" customWidth="1"/>
    <col min="11" max="11" width="63.28515625" bestFit="1" customWidth="1"/>
  </cols>
  <sheetData>
    <row r="1" spans="1:16" ht="45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6</v>
      </c>
      <c r="F1" s="4" t="s">
        <v>7</v>
      </c>
      <c r="G1" s="3" t="s">
        <v>8</v>
      </c>
      <c r="H1" s="4" t="s">
        <v>9</v>
      </c>
      <c r="I1" s="4" t="s">
        <v>10</v>
      </c>
      <c r="J1" s="4" t="s">
        <v>11</v>
      </c>
      <c r="K1" s="6" t="s">
        <v>21</v>
      </c>
    </row>
    <row r="2" spans="1:16" x14ac:dyDescent="0.25">
      <c r="B2" t="s">
        <v>22</v>
      </c>
      <c r="E2" t="s">
        <v>22</v>
      </c>
      <c r="F2" t="s">
        <v>22</v>
      </c>
      <c r="K2" t="str">
        <f>IF(A2="","","SÍ")</f>
        <v/>
      </c>
      <c r="P2" t="str">
        <f>IF((A2)="","","Cardiología")</f>
        <v/>
      </c>
    </row>
    <row r="3" spans="1:16" x14ac:dyDescent="0.25">
      <c r="B3" t="s">
        <v>22</v>
      </c>
      <c r="E3" t="s">
        <v>22</v>
      </c>
      <c r="F3" t="s">
        <v>23</v>
      </c>
      <c r="K3" t="str">
        <f t="shared" ref="K3:K20" si="0">IF(A3="","","SÍ")</f>
        <v/>
      </c>
      <c r="P3" t="str">
        <f t="shared" ref="P3:P20" si="1">IF((A3)="","","Cardiología")</f>
        <v/>
      </c>
    </row>
    <row r="4" spans="1:16" x14ac:dyDescent="0.25">
      <c r="B4" t="s">
        <v>22</v>
      </c>
      <c r="E4" t="s">
        <v>22</v>
      </c>
      <c r="F4" t="s">
        <v>22</v>
      </c>
      <c r="K4" t="str">
        <f t="shared" si="0"/>
        <v/>
      </c>
      <c r="P4" t="str">
        <f t="shared" si="1"/>
        <v/>
      </c>
    </row>
    <row r="5" spans="1:16" x14ac:dyDescent="0.25">
      <c r="B5" t="s">
        <v>22</v>
      </c>
      <c r="E5" t="s">
        <v>22</v>
      </c>
      <c r="F5" t="s">
        <v>22</v>
      </c>
      <c r="K5" t="str">
        <f t="shared" si="0"/>
        <v/>
      </c>
      <c r="P5" t="str">
        <f t="shared" si="1"/>
        <v/>
      </c>
    </row>
    <row r="6" spans="1:16" x14ac:dyDescent="0.25">
      <c r="B6" t="s">
        <v>22</v>
      </c>
      <c r="E6" t="s">
        <v>22</v>
      </c>
      <c r="F6" t="s">
        <v>22</v>
      </c>
      <c r="K6" t="str">
        <f t="shared" si="0"/>
        <v/>
      </c>
      <c r="P6" t="str">
        <f t="shared" si="1"/>
        <v/>
      </c>
    </row>
    <row r="7" spans="1:16" x14ac:dyDescent="0.25">
      <c r="B7" t="s">
        <v>22</v>
      </c>
      <c r="E7" t="s">
        <v>22</v>
      </c>
      <c r="F7" t="s">
        <v>22</v>
      </c>
      <c r="K7" t="str">
        <f t="shared" si="0"/>
        <v/>
      </c>
      <c r="P7" t="str">
        <f t="shared" si="1"/>
        <v/>
      </c>
    </row>
    <row r="8" spans="1:16" x14ac:dyDescent="0.25">
      <c r="B8" t="s">
        <v>22</v>
      </c>
      <c r="E8" t="s">
        <v>22</v>
      </c>
      <c r="F8" t="s">
        <v>22</v>
      </c>
      <c r="K8" t="str">
        <f t="shared" si="0"/>
        <v/>
      </c>
      <c r="P8" t="str">
        <f t="shared" si="1"/>
        <v/>
      </c>
    </row>
    <row r="9" spans="1:16" x14ac:dyDescent="0.25">
      <c r="B9" t="s">
        <v>22</v>
      </c>
      <c r="E9" t="s">
        <v>22</v>
      </c>
      <c r="F9" t="s">
        <v>22</v>
      </c>
      <c r="K9" t="str">
        <f t="shared" si="0"/>
        <v/>
      </c>
      <c r="P9" t="str">
        <f t="shared" si="1"/>
        <v/>
      </c>
    </row>
    <row r="10" spans="1:16" x14ac:dyDescent="0.25">
      <c r="B10" t="s">
        <v>22</v>
      </c>
      <c r="E10" t="s">
        <v>22</v>
      </c>
      <c r="F10" t="s">
        <v>22</v>
      </c>
      <c r="K10" t="str">
        <f t="shared" si="0"/>
        <v/>
      </c>
      <c r="P10" t="str">
        <f t="shared" si="1"/>
        <v/>
      </c>
    </row>
    <row r="11" spans="1:16" x14ac:dyDescent="0.25">
      <c r="B11" t="s">
        <v>22</v>
      </c>
      <c r="E11" t="s">
        <v>22</v>
      </c>
      <c r="F11" t="s">
        <v>22</v>
      </c>
      <c r="K11" t="str">
        <f t="shared" si="0"/>
        <v/>
      </c>
      <c r="P11" t="str">
        <f t="shared" si="1"/>
        <v/>
      </c>
    </row>
    <row r="12" spans="1:16" x14ac:dyDescent="0.25">
      <c r="B12" t="s">
        <v>22</v>
      </c>
      <c r="E12" t="s">
        <v>22</v>
      </c>
      <c r="F12" t="s">
        <v>22</v>
      </c>
      <c r="K12" t="str">
        <f t="shared" si="0"/>
        <v/>
      </c>
      <c r="P12" t="str">
        <f t="shared" si="1"/>
        <v/>
      </c>
    </row>
    <row r="13" spans="1:16" x14ac:dyDescent="0.25">
      <c r="B13" t="s">
        <v>22</v>
      </c>
      <c r="E13" t="s">
        <v>22</v>
      </c>
      <c r="F13" t="s">
        <v>22</v>
      </c>
      <c r="K13" t="str">
        <f t="shared" si="0"/>
        <v/>
      </c>
      <c r="P13" t="str">
        <f t="shared" si="1"/>
        <v/>
      </c>
    </row>
    <row r="14" spans="1:16" x14ac:dyDescent="0.25">
      <c r="B14" t="s">
        <v>22</v>
      </c>
      <c r="E14" t="s">
        <v>22</v>
      </c>
      <c r="F14" t="s">
        <v>22</v>
      </c>
      <c r="K14" t="str">
        <f t="shared" si="0"/>
        <v/>
      </c>
      <c r="P14" t="str">
        <f t="shared" si="1"/>
        <v/>
      </c>
    </row>
    <row r="15" spans="1:16" x14ac:dyDescent="0.25">
      <c r="B15" t="s">
        <v>22</v>
      </c>
      <c r="E15" t="s">
        <v>22</v>
      </c>
      <c r="F15" t="s">
        <v>22</v>
      </c>
      <c r="K15" t="str">
        <f t="shared" si="0"/>
        <v/>
      </c>
      <c r="P15" t="str">
        <f t="shared" si="1"/>
        <v/>
      </c>
    </row>
    <row r="16" spans="1:16" x14ac:dyDescent="0.25">
      <c r="B16" t="s">
        <v>22</v>
      </c>
      <c r="E16" t="s">
        <v>22</v>
      </c>
      <c r="F16" t="s">
        <v>22</v>
      </c>
      <c r="K16" t="str">
        <f t="shared" si="0"/>
        <v/>
      </c>
      <c r="P16" t="str">
        <f t="shared" si="1"/>
        <v/>
      </c>
    </row>
    <row r="17" spans="2:16" x14ac:dyDescent="0.25">
      <c r="B17" t="s">
        <v>22</v>
      </c>
      <c r="E17" t="s">
        <v>22</v>
      </c>
      <c r="F17" t="s">
        <v>22</v>
      </c>
      <c r="K17" t="str">
        <f t="shared" si="0"/>
        <v/>
      </c>
      <c r="P17" t="str">
        <f t="shared" si="1"/>
        <v/>
      </c>
    </row>
    <row r="18" spans="2:16" x14ac:dyDescent="0.25">
      <c r="B18" t="s">
        <v>22</v>
      </c>
      <c r="E18" t="s">
        <v>22</v>
      </c>
      <c r="F18" t="s">
        <v>22</v>
      </c>
      <c r="K18" t="str">
        <f t="shared" si="0"/>
        <v/>
      </c>
      <c r="P18" t="str">
        <f t="shared" si="1"/>
        <v/>
      </c>
    </row>
    <row r="19" spans="2:16" x14ac:dyDescent="0.25">
      <c r="B19" t="s">
        <v>22</v>
      </c>
      <c r="E19" t="s">
        <v>22</v>
      </c>
      <c r="F19" t="s">
        <v>22</v>
      </c>
      <c r="K19" t="str">
        <f t="shared" si="0"/>
        <v/>
      </c>
      <c r="P19" t="str">
        <f t="shared" si="1"/>
        <v/>
      </c>
    </row>
    <row r="20" spans="2:16" x14ac:dyDescent="0.25">
      <c r="B20" t="s">
        <v>22</v>
      </c>
      <c r="E20" t="s">
        <v>22</v>
      </c>
      <c r="F20" t="s">
        <v>22</v>
      </c>
      <c r="K20" t="str">
        <f t="shared" si="0"/>
        <v/>
      </c>
      <c r="P20" t="str">
        <f t="shared" si="1"/>
        <v/>
      </c>
    </row>
    <row r="21" spans="2:16" x14ac:dyDescent="0.25">
      <c r="E21" t="s">
        <v>22</v>
      </c>
      <c r="F21" t="s">
        <v>22</v>
      </c>
    </row>
    <row r="22" spans="2:16" x14ac:dyDescent="0.25">
      <c r="E22" t="s">
        <v>22</v>
      </c>
      <c r="F22" t="s">
        <v>22</v>
      </c>
    </row>
    <row r="23" spans="2:16" x14ac:dyDescent="0.25">
      <c r="E23" t="s">
        <v>22</v>
      </c>
      <c r="F23" t="s">
        <v>22</v>
      </c>
    </row>
    <row r="24" spans="2:16" x14ac:dyDescent="0.25">
      <c r="E24" t="s">
        <v>22</v>
      </c>
      <c r="F24" t="s">
        <v>22</v>
      </c>
    </row>
    <row r="25" spans="2:16" x14ac:dyDescent="0.25">
      <c r="E25" t="s">
        <v>22</v>
      </c>
      <c r="F25" t="s">
        <v>22</v>
      </c>
    </row>
    <row r="26" spans="2:16" x14ac:dyDescent="0.25">
      <c r="E26" t="s">
        <v>22</v>
      </c>
      <c r="F26" t="s">
        <v>22</v>
      </c>
    </row>
    <row r="27" spans="2:16" x14ac:dyDescent="0.25">
      <c r="E27" t="s">
        <v>22</v>
      </c>
      <c r="F27" t="s">
        <v>22</v>
      </c>
    </row>
    <row r="28" spans="2:16" x14ac:dyDescent="0.25">
      <c r="E28" t="s">
        <v>22</v>
      </c>
      <c r="F28" t="s">
        <v>22</v>
      </c>
    </row>
    <row r="29" spans="2:16" x14ac:dyDescent="0.25">
      <c r="E29" t="s">
        <v>22</v>
      </c>
      <c r="F29" t="s">
        <v>22</v>
      </c>
    </row>
    <row r="30" spans="2:16" x14ac:dyDescent="0.25">
      <c r="E30" t="s">
        <v>22</v>
      </c>
      <c r="F30" t="s">
        <v>22</v>
      </c>
    </row>
    <row r="31" spans="2:16" x14ac:dyDescent="0.25">
      <c r="E31" t="s">
        <v>22</v>
      </c>
      <c r="F31" t="s">
        <v>22</v>
      </c>
    </row>
    <row r="32" spans="2:16" x14ac:dyDescent="0.25">
      <c r="E32" t="s">
        <v>22</v>
      </c>
      <c r="F32" t="s">
        <v>22</v>
      </c>
    </row>
    <row r="33" spans="5:6" x14ac:dyDescent="0.25">
      <c r="E33" t="s">
        <v>22</v>
      </c>
      <c r="F33" t="s">
        <v>22</v>
      </c>
    </row>
    <row r="34" spans="5:6" x14ac:dyDescent="0.25">
      <c r="E34" t="s">
        <v>22</v>
      </c>
      <c r="F34" t="s">
        <v>22</v>
      </c>
    </row>
    <row r="35" spans="5:6" x14ac:dyDescent="0.25">
      <c r="E35" t="s">
        <v>22</v>
      </c>
      <c r="F35" t="s">
        <v>22</v>
      </c>
    </row>
    <row r="36" spans="5:6" x14ac:dyDescent="0.25">
      <c r="E36" t="s">
        <v>22</v>
      </c>
      <c r="F36" t="s">
        <v>22</v>
      </c>
    </row>
    <row r="37" spans="5:6" x14ac:dyDescent="0.25">
      <c r="E37" t="s">
        <v>22</v>
      </c>
      <c r="F37" t="s">
        <v>22</v>
      </c>
    </row>
    <row r="38" spans="5:6" x14ac:dyDescent="0.25">
      <c r="E38" t="s">
        <v>22</v>
      </c>
      <c r="F38" t="s">
        <v>22</v>
      </c>
    </row>
    <row r="39" spans="5:6" x14ac:dyDescent="0.25">
      <c r="E39" t="s">
        <v>22</v>
      </c>
      <c r="F39" t="s">
        <v>22</v>
      </c>
    </row>
    <row r="40" spans="5:6" x14ac:dyDescent="0.25">
      <c r="E40" t="s">
        <v>22</v>
      </c>
      <c r="F40" t="s">
        <v>22</v>
      </c>
    </row>
    <row r="41" spans="5:6" x14ac:dyDescent="0.25">
      <c r="E41" t="s">
        <v>22</v>
      </c>
      <c r="F41" t="s">
        <v>22</v>
      </c>
    </row>
    <row r="42" spans="5:6" x14ac:dyDescent="0.25">
      <c r="E42" t="s">
        <v>22</v>
      </c>
      <c r="F42" t="s">
        <v>22</v>
      </c>
    </row>
    <row r="43" spans="5:6" x14ac:dyDescent="0.25">
      <c r="E43" t="s">
        <v>22</v>
      </c>
      <c r="F43" t="s">
        <v>22</v>
      </c>
    </row>
    <row r="44" spans="5:6" x14ac:dyDescent="0.25">
      <c r="E44" t="s">
        <v>22</v>
      </c>
      <c r="F44" t="s">
        <v>22</v>
      </c>
    </row>
    <row r="45" spans="5:6" x14ac:dyDescent="0.25">
      <c r="E45" t="s">
        <v>22</v>
      </c>
      <c r="F45" t="s">
        <v>22</v>
      </c>
    </row>
    <row r="46" spans="5:6" x14ac:dyDescent="0.25">
      <c r="E46" t="s">
        <v>22</v>
      </c>
      <c r="F46" t="s">
        <v>22</v>
      </c>
    </row>
    <row r="47" spans="5:6" x14ac:dyDescent="0.25">
      <c r="E47" t="s">
        <v>22</v>
      </c>
      <c r="F47" t="s">
        <v>22</v>
      </c>
    </row>
    <row r="48" spans="5:6" x14ac:dyDescent="0.25">
      <c r="E48" t="s">
        <v>22</v>
      </c>
      <c r="F48" t="s">
        <v>22</v>
      </c>
    </row>
    <row r="49" spans="5:6" x14ac:dyDescent="0.25">
      <c r="E49" t="s">
        <v>22</v>
      </c>
      <c r="F49" t="s">
        <v>22</v>
      </c>
    </row>
    <row r="50" spans="5:6" x14ac:dyDescent="0.25">
      <c r="E50" t="s">
        <v>22</v>
      </c>
      <c r="F50" t="s">
        <v>22</v>
      </c>
    </row>
    <row r="51" spans="5:6" x14ac:dyDescent="0.25">
      <c r="E51" t="s">
        <v>22</v>
      </c>
      <c r="F51" t="s">
        <v>22</v>
      </c>
    </row>
    <row r="52" spans="5:6" x14ac:dyDescent="0.25">
      <c r="E52" t="s">
        <v>22</v>
      </c>
      <c r="F52" t="s">
        <v>22</v>
      </c>
    </row>
    <row r="53" spans="5:6" x14ac:dyDescent="0.25">
      <c r="E53" t="s">
        <v>22</v>
      </c>
      <c r="F53" t="s">
        <v>22</v>
      </c>
    </row>
    <row r="54" spans="5:6" x14ac:dyDescent="0.25">
      <c r="E54" t="s">
        <v>22</v>
      </c>
      <c r="F54" t="s">
        <v>22</v>
      </c>
    </row>
    <row r="55" spans="5:6" x14ac:dyDescent="0.25">
      <c r="E55" t="s">
        <v>22</v>
      </c>
      <c r="F55" t="s">
        <v>22</v>
      </c>
    </row>
    <row r="56" spans="5:6" x14ac:dyDescent="0.25">
      <c r="E56" t="s">
        <v>22</v>
      </c>
      <c r="F56" t="s">
        <v>22</v>
      </c>
    </row>
    <row r="57" spans="5:6" x14ac:dyDescent="0.25">
      <c r="E57" t="s">
        <v>22</v>
      </c>
      <c r="F57" t="s">
        <v>22</v>
      </c>
    </row>
    <row r="58" spans="5:6" x14ac:dyDescent="0.25">
      <c r="E58" t="s">
        <v>22</v>
      </c>
      <c r="F58" t="s">
        <v>22</v>
      </c>
    </row>
    <row r="59" spans="5:6" x14ac:dyDescent="0.25">
      <c r="E59" t="s">
        <v>22</v>
      </c>
      <c r="F59" t="s">
        <v>22</v>
      </c>
    </row>
    <row r="60" spans="5:6" x14ac:dyDescent="0.25">
      <c r="E60" t="s">
        <v>22</v>
      </c>
      <c r="F60" t="s">
        <v>22</v>
      </c>
    </row>
    <row r="61" spans="5:6" x14ac:dyDescent="0.25">
      <c r="E61" t="s">
        <v>22</v>
      </c>
      <c r="F61" t="s">
        <v>22</v>
      </c>
    </row>
    <row r="62" spans="5:6" x14ac:dyDescent="0.25">
      <c r="E62" t="s">
        <v>22</v>
      </c>
      <c r="F62" t="s">
        <v>22</v>
      </c>
    </row>
    <row r="63" spans="5:6" x14ac:dyDescent="0.25">
      <c r="E63" t="s">
        <v>22</v>
      </c>
      <c r="F63" t="s">
        <v>22</v>
      </c>
    </row>
    <row r="64" spans="5:6" x14ac:dyDescent="0.25">
      <c r="E64" t="s">
        <v>22</v>
      </c>
      <c r="F64" t="s">
        <v>22</v>
      </c>
    </row>
    <row r="65" spans="5:6" x14ac:dyDescent="0.25">
      <c r="E65" t="s">
        <v>22</v>
      </c>
      <c r="F65" t="s">
        <v>22</v>
      </c>
    </row>
    <row r="66" spans="5:6" x14ac:dyDescent="0.25">
      <c r="E66" t="s">
        <v>22</v>
      </c>
      <c r="F66" t="s">
        <v>22</v>
      </c>
    </row>
    <row r="67" spans="5:6" x14ac:dyDescent="0.25">
      <c r="E67" t="s">
        <v>22</v>
      </c>
      <c r="F67" t="s">
        <v>22</v>
      </c>
    </row>
    <row r="68" spans="5:6" x14ac:dyDescent="0.25">
      <c r="E68" t="s">
        <v>22</v>
      </c>
      <c r="F68" t="s">
        <v>22</v>
      </c>
    </row>
    <row r="69" spans="5:6" x14ac:dyDescent="0.25">
      <c r="E69" t="s">
        <v>22</v>
      </c>
      <c r="F69" t="s">
        <v>22</v>
      </c>
    </row>
    <row r="70" spans="5:6" x14ac:dyDescent="0.25">
      <c r="E70" t="s">
        <v>22</v>
      </c>
      <c r="F70" t="s">
        <v>22</v>
      </c>
    </row>
    <row r="71" spans="5:6" x14ac:dyDescent="0.25">
      <c r="E71" t="s">
        <v>22</v>
      </c>
      <c r="F71" t="s">
        <v>22</v>
      </c>
    </row>
    <row r="72" spans="5:6" x14ac:dyDescent="0.25">
      <c r="E72" t="s">
        <v>22</v>
      </c>
      <c r="F72" t="s">
        <v>22</v>
      </c>
    </row>
    <row r="73" spans="5:6" x14ac:dyDescent="0.25">
      <c r="E73" t="s">
        <v>22</v>
      </c>
      <c r="F73" t="s">
        <v>22</v>
      </c>
    </row>
    <row r="74" spans="5:6" x14ac:dyDescent="0.25">
      <c r="E74" t="s">
        <v>22</v>
      </c>
      <c r="F74" t="s">
        <v>22</v>
      </c>
    </row>
    <row r="75" spans="5:6" x14ac:dyDescent="0.25">
      <c r="E75" t="s">
        <v>22</v>
      </c>
      <c r="F75" t="s">
        <v>22</v>
      </c>
    </row>
    <row r="76" spans="5:6" x14ac:dyDescent="0.25">
      <c r="E76" t="s">
        <v>22</v>
      </c>
      <c r="F76" t="s">
        <v>22</v>
      </c>
    </row>
    <row r="77" spans="5:6" x14ac:dyDescent="0.25">
      <c r="E77" t="s">
        <v>22</v>
      </c>
      <c r="F77" t="s">
        <v>22</v>
      </c>
    </row>
    <row r="78" spans="5:6" x14ac:dyDescent="0.25">
      <c r="E78" t="s">
        <v>22</v>
      </c>
      <c r="F78" t="s">
        <v>22</v>
      </c>
    </row>
    <row r="79" spans="5:6" x14ac:dyDescent="0.25">
      <c r="E79" t="s">
        <v>22</v>
      </c>
      <c r="F79" t="s">
        <v>22</v>
      </c>
    </row>
    <row r="80" spans="5:6" x14ac:dyDescent="0.25">
      <c r="E80" t="s">
        <v>22</v>
      </c>
      <c r="F80" t="s">
        <v>22</v>
      </c>
    </row>
    <row r="81" spans="5:6" x14ac:dyDescent="0.25">
      <c r="E81" t="s">
        <v>22</v>
      </c>
      <c r="F81" t="s">
        <v>22</v>
      </c>
    </row>
    <row r="82" spans="5:6" x14ac:dyDescent="0.25">
      <c r="E82" t="s">
        <v>22</v>
      </c>
      <c r="F82" t="s">
        <v>22</v>
      </c>
    </row>
    <row r="83" spans="5:6" x14ac:dyDescent="0.25">
      <c r="E83" t="s">
        <v>22</v>
      </c>
      <c r="F83" t="s">
        <v>22</v>
      </c>
    </row>
    <row r="84" spans="5:6" x14ac:dyDescent="0.25">
      <c r="E84" t="s">
        <v>22</v>
      </c>
      <c r="F84" t="s">
        <v>22</v>
      </c>
    </row>
    <row r="85" spans="5:6" x14ac:dyDescent="0.25">
      <c r="E85" t="s">
        <v>22</v>
      </c>
      <c r="F85" t="s">
        <v>22</v>
      </c>
    </row>
    <row r="86" spans="5:6" x14ac:dyDescent="0.25">
      <c r="E86" t="s">
        <v>22</v>
      </c>
      <c r="F86" t="s">
        <v>22</v>
      </c>
    </row>
    <row r="87" spans="5:6" x14ac:dyDescent="0.25">
      <c r="E87" t="s">
        <v>22</v>
      </c>
      <c r="F87" t="s">
        <v>22</v>
      </c>
    </row>
    <row r="88" spans="5:6" x14ac:dyDescent="0.25">
      <c r="E88" t="s">
        <v>22</v>
      </c>
      <c r="F88" t="s">
        <v>22</v>
      </c>
    </row>
    <row r="89" spans="5:6" x14ac:dyDescent="0.25">
      <c r="E89" t="s">
        <v>22</v>
      </c>
      <c r="F89" t="s">
        <v>22</v>
      </c>
    </row>
    <row r="90" spans="5:6" x14ac:dyDescent="0.25">
      <c r="E90" t="s">
        <v>22</v>
      </c>
      <c r="F90" t="s">
        <v>22</v>
      </c>
    </row>
    <row r="91" spans="5:6" x14ac:dyDescent="0.25">
      <c r="E91" t="s">
        <v>22</v>
      </c>
      <c r="F91" t="s">
        <v>22</v>
      </c>
    </row>
    <row r="92" spans="5:6" x14ac:dyDescent="0.25">
      <c r="E92" t="s">
        <v>22</v>
      </c>
      <c r="F92" t="s">
        <v>22</v>
      </c>
    </row>
    <row r="93" spans="5:6" x14ac:dyDescent="0.25">
      <c r="E93" t="s">
        <v>22</v>
      </c>
      <c r="F93" t="s">
        <v>22</v>
      </c>
    </row>
    <row r="94" spans="5:6" x14ac:dyDescent="0.25">
      <c r="E94" t="s">
        <v>22</v>
      </c>
      <c r="F94" t="s">
        <v>22</v>
      </c>
    </row>
    <row r="95" spans="5:6" x14ac:dyDescent="0.25">
      <c r="E95" t="s">
        <v>22</v>
      </c>
      <c r="F95" t="s">
        <v>22</v>
      </c>
    </row>
    <row r="96" spans="5:6" x14ac:dyDescent="0.25">
      <c r="E96" t="s">
        <v>22</v>
      </c>
      <c r="F96" t="s">
        <v>22</v>
      </c>
    </row>
    <row r="97" spans="5:6" x14ac:dyDescent="0.25">
      <c r="E97" t="s">
        <v>22</v>
      </c>
      <c r="F97" t="s">
        <v>22</v>
      </c>
    </row>
    <row r="98" spans="5:6" x14ac:dyDescent="0.25">
      <c r="E98" t="s">
        <v>22</v>
      </c>
      <c r="F98" t="s">
        <v>22</v>
      </c>
    </row>
    <row r="99" spans="5:6" x14ac:dyDescent="0.25">
      <c r="E99" t="s">
        <v>22</v>
      </c>
      <c r="F99" t="s">
        <v>22</v>
      </c>
    </row>
    <row r="100" spans="5:6" x14ac:dyDescent="0.25">
      <c r="E100" t="s">
        <v>22</v>
      </c>
      <c r="F100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M482"/>
  <sheetViews>
    <sheetView workbookViewId="0">
      <selection sqref="A1:XFD1048576"/>
    </sheetView>
  </sheetViews>
  <sheetFormatPr baseColWidth="10" defaultRowHeight="15" x14ac:dyDescent="0.25"/>
  <cols>
    <col min="1" max="1" width="21.28515625" bestFit="1" customWidth="1"/>
    <col min="2" max="2" width="19.5703125" bestFit="1" customWidth="1"/>
    <col min="3" max="3" width="17" bestFit="1" customWidth="1"/>
    <col min="4" max="4" width="21.85546875" customWidth="1"/>
    <col min="5" max="5" width="21.42578125" customWidth="1"/>
    <col min="6" max="6" width="10.140625" customWidth="1"/>
    <col min="7" max="7" width="12.85546875" customWidth="1"/>
    <col min="8" max="8" width="12.42578125" customWidth="1"/>
    <col min="9" max="9" width="13.140625" customWidth="1"/>
    <col min="10" max="10" width="12.7109375" customWidth="1"/>
    <col min="11" max="11" width="11.5703125" customWidth="1"/>
    <col min="12" max="12" width="10" customWidth="1"/>
    <col min="13" max="14" width="54.28515625" customWidth="1"/>
    <col min="15" max="15" width="24.85546875" customWidth="1"/>
    <col min="16" max="16" width="19" customWidth="1"/>
    <col min="17" max="17" width="16.5703125" customWidth="1"/>
    <col min="18" max="18" width="22.42578125" customWidth="1"/>
    <col min="19" max="19" width="23.85546875" customWidth="1"/>
    <col min="20" max="20" width="25" customWidth="1"/>
    <col min="21" max="21" width="32" customWidth="1"/>
    <col min="22" max="22" width="16" customWidth="1"/>
    <col min="23" max="23" width="27.7109375" customWidth="1"/>
    <col min="24" max="24" width="45.85546875" customWidth="1"/>
    <col min="25" max="25" width="24.42578125" customWidth="1"/>
    <col min="26" max="26" width="16.42578125" customWidth="1"/>
    <col min="27" max="27" width="26.42578125" customWidth="1"/>
    <col min="28" max="28" width="33.28515625" customWidth="1"/>
    <col min="29" max="29" width="23.28515625" customWidth="1"/>
    <col min="30" max="30" width="20" customWidth="1"/>
    <col min="31" max="31" width="37.7109375" customWidth="1"/>
    <col min="32" max="32" width="26.7109375" customWidth="1"/>
    <col min="33" max="33" width="16.85546875" customWidth="1"/>
    <col min="34" max="34" width="21.85546875" customWidth="1"/>
    <col min="35" max="35" width="23.7109375" customWidth="1"/>
    <col min="36" max="36" width="14.7109375" customWidth="1"/>
    <col min="37" max="37" width="32.7109375" customWidth="1"/>
    <col min="38" max="38" width="23.5703125" customWidth="1"/>
    <col min="39" max="39" width="11.7109375" customWidth="1"/>
    <col min="40" max="40" width="54.28515625" customWidth="1"/>
    <col min="41" max="41" width="16" customWidth="1"/>
    <col min="42" max="42" width="17.42578125" customWidth="1"/>
    <col min="43" max="43" width="20.85546875" customWidth="1"/>
    <col min="44" max="44" width="81.140625" customWidth="1"/>
    <col min="45" max="45" width="13.140625" customWidth="1"/>
    <col min="46" max="46" width="15.28515625" customWidth="1"/>
    <col min="47" max="47" width="11" customWidth="1"/>
    <col min="48" max="48" width="20.28515625" customWidth="1"/>
    <col min="49" max="49" width="29.85546875" customWidth="1"/>
    <col min="50" max="50" width="6.85546875" customWidth="1"/>
    <col min="51" max="51" width="19.42578125" customWidth="1"/>
    <col min="52" max="52" width="30.42578125" customWidth="1"/>
    <col min="53" max="53" width="39" customWidth="1"/>
    <col min="54" max="54" width="21.5703125" customWidth="1"/>
    <col min="55" max="55" width="24.140625" customWidth="1"/>
    <col min="56" max="56" width="28.85546875" customWidth="1"/>
    <col min="57" max="57" width="29.140625" customWidth="1"/>
    <col min="58" max="58" width="31.140625" customWidth="1"/>
    <col min="59" max="59" width="33.42578125" customWidth="1"/>
    <col min="60" max="60" width="33.85546875" customWidth="1"/>
    <col min="61" max="61" width="34.140625" customWidth="1"/>
    <col min="62" max="62" width="19.42578125" customWidth="1"/>
    <col min="63" max="65" width="26.85546875" customWidth="1"/>
  </cols>
  <sheetData>
    <row r="1" spans="1:65" x14ac:dyDescent="0.25">
      <c r="A1" s="1"/>
      <c r="B1" s="2"/>
      <c r="C1" s="2"/>
      <c r="D1" s="1"/>
      <c r="E1" s="1"/>
      <c r="F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</row>
    <row r="2" spans="1:65" x14ac:dyDescent="0.25">
      <c r="A2" s="1"/>
      <c r="B2" s="2"/>
      <c r="C2" s="2"/>
      <c r="D2" s="1"/>
      <c r="E2" s="1"/>
      <c r="F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</row>
    <row r="3" spans="1:65" x14ac:dyDescent="0.25">
      <c r="A3" s="1"/>
      <c r="B3" s="2"/>
      <c r="C3" s="2"/>
      <c r="D3" s="1"/>
      <c r="E3" s="1"/>
      <c r="F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</row>
    <row r="4" spans="1:65" x14ac:dyDescent="0.25">
      <c r="A4" s="1"/>
      <c r="B4" s="2"/>
      <c r="C4" s="2"/>
      <c r="D4" s="1"/>
      <c r="E4" s="1"/>
      <c r="F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</row>
    <row r="5" spans="1:65" x14ac:dyDescent="0.25">
      <c r="A5" s="1"/>
      <c r="B5" s="2"/>
      <c r="C5" s="2"/>
      <c r="D5" s="1"/>
      <c r="E5" s="1"/>
      <c r="F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</row>
    <row r="6" spans="1:65" x14ac:dyDescent="0.25">
      <c r="A6" s="1"/>
      <c r="B6" s="2"/>
      <c r="C6" s="2"/>
      <c r="D6" s="1"/>
      <c r="E6" s="1"/>
      <c r="F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</row>
    <row r="7" spans="1:65" x14ac:dyDescent="0.25">
      <c r="A7" s="1"/>
      <c r="B7" s="2"/>
      <c r="C7" s="2"/>
      <c r="D7" s="1"/>
      <c r="E7" s="1"/>
      <c r="F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</row>
    <row r="8" spans="1:65" x14ac:dyDescent="0.25">
      <c r="A8" s="1"/>
      <c r="B8" s="2"/>
      <c r="C8" s="2"/>
      <c r="D8" s="1"/>
      <c r="E8" s="1"/>
      <c r="F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</row>
    <row r="9" spans="1:65" x14ac:dyDescent="0.25">
      <c r="A9" s="1"/>
      <c r="B9" s="2"/>
      <c r="C9" s="2"/>
      <c r="D9" s="1"/>
      <c r="E9" s="1"/>
      <c r="F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</row>
    <row r="10" spans="1:65" x14ac:dyDescent="0.25">
      <c r="A10" s="1"/>
      <c r="B10" s="2"/>
      <c r="C10" s="2"/>
      <c r="D10" s="1"/>
      <c r="E10" s="1"/>
      <c r="F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</row>
    <row r="11" spans="1:65" x14ac:dyDescent="0.25">
      <c r="A11" s="1"/>
      <c r="B11" s="2"/>
      <c r="C11" s="2"/>
      <c r="D11" s="1"/>
      <c r="E11" s="1"/>
      <c r="F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</row>
    <row r="12" spans="1:65" x14ac:dyDescent="0.25">
      <c r="A12" s="1"/>
      <c r="B12" s="2"/>
      <c r="C12" s="2"/>
      <c r="D12" s="1"/>
      <c r="E12" s="1"/>
      <c r="F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</row>
    <row r="13" spans="1:65" x14ac:dyDescent="0.25">
      <c r="A13" s="1"/>
      <c r="B13" s="2"/>
      <c r="C13" s="2"/>
      <c r="D13" s="1"/>
      <c r="E13" s="1"/>
      <c r="F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</row>
    <row r="14" spans="1:65" x14ac:dyDescent="0.25">
      <c r="A14" s="1"/>
      <c r="B14" s="2"/>
      <c r="C14" s="2"/>
      <c r="D14" s="1"/>
      <c r="E14" s="1"/>
      <c r="F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</row>
    <row r="15" spans="1:65" x14ac:dyDescent="0.25">
      <c r="A15" s="1"/>
      <c r="B15" s="2"/>
      <c r="C15" s="2"/>
      <c r="D15" s="1"/>
      <c r="E15" s="1"/>
      <c r="F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</row>
    <row r="16" spans="1:65" x14ac:dyDescent="0.25">
      <c r="A16" s="1"/>
      <c r="B16" s="2"/>
      <c r="C16" s="2"/>
      <c r="D16" s="1"/>
      <c r="E16" s="1"/>
      <c r="F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</row>
    <row r="17" spans="1:65" x14ac:dyDescent="0.25">
      <c r="A17" s="1"/>
      <c r="B17" s="2"/>
      <c r="C17" s="2"/>
      <c r="D17" s="1"/>
      <c r="E17" s="1"/>
      <c r="F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</row>
    <row r="18" spans="1:65" x14ac:dyDescent="0.25">
      <c r="A18" s="1"/>
      <c r="B18" s="2"/>
      <c r="C18" s="2"/>
      <c r="D18" s="1"/>
      <c r="E18" s="1"/>
      <c r="F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</row>
    <row r="19" spans="1:65" x14ac:dyDescent="0.25">
      <c r="A19" s="1"/>
      <c r="B19" s="2"/>
      <c r="C19" s="2"/>
      <c r="D19" s="1"/>
      <c r="E19" s="1"/>
      <c r="F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</row>
    <row r="20" spans="1:65" x14ac:dyDescent="0.25">
      <c r="A20" s="1"/>
      <c r="B20" s="2"/>
      <c r="C20" s="2"/>
      <c r="D20" s="1"/>
      <c r="E20" s="1"/>
      <c r="F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</row>
    <row r="21" spans="1:65" x14ac:dyDescent="0.25">
      <c r="A21" s="1"/>
      <c r="B21" s="2"/>
      <c r="C21" s="2"/>
      <c r="D21" s="1"/>
      <c r="E21" s="1"/>
      <c r="F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</row>
    <row r="22" spans="1:65" x14ac:dyDescent="0.25">
      <c r="A22" s="1"/>
      <c r="B22" s="2"/>
      <c r="C22" s="2"/>
      <c r="D22" s="1"/>
      <c r="E22" s="1"/>
      <c r="F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</row>
    <row r="23" spans="1:65" x14ac:dyDescent="0.25">
      <c r="A23" s="1"/>
      <c r="B23" s="2"/>
      <c r="C23" s="2"/>
      <c r="D23" s="1"/>
      <c r="E23" s="1"/>
      <c r="F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</row>
    <row r="24" spans="1:65" x14ac:dyDescent="0.25">
      <c r="A24" s="1"/>
      <c r="B24" s="2"/>
      <c r="C24" s="2"/>
      <c r="D24" s="1"/>
      <c r="E24" s="1"/>
      <c r="F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</row>
    <row r="25" spans="1:65" x14ac:dyDescent="0.25">
      <c r="A25" s="1"/>
      <c r="B25" s="2"/>
      <c r="C25" s="2"/>
      <c r="D25" s="1"/>
      <c r="E25" s="1"/>
      <c r="F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</row>
    <row r="26" spans="1:65" x14ac:dyDescent="0.25">
      <c r="A26" s="1"/>
      <c r="B26" s="2"/>
      <c r="C26" s="2"/>
      <c r="D26" s="1"/>
      <c r="E26" s="1"/>
      <c r="F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</row>
    <row r="27" spans="1:65" x14ac:dyDescent="0.25">
      <c r="A27" s="1"/>
      <c r="B27" s="2"/>
      <c r="C27" s="2"/>
      <c r="D27" s="1"/>
      <c r="E27" s="1"/>
      <c r="F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</row>
    <row r="28" spans="1:65" x14ac:dyDescent="0.25">
      <c r="A28" s="1"/>
      <c r="B28" s="2"/>
      <c r="C28" s="2"/>
      <c r="D28" s="1"/>
      <c r="E28" s="1"/>
      <c r="F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</row>
    <row r="29" spans="1:65" x14ac:dyDescent="0.25">
      <c r="A29" s="1"/>
      <c r="B29" s="2"/>
      <c r="C29" s="2"/>
      <c r="D29" s="1"/>
      <c r="E29" s="1"/>
      <c r="F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</row>
    <row r="30" spans="1:65" x14ac:dyDescent="0.25">
      <c r="A30" s="1"/>
      <c r="B30" s="2"/>
      <c r="C30" s="2"/>
      <c r="D30" s="1"/>
      <c r="E30" s="1"/>
      <c r="F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</row>
    <row r="31" spans="1:65" x14ac:dyDescent="0.25">
      <c r="A31" s="1"/>
      <c r="B31" s="2"/>
      <c r="C31" s="2"/>
      <c r="D31" s="1"/>
      <c r="E31" s="1"/>
      <c r="F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</row>
    <row r="32" spans="1:65" x14ac:dyDescent="0.25">
      <c r="A32" s="1"/>
      <c r="B32" s="2"/>
      <c r="C32" s="2"/>
      <c r="D32" s="1"/>
      <c r="E32" s="1"/>
      <c r="F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</row>
    <row r="33" spans="1:65" x14ac:dyDescent="0.25">
      <c r="A33" s="1"/>
      <c r="B33" s="2"/>
      <c r="C33" s="2"/>
      <c r="D33" s="1"/>
      <c r="E33" s="1"/>
      <c r="F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</row>
    <row r="34" spans="1:65" x14ac:dyDescent="0.25">
      <c r="A34" s="1"/>
      <c r="B34" s="2"/>
      <c r="C34" s="2"/>
      <c r="D34" s="1"/>
      <c r="E34" s="1"/>
      <c r="F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</row>
    <row r="35" spans="1:65" x14ac:dyDescent="0.25">
      <c r="A35" s="1"/>
      <c r="B35" s="2"/>
      <c r="C35" s="2"/>
      <c r="D35" s="1"/>
      <c r="E35" s="1"/>
      <c r="F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</row>
    <row r="36" spans="1:65" x14ac:dyDescent="0.25">
      <c r="A36" s="1"/>
      <c r="B36" s="2"/>
      <c r="C36" s="2"/>
      <c r="D36" s="1"/>
      <c r="E36" s="1"/>
      <c r="F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5">
      <c r="A37" s="1"/>
      <c r="B37" s="2"/>
      <c r="C37" s="2"/>
      <c r="D37" s="1"/>
      <c r="E37" s="1"/>
      <c r="F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</row>
    <row r="38" spans="1:65" x14ac:dyDescent="0.25">
      <c r="A38" s="1"/>
      <c r="B38" s="2"/>
      <c r="C38" s="2"/>
      <c r="D38" s="1"/>
      <c r="E38" s="1"/>
      <c r="F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</row>
    <row r="39" spans="1:65" x14ac:dyDescent="0.25">
      <c r="A39" s="1"/>
      <c r="B39" s="2"/>
      <c r="C39" s="2"/>
      <c r="D39" s="1"/>
      <c r="E39" s="1"/>
      <c r="F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</row>
    <row r="40" spans="1:65" x14ac:dyDescent="0.25">
      <c r="A40" s="1"/>
      <c r="B40" s="2"/>
      <c r="C40" s="2"/>
      <c r="D40" s="1"/>
      <c r="E40" s="1"/>
      <c r="F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</row>
    <row r="41" spans="1:65" x14ac:dyDescent="0.25">
      <c r="A41" s="1"/>
      <c r="B41" s="2"/>
      <c r="C41" s="2"/>
      <c r="D41" s="1"/>
      <c r="E41" s="1"/>
      <c r="F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</row>
    <row r="42" spans="1:65" x14ac:dyDescent="0.25">
      <c r="A42" s="1"/>
      <c r="B42" s="2"/>
      <c r="C42" s="2"/>
      <c r="D42" s="1"/>
      <c r="E42" s="1"/>
      <c r="F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</row>
    <row r="43" spans="1:65" x14ac:dyDescent="0.25">
      <c r="A43" s="1"/>
      <c r="B43" s="2"/>
      <c r="C43" s="2"/>
      <c r="D43" s="1"/>
      <c r="E43" s="1"/>
      <c r="F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</row>
    <row r="44" spans="1:65" x14ac:dyDescent="0.25">
      <c r="A44" s="1"/>
      <c r="B44" s="2"/>
      <c r="C44" s="2"/>
      <c r="D44" s="1"/>
      <c r="E44" s="1"/>
      <c r="F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</row>
    <row r="45" spans="1:65" x14ac:dyDescent="0.25">
      <c r="A45" s="1"/>
      <c r="B45" s="2"/>
      <c r="C45" s="2"/>
      <c r="D45" s="1"/>
      <c r="E45" s="1"/>
      <c r="F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</row>
    <row r="46" spans="1:65" x14ac:dyDescent="0.25">
      <c r="A46" s="1"/>
      <c r="B46" s="2"/>
      <c r="C46" s="2"/>
      <c r="D46" s="1"/>
      <c r="E46" s="1"/>
      <c r="F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</row>
    <row r="47" spans="1:65" x14ac:dyDescent="0.25">
      <c r="A47" s="1"/>
      <c r="B47" s="2"/>
      <c r="C47" s="2"/>
      <c r="D47" s="1"/>
      <c r="E47" s="1"/>
      <c r="F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</row>
    <row r="48" spans="1:65" x14ac:dyDescent="0.25">
      <c r="A48" s="1"/>
      <c r="B48" s="2"/>
      <c r="C48" s="2"/>
      <c r="D48" s="1"/>
      <c r="E48" s="1"/>
      <c r="F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</row>
    <row r="49" spans="1:65" x14ac:dyDescent="0.25">
      <c r="A49" s="1"/>
      <c r="B49" s="2"/>
      <c r="C49" s="2"/>
      <c r="D49" s="1"/>
      <c r="E49" s="1"/>
      <c r="F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</row>
    <row r="50" spans="1:65" x14ac:dyDescent="0.25">
      <c r="A50" s="1"/>
      <c r="B50" s="2"/>
      <c r="C50" s="2"/>
      <c r="D50" s="1"/>
      <c r="E50" s="1"/>
      <c r="F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</row>
    <row r="51" spans="1:65" x14ac:dyDescent="0.25">
      <c r="A51" s="1"/>
      <c r="B51" s="2"/>
      <c r="C51" s="2"/>
      <c r="D51" s="1"/>
      <c r="E51" s="1"/>
      <c r="F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</row>
    <row r="52" spans="1:65" x14ac:dyDescent="0.25">
      <c r="A52" s="1"/>
      <c r="B52" s="2"/>
      <c r="C52" s="2"/>
      <c r="D52" s="1"/>
      <c r="E52" s="1"/>
      <c r="F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</row>
    <row r="53" spans="1:65" x14ac:dyDescent="0.25">
      <c r="A53" s="1"/>
      <c r="B53" s="2"/>
      <c r="C53" s="2"/>
      <c r="D53" s="1"/>
      <c r="E53" s="1"/>
      <c r="F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</row>
    <row r="54" spans="1:65" x14ac:dyDescent="0.25">
      <c r="A54" s="1"/>
      <c r="B54" s="2"/>
      <c r="C54" s="2"/>
      <c r="D54" s="1"/>
      <c r="E54" s="1"/>
      <c r="F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</row>
    <row r="55" spans="1:65" x14ac:dyDescent="0.25">
      <c r="A55" s="1"/>
      <c r="B55" s="2"/>
      <c r="C55" s="2"/>
      <c r="D55" s="1"/>
      <c r="E55" s="1"/>
      <c r="F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</row>
    <row r="56" spans="1:65" x14ac:dyDescent="0.25">
      <c r="A56" s="1"/>
      <c r="B56" s="2"/>
      <c r="C56" s="2"/>
      <c r="D56" s="1"/>
      <c r="E56" s="1"/>
      <c r="F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</row>
    <row r="57" spans="1:65" x14ac:dyDescent="0.25">
      <c r="A57" s="1"/>
      <c r="B57" s="2"/>
      <c r="C57" s="2"/>
      <c r="D57" s="1"/>
      <c r="E57" s="1"/>
      <c r="F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</row>
    <row r="58" spans="1:65" x14ac:dyDescent="0.25">
      <c r="A58" s="1"/>
      <c r="B58" s="2"/>
      <c r="C58" s="2"/>
      <c r="D58" s="1"/>
      <c r="E58" s="1"/>
      <c r="F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</row>
    <row r="59" spans="1:65" x14ac:dyDescent="0.25">
      <c r="A59" s="1"/>
      <c r="B59" s="2"/>
      <c r="C59" s="2"/>
      <c r="D59" s="1"/>
      <c r="E59" s="1"/>
      <c r="F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</row>
    <row r="60" spans="1:65" x14ac:dyDescent="0.25">
      <c r="A60" s="1"/>
      <c r="B60" s="2"/>
      <c r="C60" s="2"/>
      <c r="D60" s="1"/>
      <c r="E60" s="1"/>
      <c r="F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</row>
    <row r="61" spans="1:65" x14ac:dyDescent="0.25">
      <c r="A61" s="1"/>
      <c r="B61" s="2"/>
      <c r="C61" s="2"/>
      <c r="D61" s="1"/>
      <c r="E61" s="1"/>
      <c r="F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</row>
    <row r="62" spans="1:65" x14ac:dyDescent="0.25">
      <c r="A62" s="1"/>
      <c r="B62" s="2"/>
      <c r="C62" s="2"/>
      <c r="D62" s="1"/>
      <c r="E62" s="1"/>
      <c r="F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</row>
    <row r="63" spans="1:65" x14ac:dyDescent="0.25">
      <c r="A63" s="1"/>
      <c r="B63" s="2"/>
      <c r="C63" s="2"/>
      <c r="D63" s="1"/>
      <c r="E63" s="1"/>
      <c r="F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</row>
    <row r="64" spans="1:65" x14ac:dyDescent="0.25">
      <c r="A64" s="1"/>
      <c r="B64" s="2"/>
      <c r="C64" s="2"/>
      <c r="D64" s="1"/>
      <c r="E64" s="1"/>
      <c r="F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</row>
    <row r="65" spans="1:65" x14ac:dyDescent="0.25">
      <c r="A65" s="1"/>
      <c r="B65" s="2"/>
      <c r="C65" s="2"/>
      <c r="D65" s="1"/>
      <c r="E65" s="1"/>
      <c r="F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</row>
    <row r="66" spans="1:65" x14ac:dyDescent="0.25">
      <c r="A66" s="1"/>
      <c r="B66" s="2"/>
      <c r="C66" s="2"/>
      <c r="D66" s="1"/>
      <c r="E66" s="1"/>
      <c r="F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</row>
    <row r="67" spans="1:65" x14ac:dyDescent="0.25">
      <c r="A67" s="1"/>
      <c r="B67" s="2"/>
      <c r="C67" s="2"/>
      <c r="D67" s="1"/>
      <c r="E67" s="1"/>
      <c r="F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</row>
    <row r="68" spans="1:65" x14ac:dyDescent="0.25">
      <c r="A68" s="1"/>
      <c r="B68" s="2"/>
      <c r="C68" s="2"/>
      <c r="D68" s="1"/>
      <c r="E68" s="1"/>
      <c r="F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</row>
    <row r="69" spans="1:65" x14ac:dyDescent="0.25">
      <c r="A69" s="1"/>
      <c r="B69" s="2"/>
      <c r="C69" s="2"/>
      <c r="D69" s="1"/>
      <c r="E69" s="1"/>
      <c r="F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</row>
    <row r="70" spans="1:65" x14ac:dyDescent="0.25">
      <c r="A70" s="1"/>
      <c r="B70" s="2"/>
      <c r="C70" s="2"/>
      <c r="D70" s="1"/>
      <c r="E70" s="1"/>
      <c r="F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</row>
    <row r="71" spans="1:65" x14ac:dyDescent="0.25">
      <c r="A71" s="1"/>
      <c r="B71" s="2"/>
      <c r="C71" s="2"/>
      <c r="D71" s="1"/>
      <c r="E71" s="1"/>
      <c r="F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</row>
    <row r="72" spans="1:65" x14ac:dyDescent="0.25">
      <c r="A72" s="1"/>
      <c r="B72" s="2"/>
      <c r="C72" s="2"/>
      <c r="D72" s="1"/>
      <c r="E72" s="1"/>
      <c r="F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</row>
    <row r="73" spans="1:65" x14ac:dyDescent="0.25">
      <c r="A73" s="1"/>
      <c r="B73" s="2"/>
      <c r="C73" s="2"/>
      <c r="D73" s="1"/>
      <c r="E73" s="1"/>
      <c r="F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</row>
    <row r="74" spans="1:65" x14ac:dyDescent="0.25">
      <c r="A74" s="1"/>
      <c r="B74" s="2"/>
      <c r="C74" s="2"/>
      <c r="D74" s="1"/>
      <c r="E74" s="1"/>
      <c r="F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</row>
    <row r="75" spans="1:65" x14ac:dyDescent="0.25">
      <c r="A75" s="1"/>
      <c r="B75" s="2"/>
      <c r="C75" s="2"/>
      <c r="D75" s="1"/>
      <c r="E75" s="1"/>
      <c r="F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</row>
    <row r="76" spans="1:65" x14ac:dyDescent="0.25">
      <c r="A76" s="1"/>
      <c r="B76" s="2"/>
      <c r="C76" s="2"/>
      <c r="D76" s="1"/>
      <c r="E76" s="1"/>
      <c r="F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</row>
    <row r="77" spans="1:65" x14ac:dyDescent="0.25">
      <c r="A77" s="1"/>
      <c r="B77" s="2"/>
      <c r="C77" s="2"/>
      <c r="D77" s="1"/>
      <c r="E77" s="1"/>
      <c r="F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</row>
    <row r="78" spans="1:65" x14ac:dyDescent="0.25">
      <c r="A78" s="1"/>
      <c r="B78" s="2"/>
      <c r="C78" s="2"/>
      <c r="D78" s="1"/>
      <c r="E78" s="1"/>
      <c r="F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</row>
    <row r="79" spans="1:65" x14ac:dyDescent="0.25">
      <c r="A79" s="1"/>
      <c r="B79" s="2"/>
      <c r="C79" s="2"/>
      <c r="D79" s="1"/>
      <c r="E79" s="1"/>
      <c r="F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</row>
    <row r="80" spans="1:65" x14ac:dyDescent="0.25">
      <c r="A80" s="1"/>
      <c r="B80" s="2"/>
      <c r="C80" s="2"/>
      <c r="D80" s="1"/>
      <c r="E80" s="1"/>
      <c r="F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</row>
    <row r="81" spans="1:65" x14ac:dyDescent="0.25">
      <c r="A81" s="1"/>
      <c r="B81" s="2"/>
      <c r="C81" s="2"/>
      <c r="D81" s="1"/>
      <c r="E81" s="1"/>
      <c r="F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</row>
    <row r="82" spans="1:65" x14ac:dyDescent="0.25">
      <c r="A82" s="1"/>
      <c r="B82" s="2"/>
      <c r="C82" s="2"/>
      <c r="D82" s="1"/>
      <c r="E82" s="1"/>
      <c r="F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</row>
    <row r="83" spans="1:65" x14ac:dyDescent="0.25">
      <c r="A83" s="1"/>
      <c r="B83" s="2"/>
      <c r="C83" s="2"/>
      <c r="D83" s="1"/>
      <c r="E83" s="1"/>
      <c r="F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</row>
    <row r="84" spans="1:65" x14ac:dyDescent="0.25">
      <c r="A84" s="1"/>
      <c r="B84" s="2"/>
      <c r="C84" s="2"/>
      <c r="D84" s="1"/>
      <c r="E84" s="1"/>
      <c r="F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</row>
    <row r="85" spans="1:65" x14ac:dyDescent="0.25">
      <c r="A85" s="1"/>
      <c r="B85" s="2"/>
      <c r="C85" s="2"/>
      <c r="D85" s="1"/>
      <c r="E85" s="1"/>
      <c r="F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</row>
    <row r="86" spans="1:65" x14ac:dyDescent="0.25">
      <c r="A86" s="1"/>
      <c r="B86" s="2"/>
      <c r="C86" s="2"/>
      <c r="D86" s="1"/>
      <c r="E86" s="1"/>
      <c r="F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</row>
    <row r="87" spans="1:65" x14ac:dyDescent="0.25">
      <c r="A87" s="1"/>
      <c r="B87" s="2"/>
      <c r="C87" s="2"/>
      <c r="D87" s="1"/>
      <c r="E87" s="1"/>
      <c r="F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</row>
    <row r="88" spans="1:65" x14ac:dyDescent="0.25">
      <c r="A88" s="1"/>
      <c r="B88" s="2"/>
      <c r="C88" s="2"/>
      <c r="D88" s="1"/>
      <c r="E88" s="1"/>
      <c r="F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</row>
    <row r="89" spans="1:65" x14ac:dyDescent="0.25">
      <c r="A89" s="1"/>
      <c r="B89" s="2"/>
      <c r="C89" s="2"/>
      <c r="D89" s="1"/>
      <c r="E89" s="1"/>
      <c r="F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</row>
    <row r="90" spans="1:65" x14ac:dyDescent="0.25">
      <c r="A90" s="1"/>
      <c r="B90" s="2"/>
      <c r="C90" s="2"/>
      <c r="D90" s="1"/>
      <c r="E90" s="1"/>
      <c r="F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</row>
    <row r="91" spans="1:65" x14ac:dyDescent="0.25">
      <c r="A91" s="1"/>
      <c r="B91" s="2"/>
      <c r="C91" s="2"/>
      <c r="D91" s="1"/>
      <c r="E91" s="1"/>
      <c r="F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</row>
    <row r="92" spans="1:65" x14ac:dyDescent="0.25">
      <c r="A92" s="1"/>
      <c r="B92" s="2"/>
      <c r="C92" s="2"/>
      <c r="D92" s="1"/>
      <c r="E92" s="1"/>
      <c r="F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</row>
    <row r="93" spans="1:65" x14ac:dyDescent="0.25">
      <c r="A93" s="1"/>
      <c r="B93" s="2"/>
      <c r="C93" s="2"/>
      <c r="D93" s="1"/>
      <c r="E93" s="1"/>
      <c r="F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</row>
    <row r="94" spans="1:65" x14ac:dyDescent="0.25">
      <c r="A94" s="1"/>
      <c r="B94" s="2"/>
      <c r="C94" s="2"/>
      <c r="D94" s="1"/>
      <c r="E94" s="1"/>
      <c r="F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</row>
    <row r="95" spans="1:65" x14ac:dyDescent="0.25">
      <c r="A95" s="1"/>
      <c r="B95" s="2"/>
      <c r="C95" s="2"/>
      <c r="D95" s="1"/>
      <c r="E95" s="1"/>
      <c r="F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</row>
    <row r="96" spans="1:65" x14ac:dyDescent="0.25">
      <c r="A96" s="1"/>
      <c r="B96" s="2"/>
      <c r="C96" s="2"/>
      <c r="D96" s="1"/>
      <c r="E96" s="1"/>
      <c r="F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</row>
    <row r="97" spans="1:65" x14ac:dyDescent="0.25">
      <c r="A97" s="1"/>
      <c r="B97" s="2"/>
      <c r="C97" s="2"/>
      <c r="D97" s="1"/>
      <c r="E97" s="1"/>
      <c r="F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</row>
    <row r="98" spans="1:65" x14ac:dyDescent="0.25">
      <c r="A98" s="1"/>
      <c r="B98" s="2"/>
      <c r="C98" s="2"/>
      <c r="D98" s="1"/>
      <c r="E98" s="1"/>
      <c r="F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</row>
    <row r="99" spans="1:65" x14ac:dyDescent="0.25">
      <c r="A99" s="1"/>
      <c r="B99" s="2"/>
      <c r="C99" s="2"/>
      <c r="D99" s="1"/>
      <c r="E99" s="1"/>
      <c r="F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</row>
    <row r="100" spans="1:65" x14ac:dyDescent="0.25">
      <c r="A100" s="1"/>
      <c r="B100" s="2"/>
      <c r="C100" s="2"/>
      <c r="D100" s="1"/>
      <c r="E100" s="1"/>
      <c r="F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</row>
    <row r="101" spans="1:65" x14ac:dyDescent="0.25">
      <c r="A101" s="1"/>
      <c r="B101" s="2"/>
      <c r="C101" s="2"/>
      <c r="D101" s="1"/>
      <c r="E101" s="1"/>
      <c r="F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</row>
    <row r="102" spans="1:65" x14ac:dyDescent="0.25">
      <c r="A102" s="1"/>
      <c r="B102" s="2"/>
      <c r="C102" s="2"/>
      <c r="D102" s="1"/>
      <c r="E102" s="1"/>
      <c r="F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</row>
    <row r="103" spans="1:65" x14ac:dyDescent="0.25">
      <c r="A103" s="1"/>
      <c r="B103" s="2"/>
      <c r="C103" s="2"/>
      <c r="D103" s="1"/>
      <c r="E103" s="1"/>
      <c r="F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</row>
    <row r="104" spans="1:65" x14ac:dyDescent="0.25">
      <c r="A104" s="1"/>
      <c r="B104" s="2"/>
      <c r="C104" s="2"/>
      <c r="D104" s="1"/>
      <c r="E104" s="1"/>
      <c r="F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</row>
    <row r="105" spans="1:65" x14ac:dyDescent="0.25">
      <c r="A105" s="1"/>
      <c r="B105" s="2"/>
      <c r="C105" s="2"/>
      <c r="D105" s="1"/>
      <c r="E105" s="1"/>
      <c r="F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</row>
    <row r="106" spans="1:65" x14ac:dyDescent="0.25">
      <c r="A106" s="1"/>
      <c r="B106" s="2"/>
      <c r="C106" s="2"/>
      <c r="D106" s="1"/>
      <c r="E106" s="1"/>
      <c r="F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</row>
    <row r="107" spans="1:65" x14ac:dyDescent="0.25">
      <c r="A107" s="1"/>
      <c r="B107" s="2"/>
      <c r="C107" s="2"/>
      <c r="D107" s="1"/>
      <c r="E107" s="1"/>
      <c r="F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</row>
    <row r="108" spans="1:65" x14ac:dyDescent="0.25">
      <c r="A108" s="1"/>
      <c r="B108" s="2"/>
      <c r="C108" s="2"/>
      <c r="D108" s="1"/>
      <c r="E108" s="1"/>
      <c r="F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</row>
    <row r="109" spans="1:65" x14ac:dyDescent="0.25">
      <c r="A109" s="1"/>
      <c r="B109" s="2"/>
      <c r="C109" s="2"/>
      <c r="D109" s="1"/>
      <c r="E109" s="1"/>
      <c r="F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</row>
    <row r="110" spans="1:65" x14ac:dyDescent="0.25">
      <c r="A110" s="1"/>
      <c r="B110" s="2"/>
      <c r="C110" s="2"/>
      <c r="D110" s="1"/>
      <c r="E110" s="1"/>
      <c r="F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</row>
    <row r="111" spans="1:65" x14ac:dyDescent="0.25">
      <c r="A111" s="1"/>
      <c r="B111" s="2"/>
      <c r="C111" s="2"/>
      <c r="D111" s="1"/>
      <c r="E111" s="1"/>
      <c r="F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</row>
    <row r="112" spans="1:65" x14ac:dyDescent="0.25">
      <c r="A112" s="1"/>
      <c r="B112" s="2"/>
      <c r="C112" s="2"/>
      <c r="D112" s="1"/>
      <c r="E112" s="1"/>
      <c r="F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</row>
    <row r="113" spans="1:65" x14ac:dyDescent="0.25">
      <c r="A113" s="1"/>
      <c r="B113" s="2"/>
      <c r="C113" s="2"/>
      <c r="D113" s="1"/>
      <c r="E113" s="1"/>
      <c r="F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</row>
    <row r="114" spans="1:65" x14ac:dyDescent="0.25">
      <c r="A114" s="1"/>
      <c r="B114" s="2"/>
      <c r="C114" s="2"/>
      <c r="D114" s="1"/>
      <c r="E114" s="1"/>
      <c r="F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</row>
    <row r="115" spans="1:65" x14ac:dyDescent="0.25">
      <c r="A115" s="1"/>
      <c r="B115" s="2"/>
      <c r="C115" s="2"/>
      <c r="D115" s="1"/>
      <c r="E115" s="1"/>
      <c r="F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</row>
    <row r="116" spans="1:65" x14ac:dyDescent="0.25">
      <c r="A116" s="1"/>
      <c r="B116" s="2"/>
      <c r="C116" s="2"/>
      <c r="D116" s="1"/>
      <c r="E116" s="1"/>
      <c r="F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</row>
    <row r="117" spans="1:65" x14ac:dyDescent="0.25">
      <c r="A117" s="1"/>
      <c r="B117" s="2"/>
      <c r="C117" s="2"/>
      <c r="D117" s="1"/>
      <c r="E117" s="1"/>
      <c r="F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</row>
    <row r="118" spans="1:65" x14ac:dyDescent="0.25">
      <c r="A118" s="1"/>
      <c r="B118" s="2"/>
      <c r="C118" s="2"/>
      <c r="D118" s="1"/>
      <c r="E118" s="1"/>
      <c r="F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</row>
    <row r="119" spans="1:65" x14ac:dyDescent="0.25">
      <c r="A119" s="1"/>
      <c r="B119" s="2"/>
      <c r="C119" s="2"/>
      <c r="D119" s="1"/>
      <c r="E119" s="1"/>
      <c r="F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</row>
    <row r="120" spans="1:65" x14ac:dyDescent="0.25">
      <c r="A120" s="1"/>
      <c r="B120" s="2"/>
      <c r="C120" s="2"/>
      <c r="D120" s="1"/>
      <c r="E120" s="1"/>
      <c r="F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</row>
    <row r="121" spans="1:65" x14ac:dyDescent="0.25">
      <c r="A121" s="1"/>
      <c r="B121" s="2"/>
      <c r="C121" s="2"/>
      <c r="D121" s="1"/>
      <c r="E121" s="1"/>
      <c r="F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</row>
    <row r="122" spans="1:65" x14ac:dyDescent="0.25">
      <c r="A122" s="1"/>
      <c r="B122" s="2"/>
      <c r="C122" s="2"/>
      <c r="D122" s="1"/>
      <c r="E122" s="1"/>
      <c r="F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</row>
    <row r="123" spans="1:65" x14ac:dyDescent="0.25">
      <c r="A123" s="1"/>
      <c r="B123" s="2"/>
      <c r="C123" s="2"/>
      <c r="D123" s="1"/>
      <c r="E123" s="1"/>
      <c r="F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</row>
    <row r="124" spans="1:65" x14ac:dyDescent="0.25">
      <c r="A124" s="1"/>
      <c r="B124" s="2"/>
      <c r="C124" s="2"/>
      <c r="D124" s="1"/>
      <c r="E124" s="1"/>
      <c r="F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</row>
    <row r="125" spans="1:65" x14ac:dyDescent="0.25">
      <c r="A125" s="1"/>
      <c r="B125" s="2"/>
      <c r="C125" s="2"/>
      <c r="D125" s="1"/>
      <c r="E125" s="1"/>
      <c r="F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</row>
    <row r="126" spans="1:65" x14ac:dyDescent="0.25">
      <c r="A126" s="1"/>
      <c r="B126" s="2"/>
      <c r="C126" s="2"/>
      <c r="D126" s="1"/>
      <c r="E126" s="1"/>
      <c r="F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</row>
    <row r="127" spans="1:65" x14ac:dyDescent="0.25">
      <c r="A127" s="1"/>
      <c r="B127" s="2"/>
      <c r="C127" s="2"/>
      <c r="D127" s="1"/>
      <c r="E127" s="1"/>
      <c r="F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</row>
    <row r="128" spans="1:65" x14ac:dyDescent="0.25">
      <c r="A128" s="1"/>
      <c r="B128" s="2"/>
      <c r="C128" s="2"/>
      <c r="D128" s="1"/>
      <c r="E128" s="1"/>
      <c r="F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</row>
    <row r="129" spans="1:65" x14ac:dyDescent="0.25">
      <c r="A129" s="1"/>
      <c r="B129" s="2"/>
      <c r="C129" s="2"/>
      <c r="D129" s="1"/>
      <c r="E129" s="1"/>
      <c r="F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</row>
    <row r="130" spans="1:65" x14ac:dyDescent="0.25">
      <c r="A130" s="1"/>
      <c r="B130" s="2"/>
      <c r="C130" s="2"/>
      <c r="D130" s="1"/>
      <c r="E130" s="1"/>
      <c r="F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</row>
    <row r="131" spans="1:65" x14ac:dyDescent="0.25">
      <c r="A131" s="1"/>
      <c r="B131" s="2"/>
      <c r="C131" s="2"/>
      <c r="D131" s="1"/>
      <c r="E131" s="1"/>
      <c r="F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</row>
    <row r="132" spans="1:65" x14ac:dyDescent="0.25">
      <c r="A132" s="1"/>
      <c r="B132" s="2"/>
      <c r="C132" s="2"/>
      <c r="D132" s="1"/>
      <c r="E132" s="1"/>
      <c r="F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</row>
    <row r="133" spans="1:65" x14ac:dyDescent="0.25">
      <c r="A133" s="1"/>
      <c r="B133" s="2"/>
      <c r="C133" s="2"/>
      <c r="D133" s="1"/>
      <c r="E133" s="1"/>
      <c r="F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</row>
    <row r="134" spans="1:65" x14ac:dyDescent="0.25">
      <c r="A134" s="1"/>
      <c r="B134" s="2"/>
      <c r="C134" s="2"/>
      <c r="D134" s="1"/>
      <c r="E134" s="1"/>
      <c r="F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</row>
    <row r="135" spans="1:65" x14ac:dyDescent="0.25">
      <c r="A135" s="1"/>
      <c r="B135" s="2"/>
      <c r="C135" s="2"/>
      <c r="D135" s="1"/>
      <c r="E135" s="1"/>
      <c r="F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</row>
    <row r="136" spans="1:65" x14ac:dyDescent="0.25">
      <c r="A136" s="1"/>
      <c r="B136" s="2"/>
      <c r="C136" s="2"/>
      <c r="D136" s="1"/>
      <c r="E136" s="1"/>
      <c r="F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</row>
    <row r="137" spans="1:65" x14ac:dyDescent="0.25">
      <c r="A137" s="1"/>
      <c r="B137" s="2"/>
      <c r="C137" s="2"/>
      <c r="D137" s="1"/>
      <c r="E137" s="1"/>
      <c r="F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</row>
    <row r="138" spans="1:65" x14ac:dyDescent="0.25">
      <c r="A138" s="1"/>
      <c r="B138" s="2"/>
      <c r="C138" s="2"/>
      <c r="D138" s="1"/>
      <c r="E138" s="1"/>
      <c r="F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</row>
    <row r="139" spans="1:65" x14ac:dyDescent="0.25">
      <c r="A139" s="1"/>
      <c r="B139" s="2"/>
      <c r="C139" s="2"/>
      <c r="D139" s="1"/>
      <c r="E139" s="1"/>
      <c r="F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</row>
    <row r="140" spans="1:65" x14ac:dyDescent="0.25">
      <c r="A140" s="1"/>
      <c r="B140" s="2"/>
      <c r="C140" s="2"/>
      <c r="D140" s="1"/>
      <c r="E140" s="1"/>
      <c r="F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</row>
    <row r="141" spans="1:65" x14ac:dyDescent="0.25">
      <c r="A141" s="1"/>
      <c r="B141" s="2"/>
      <c r="C141" s="2"/>
      <c r="D141" s="1"/>
      <c r="E141" s="1"/>
      <c r="F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</row>
    <row r="142" spans="1:65" x14ac:dyDescent="0.25">
      <c r="A142" s="1"/>
      <c r="B142" s="2"/>
      <c r="C142" s="2"/>
      <c r="D142" s="1"/>
      <c r="E142" s="1"/>
      <c r="F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</row>
    <row r="143" spans="1:65" x14ac:dyDescent="0.25">
      <c r="A143" s="1"/>
      <c r="B143" s="2"/>
      <c r="C143" s="2"/>
      <c r="D143" s="1"/>
      <c r="E143" s="1"/>
      <c r="F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</row>
    <row r="144" spans="1:65" x14ac:dyDescent="0.25">
      <c r="A144" s="1"/>
      <c r="B144" s="2"/>
      <c r="C144" s="2"/>
      <c r="D144" s="1"/>
      <c r="E144" s="1"/>
      <c r="F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</row>
    <row r="145" spans="1:65" x14ac:dyDescent="0.25">
      <c r="A145" s="1"/>
      <c r="B145" s="2"/>
      <c r="C145" s="2"/>
      <c r="D145" s="1"/>
      <c r="E145" s="1"/>
      <c r="F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</row>
    <row r="146" spans="1:65" x14ac:dyDescent="0.25">
      <c r="A146" s="1"/>
      <c r="B146" s="2"/>
      <c r="C146" s="2"/>
      <c r="D146" s="1"/>
      <c r="E146" s="1"/>
      <c r="F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</row>
    <row r="147" spans="1:65" x14ac:dyDescent="0.25">
      <c r="A147" s="1"/>
      <c r="B147" s="2"/>
      <c r="C147" s="2"/>
      <c r="D147" s="1"/>
      <c r="E147" s="1"/>
      <c r="F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</row>
    <row r="148" spans="1:65" x14ac:dyDescent="0.25">
      <c r="A148" s="1"/>
      <c r="B148" s="2"/>
      <c r="C148" s="2"/>
      <c r="D148" s="1"/>
      <c r="E148" s="1"/>
      <c r="F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</row>
    <row r="149" spans="1:65" x14ac:dyDescent="0.25">
      <c r="A149" s="1"/>
      <c r="B149" s="2"/>
      <c r="C149" s="2"/>
      <c r="D149" s="1"/>
      <c r="E149" s="1"/>
      <c r="F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</row>
    <row r="150" spans="1:65" x14ac:dyDescent="0.25">
      <c r="A150" s="1"/>
      <c r="B150" s="2"/>
      <c r="C150" s="2"/>
      <c r="D150" s="1"/>
      <c r="E150" s="1"/>
      <c r="F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</row>
    <row r="151" spans="1:65" x14ac:dyDescent="0.25">
      <c r="A151" s="1"/>
      <c r="B151" s="2"/>
      <c r="C151" s="2"/>
      <c r="D151" s="1"/>
      <c r="E151" s="1"/>
      <c r="F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</row>
    <row r="152" spans="1:65" x14ac:dyDescent="0.25">
      <c r="A152" s="1"/>
      <c r="B152" s="2"/>
      <c r="C152" s="2"/>
      <c r="D152" s="1"/>
      <c r="E152" s="1"/>
      <c r="F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</row>
    <row r="153" spans="1:65" x14ac:dyDescent="0.25">
      <c r="A153" s="1"/>
      <c r="B153" s="2"/>
      <c r="C153" s="2"/>
      <c r="D153" s="1"/>
      <c r="E153" s="1"/>
      <c r="F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</row>
    <row r="154" spans="1:65" x14ac:dyDescent="0.25">
      <c r="A154" s="1"/>
      <c r="B154" s="2"/>
      <c r="C154" s="2"/>
      <c r="D154" s="1"/>
      <c r="E154" s="1"/>
      <c r="F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</row>
    <row r="155" spans="1:65" x14ac:dyDescent="0.25">
      <c r="A155" s="1"/>
      <c r="B155" s="2"/>
      <c r="C155" s="2"/>
      <c r="D155" s="1"/>
      <c r="E155" s="1"/>
      <c r="F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</row>
    <row r="156" spans="1:65" x14ac:dyDescent="0.25">
      <c r="A156" s="1"/>
      <c r="B156" s="2"/>
      <c r="C156" s="2"/>
      <c r="D156" s="1"/>
      <c r="E156" s="1"/>
      <c r="F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</row>
    <row r="157" spans="1:65" x14ac:dyDescent="0.25">
      <c r="A157" s="1"/>
      <c r="B157" s="2"/>
      <c r="C157" s="2"/>
      <c r="D157" s="1"/>
      <c r="E157" s="1"/>
      <c r="F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</row>
    <row r="158" spans="1:65" x14ac:dyDescent="0.25">
      <c r="A158" s="1"/>
      <c r="B158" s="2"/>
      <c r="C158" s="2"/>
      <c r="D158" s="1"/>
      <c r="E158" s="1"/>
      <c r="F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</row>
    <row r="159" spans="1:65" x14ac:dyDescent="0.25">
      <c r="A159" s="1"/>
      <c r="B159" s="2"/>
      <c r="C159" s="2"/>
      <c r="D159" s="1"/>
      <c r="E159" s="1"/>
      <c r="F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</row>
    <row r="160" spans="1:65" x14ac:dyDescent="0.25">
      <c r="A160" s="1"/>
      <c r="B160" s="2"/>
      <c r="C160" s="2"/>
      <c r="D160" s="1"/>
      <c r="E160" s="1"/>
      <c r="F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</row>
    <row r="161" spans="1:65" x14ac:dyDescent="0.25">
      <c r="A161" s="1"/>
      <c r="B161" s="2"/>
      <c r="C161" s="2"/>
      <c r="D161" s="1"/>
      <c r="E161" s="1"/>
      <c r="F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</row>
    <row r="162" spans="1:65" x14ac:dyDescent="0.25">
      <c r="A162" s="1"/>
      <c r="B162" s="2"/>
      <c r="C162" s="2"/>
      <c r="D162" s="1"/>
      <c r="E162" s="1"/>
      <c r="F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</row>
    <row r="163" spans="1:65" x14ac:dyDescent="0.25">
      <c r="A163" s="1"/>
      <c r="B163" s="2"/>
      <c r="C163" s="2"/>
      <c r="D163" s="1"/>
      <c r="E163" s="1"/>
      <c r="F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</row>
    <row r="164" spans="1:65" x14ac:dyDescent="0.25">
      <c r="A164" s="1"/>
      <c r="B164" s="2"/>
      <c r="C164" s="2"/>
      <c r="D164" s="1"/>
      <c r="E164" s="1"/>
      <c r="F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</row>
    <row r="165" spans="1:65" x14ac:dyDescent="0.25">
      <c r="A165" s="1"/>
      <c r="B165" s="2"/>
      <c r="C165" s="2"/>
      <c r="D165" s="1"/>
      <c r="E165" s="1"/>
      <c r="F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</row>
    <row r="166" spans="1:65" x14ac:dyDescent="0.25">
      <c r="A166" s="1"/>
      <c r="B166" s="2"/>
      <c r="C166" s="2"/>
      <c r="D166" s="1"/>
      <c r="E166" s="1"/>
      <c r="F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</row>
    <row r="167" spans="1:65" x14ac:dyDescent="0.25">
      <c r="A167" s="1"/>
      <c r="B167" s="2"/>
      <c r="C167" s="2"/>
      <c r="D167" s="1"/>
      <c r="E167" s="1"/>
      <c r="F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</row>
    <row r="168" spans="1:65" x14ac:dyDescent="0.25">
      <c r="A168" s="1"/>
      <c r="B168" s="2"/>
      <c r="C168" s="2"/>
      <c r="D168" s="1"/>
      <c r="E168" s="1"/>
      <c r="F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</row>
    <row r="169" spans="1:65" x14ac:dyDescent="0.25">
      <c r="A169" s="1"/>
      <c r="B169" s="2"/>
      <c r="C169" s="2"/>
      <c r="D169" s="1"/>
      <c r="E169" s="1"/>
      <c r="F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</row>
    <row r="170" spans="1:65" x14ac:dyDescent="0.25">
      <c r="A170" s="1"/>
      <c r="B170" s="2"/>
      <c r="C170" s="2"/>
      <c r="D170" s="1"/>
      <c r="E170" s="1"/>
      <c r="F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</row>
    <row r="171" spans="1:65" x14ac:dyDescent="0.25">
      <c r="A171" s="1"/>
      <c r="B171" s="2"/>
      <c r="C171" s="2"/>
      <c r="D171" s="1"/>
      <c r="E171" s="1"/>
      <c r="F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</row>
    <row r="172" spans="1:65" x14ac:dyDescent="0.25">
      <c r="A172" s="1"/>
      <c r="B172" s="2"/>
      <c r="C172" s="2"/>
      <c r="D172" s="1"/>
      <c r="E172" s="1"/>
      <c r="F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</row>
    <row r="173" spans="1:65" x14ac:dyDescent="0.25">
      <c r="A173" s="1"/>
      <c r="B173" s="2"/>
      <c r="C173" s="2"/>
      <c r="D173" s="1"/>
      <c r="E173" s="1"/>
      <c r="F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</row>
    <row r="174" spans="1:65" x14ac:dyDescent="0.25">
      <c r="A174" s="1"/>
      <c r="B174" s="2"/>
      <c r="C174" s="2"/>
      <c r="D174" s="1"/>
      <c r="E174" s="1"/>
      <c r="F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</row>
    <row r="175" spans="1:65" x14ac:dyDescent="0.25">
      <c r="A175" s="1"/>
      <c r="B175" s="2"/>
      <c r="C175" s="2"/>
      <c r="D175" s="1"/>
      <c r="E175" s="1"/>
      <c r="F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</row>
    <row r="176" spans="1:65" x14ac:dyDescent="0.25">
      <c r="A176" s="1"/>
      <c r="B176" s="2"/>
      <c r="C176" s="2"/>
      <c r="D176" s="1"/>
      <c r="E176" s="1"/>
      <c r="F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</row>
    <row r="177" spans="1:64" x14ac:dyDescent="0.25">
      <c r="A177" s="1"/>
      <c r="B177" s="2"/>
      <c r="C177" s="2"/>
      <c r="D177" s="1"/>
      <c r="E177" s="1"/>
      <c r="F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</row>
    <row r="178" spans="1:64" x14ac:dyDescent="0.25">
      <c r="A178" s="1"/>
      <c r="B178" s="2"/>
      <c r="C178" s="2"/>
      <c r="D178" s="1"/>
      <c r="E178" s="1"/>
      <c r="F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</row>
    <row r="179" spans="1:64" x14ac:dyDescent="0.25">
      <c r="A179" s="1"/>
      <c r="B179" s="2"/>
      <c r="C179" s="2"/>
      <c r="D179" s="1"/>
      <c r="E179" s="1"/>
      <c r="F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</row>
    <row r="180" spans="1:64" x14ac:dyDescent="0.25">
      <c r="A180" s="1"/>
      <c r="B180" s="2"/>
      <c r="C180" s="2"/>
      <c r="D180" s="1"/>
      <c r="E180" s="1"/>
      <c r="F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</row>
    <row r="181" spans="1:64" x14ac:dyDescent="0.25">
      <c r="A181" s="1"/>
      <c r="B181" s="2"/>
      <c r="C181" s="2"/>
      <c r="D181" s="1"/>
      <c r="E181" s="1"/>
      <c r="F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</row>
    <row r="182" spans="1:64" x14ac:dyDescent="0.25">
      <c r="A182" s="1"/>
      <c r="B182" s="2"/>
      <c r="C182" s="2"/>
      <c r="D182" s="1"/>
      <c r="E182" s="1"/>
      <c r="F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</row>
    <row r="183" spans="1:64" x14ac:dyDescent="0.25">
      <c r="A183" s="1"/>
      <c r="B183" s="2"/>
      <c r="C183" s="2"/>
      <c r="D183" s="1"/>
      <c r="E183" s="1"/>
      <c r="F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</row>
    <row r="184" spans="1:64" x14ac:dyDescent="0.25">
      <c r="A184" s="1"/>
      <c r="B184" s="2"/>
      <c r="C184" s="2"/>
      <c r="D184" s="1"/>
      <c r="E184" s="1"/>
      <c r="F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</row>
    <row r="185" spans="1:64" x14ac:dyDescent="0.25">
      <c r="A185" s="1"/>
      <c r="B185" s="2"/>
      <c r="C185" s="2"/>
      <c r="D185" s="1"/>
      <c r="E185" s="1"/>
      <c r="F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</row>
    <row r="186" spans="1:64" x14ac:dyDescent="0.25">
      <c r="A186" s="1"/>
      <c r="B186" s="2"/>
      <c r="C186" s="2"/>
      <c r="D186" s="1"/>
      <c r="E186" s="1"/>
      <c r="F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</row>
    <row r="187" spans="1:64" x14ac:dyDescent="0.25">
      <c r="A187" s="1"/>
      <c r="B187" s="2"/>
      <c r="C187" s="2"/>
      <c r="D187" s="1"/>
      <c r="E187" s="1"/>
      <c r="F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</row>
    <row r="188" spans="1:64" x14ac:dyDescent="0.25">
      <c r="A188" s="1"/>
      <c r="B188" s="2"/>
      <c r="C188" s="2"/>
      <c r="D188" s="1"/>
      <c r="E188" s="1"/>
      <c r="F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</row>
    <row r="189" spans="1:64" x14ac:dyDescent="0.25">
      <c r="A189" s="1"/>
      <c r="B189" s="2"/>
      <c r="C189" s="2"/>
      <c r="D189" s="1"/>
      <c r="E189" s="1"/>
      <c r="F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4" x14ac:dyDescent="0.25">
      <c r="A190" s="1"/>
      <c r="B190" s="2"/>
      <c r="C190" s="2"/>
      <c r="D190" s="1"/>
      <c r="E190" s="1"/>
      <c r="F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4" x14ac:dyDescent="0.25">
      <c r="A191" s="1"/>
      <c r="B191" s="2"/>
      <c r="C191" s="2"/>
      <c r="D191" s="1"/>
      <c r="E191" s="1"/>
      <c r="F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4" x14ac:dyDescent="0.25">
      <c r="A192" s="1"/>
      <c r="B192" s="2"/>
      <c r="C192" s="2"/>
      <c r="D192" s="1"/>
      <c r="E192" s="1"/>
      <c r="F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x14ac:dyDescent="0.25">
      <c r="A193" s="1"/>
      <c r="B193" s="2"/>
      <c r="C193" s="2"/>
      <c r="D193" s="1"/>
      <c r="E193" s="1"/>
      <c r="F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x14ac:dyDescent="0.25">
      <c r="A194" s="1"/>
      <c r="B194" s="2"/>
      <c r="C194" s="2"/>
      <c r="D194" s="1"/>
      <c r="E194" s="1"/>
      <c r="F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x14ac:dyDescent="0.25">
      <c r="A195" s="1"/>
      <c r="B195" s="2"/>
      <c r="C195" s="2"/>
      <c r="D195" s="1"/>
      <c r="E195" s="1"/>
      <c r="F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x14ac:dyDescent="0.25">
      <c r="A196" s="1"/>
      <c r="B196" s="2"/>
      <c r="C196" s="2"/>
      <c r="D196" s="1"/>
      <c r="E196" s="1"/>
      <c r="F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x14ac:dyDescent="0.25">
      <c r="A197" s="1"/>
      <c r="B197" s="2"/>
      <c r="C197" s="2"/>
      <c r="D197" s="1"/>
      <c r="E197" s="1"/>
      <c r="F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x14ac:dyDescent="0.25">
      <c r="A198" s="1"/>
      <c r="B198" s="2"/>
      <c r="C198" s="2"/>
      <c r="D198" s="1"/>
      <c r="E198" s="1"/>
      <c r="F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x14ac:dyDescent="0.25">
      <c r="A199" s="1"/>
      <c r="B199" s="2"/>
      <c r="C199" s="2"/>
      <c r="D199" s="1"/>
      <c r="E199" s="1"/>
      <c r="F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x14ac:dyDescent="0.25">
      <c r="A200" s="1"/>
      <c r="B200" s="2"/>
      <c r="C200" s="2"/>
      <c r="D200" s="1"/>
      <c r="E200" s="1"/>
      <c r="F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x14ac:dyDescent="0.25">
      <c r="A201" s="1"/>
      <c r="B201" s="2"/>
      <c r="C201" s="2"/>
      <c r="D201" s="1"/>
      <c r="E201" s="1"/>
      <c r="F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x14ac:dyDescent="0.25">
      <c r="A202" s="1"/>
      <c r="B202" s="2"/>
      <c r="C202" s="2"/>
      <c r="D202" s="1"/>
      <c r="E202" s="1"/>
      <c r="F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x14ac:dyDescent="0.25">
      <c r="A203" s="1"/>
      <c r="B203" s="2"/>
      <c r="C203" s="2"/>
      <c r="D203" s="1"/>
      <c r="E203" s="1"/>
      <c r="F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x14ac:dyDescent="0.25">
      <c r="A204" s="1"/>
      <c r="B204" s="2"/>
      <c r="C204" s="2"/>
      <c r="D204" s="1"/>
      <c r="E204" s="1"/>
      <c r="F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x14ac:dyDescent="0.25">
      <c r="A205" s="1"/>
      <c r="B205" s="2"/>
      <c r="C205" s="2"/>
      <c r="D205" s="1"/>
      <c r="E205" s="1"/>
      <c r="F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x14ac:dyDescent="0.25">
      <c r="A206" s="1"/>
      <c r="B206" s="2"/>
      <c r="C206" s="2"/>
      <c r="D206" s="1"/>
      <c r="E206" s="1"/>
      <c r="F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x14ac:dyDescent="0.25">
      <c r="A207" s="1"/>
      <c r="B207" s="2"/>
      <c r="C207" s="2"/>
      <c r="D207" s="1"/>
      <c r="E207" s="1"/>
      <c r="F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x14ac:dyDescent="0.25">
      <c r="A208" s="1"/>
      <c r="B208" s="2"/>
      <c r="C208" s="2"/>
      <c r="D208" s="1"/>
      <c r="E208" s="1"/>
      <c r="F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x14ac:dyDescent="0.25">
      <c r="A209" s="1"/>
      <c r="B209" s="2"/>
      <c r="C209" s="2"/>
      <c r="D209" s="1"/>
      <c r="E209" s="1"/>
      <c r="F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x14ac:dyDescent="0.25">
      <c r="A210" s="1"/>
      <c r="B210" s="2"/>
      <c r="C210" s="2"/>
      <c r="D210" s="1"/>
      <c r="E210" s="1"/>
      <c r="F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x14ac:dyDescent="0.25">
      <c r="A211" s="1"/>
      <c r="B211" s="2"/>
      <c r="C211" s="2"/>
      <c r="D211" s="1"/>
      <c r="E211" s="1"/>
      <c r="F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x14ac:dyDescent="0.25">
      <c r="A212" s="1"/>
      <c r="B212" s="2"/>
      <c r="C212" s="2"/>
      <c r="D212" s="1"/>
      <c r="E212" s="1"/>
      <c r="F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x14ac:dyDescent="0.25">
      <c r="A213" s="1"/>
      <c r="B213" s="2"/>
      <c r="C213" s="2"/>
      <c r="D213" s="1"/>
      <c r="E213" s="1"/>
      <c r="F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x14ac:dyDescent="0.25">
      <c r="A214" s="1"/>
      <c r="B214" s="2"/>
      <c r="C214" s="2"/>
      <c r="D214" s="1"/>
      <c r="E214" s="1"/>
      <c r="F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x14ac:dyDescent="0.25">
      <c r="A215" s="1"/>
      <c r="B215" s="2"/>
      <c r="C215" s="2"/>
      <c r="D215" s="1"/>
      <c r="E215" s="1"/>
      <c r="F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x14ac:dyDescent="0.25">
      <c r="A216" s="1"/>
      <c r="B216" s="2"/>
      <c r="C216" s="2"/>
      <c r="D216" s="1"/>
      <c r="E216" s="1"/>
      <c r="F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x14ac:dyDescent="0.25">
      <c r="A217" s="1"/>
      <c r="B217" s="2"/>
      <c r="C217" s="2"/>
      <c r="D217" s="1"/>
      <c r="E217" s="1"/>
      <c r="F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x14ac:dyDescent="0.25">
      <c r="A218" s="1"/>
      <c r="B218" s="2"/>
      <c r="C218" s="2"/>
      <c r="D218" s="1"/>
      <c r="E218" s="1"/>
      <c r="F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x14ac:dyDescent="0.25">
      <c r="A219" s="1"/>
      <c r="B219" s="2"/>
      <c r="C219" s="2"/>
      <c r="D219" s="1"/>
      <c r="E219" s="1"/>
      <c r="F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x14ac:dyDescent="0.25">
      <c r="A220" s="1"/>
      <c r="B220" s="2"/>
      <c r="C220" s="2"/>
      <c r="D220" s="1"/>
      <c r="E220" s="1"/>
      <c r="F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</row>
    <row r="221" spans="1:63" x14ac:dyDescent="0.25">
      <c r="A221" s="1"/>
      <c r="B221" s="2"/>
      <c r="C221" s="2"/>
      <c r="D221" s="1"/>
      <c r="E221" s="1"/>
      <c r="F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</row>
    <row r="222" spans="1:63" x14ac:dyDescent="0.25">
      <c r="A222" s="1"/>
      <c r="B222" s="2"/>
      <c r="C222" s="2"/>
      <c r="D222" s="1"/>
      <c r="E222" s="1"/>
      <c r="F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</row>
    <row r="223" spans="1:63" x14ac:dyDescent="0.25">
      <c r="A223" s="1"/>
      <c r="B223" s="2"/>
      <c r="C223" s="2"/>
      <c r="D223" s="1"/>
      <c r="E223" s="1"/>
      <c r="F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</row>
    <row r="224" spans="1:63" x14ac:dyDescent="0.25">
      <c r="A224" s="1"/>
      <c r="B224" s="2"/>
      <c r="C224" s="2"/>
      <c r="D224" s="1"/>
      <c r="E224" s="1"/>
      <c r="F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</row>
    <row r="225" spans="1:62" x14ac:dyDescent="0.25">
      <c r="A225" s="1"/>
      <c r="B225" s="2"/>
      <c r="C225" s="2"/>
      <c r="D225" s="1"/>
      <c r="E225" s="1"/>
      <c r="F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</row>
    <row r="226" spans="1:62" x14ac:dyDescent="0.25">
      <c r="A226" s="1"/>
      <c r="B226" s="2"/>
      <c r="C226" s="2"/>
      <c r="D226" s="1"/>
      <c r="E226" s="1"/>
      <c r="F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</row>
    <row r="227" spans="1:62" x14ac:dyDescent="0.25">
      <c r="A227" s="1"/>
      <c r="B227" s="2"/>
      <c r="C227" s="2"/>
      <c r="D227" s="1"/>
      <c r="E227" s="1"/>
      <c r="F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</row>
    <row r="228" spans="1:62" x14ac:dyDescent="0.25">
      <c r="A228" s="1"/>
      <c r="B228" s="2"/>
      <c r="C228" s="2"/>
      <c r="D228" s="1"/>
      <c r="E228" s="1"/>
      <c r="F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</row>
    <row r="229" spans="1:62" x14ac:dyDescent="0.25">
      <c r="A229" s="1"/>
      <c r="B229" s="2"/>
      <c r="C229" s="2"/>
      <c r="D229" s="1"/>
      <c r="E229" s="1"/>
      <c r="F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</row>
    <row r="230" spans="1:62" x14ac:dyDescent="0.25">
      <c r="A230" s="1"/>
      <c r="B230" s="2"/>
      <c r="C230" s="2"/>
      <c r="D230" s="1"/>
      <c r="E230" s="1"/>
      <c r="F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</row>
    <row r="231" spans="1:62" x14ac:dyDescent="0.25">
      <c r="A231" s="1"/>
      <c r="B231" s="2"/>
      <c r="C231" s="2"/>
      <c r="D231" s="1"/>
      <c r="E231" s="1"/>
      <c r="F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</row>
    <row r="232" spans="1:62" x14ac:dyDescent="0.25">
      <c r="A232" s="1"/>
      <c r="B232" s="2"/>
      <c r="C232" s="2"/>
      <c r="D232" s="1"/>
      <c r="E232" s="1"/>
      <c r="F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</row>
    <row r="233" spans="1:62" x14ac:dyDescent="0.25">
      <c r="A233" s="1"/>
      <c r="B233" s="2"/>
      <c r="C233" s="2"/>
      <c r="D233" s="1"/>
      <c r="E233" s="1"/>
      <c r="F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</row>
    <row r="234" spans="1:62" x14ac:dyDescent="0.25">
      <c r="A234" s="1"/>
      <c r="B234" s="2"/>
      <c r="C234" s="2"/>
      <c r="D234" s="1"/>
      <c r="E234" s="1"/>
      <c r="F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</row>
    <row r="235" spans="1:62" x14ac:dyDescent="0.25">
      <c r="A235" s="1"/>
      <c r="B235" s="2"/>
      <c r="C235" s="2"/>
      <c r="D235" s="1"/>
      <c r="E235" s="1"/>
      <c r="F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</row>
    <row r="236" spans="1:62" x14ac:dyDescent="0.25">
      <c r="A236" s="1"/>
      <c r="B236" s="2"/>
      <c r="C236" s="2"/>
      <c r="D236" s="1"/>
      <c r="E236" s="1"/>
      <c r="F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</row>
    <row r="237" spans="1:62" x14ac:dyDescent="0.25">
      <c r="A237" s="1"/>
      <c r="B237" s="2"/>
      <c r="C237" s="2"/>
      <c r="D237" s="1"/>
      <c r="E237" s="1"/>
      <c r="F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</row>
    <row r="238" spans="1:62" x14ac:dyDescent="0.25">
      <c r="A238" s="1"/>
      <c r="B238" s="2"/>
      <c r="C238" s="2"/>
      <c r="D238" s="1"/>
      <c r="E238" s="1"/>
      <c r="F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</row>
    <row r="239" spans="1:62" x14ac:dyDescent="0.25">
      <c r="A239" s="1"/>
      <c r="B239" s="2"/>
      <c r="C239" s="2"/>
      <c r="D239" s="1"/>
      <c r="E239" s="1"/>
      <c r="F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</row>
    <row r="240" spans="1:62" x14ac:dyDescent="0.25">
      <c r="A240" s="1"/>
      <c r="B240" s="2"/>
      <c r="C240" s="2"/>
      <c r="D240" s="1"/>
      <c r="E240" s="1"/>
      <c r="F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</row>
    <row r="241" spans="1:62" x14ac:dyDescent="0.25">
      <c r="A241" s="1"/>
      <c r="B241" s="2"/>
      <c r="C241" s="2"/>
      <c r="D241" s="1"/>
      <c r="E241" s="1"/>
      <c r="F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</row>
    <row r="242" spans="1:62" x14ac:dyDescent="0.25">
      <c r="A242" s="1"/>
      <c r="B242" s="2"/>
      <c r="C242" s="2"/>
      <c r="D242" s="1"/>
      <c r="E242" s="1"/>
      <c r="F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</row>
    <row r="243" spans="1:62" x14ac:dyDescent="0.25">
      <c r="A243" s="1"/>
      <c r="B243" s="2"/>
      <c r="C243" s="2"/>
      <c r="D243" s="1"/>
      <c r="E243" s="1"/>
      <c r="F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</row>
    <row r="244" spans="1:62" x14ac:dyDescent="0.25">
      <c r="A244" s="1"/>
      <c r="B244" s="2"/>
      <c r="C244" s="2"/>
      <c r="D244" s="1"/>
      <c r="E244" s="1"/>
      <c r="F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</row>
    <row r="245" spans="1:62" x14ac:dyDescent="0.25">
      <c r="A245" s="1"/>
      <c r="B245" s="2"/>
      <c r="C245" s="2"/>
      <c r="D245" s="1"/>
      <c r="E245" s="1"/>
      <c r="F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</row>
    <row r="246" spans="1:62" x14ac:dyDescent="0.25">
      <c r="A246" s="1"/>
      <c r="B246" s="2"/>
      <c r="C246" s="2"/>
      <c r="D246" s="1"/>
      <c r="E246" s="1"/>
      <c r="F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</row>
    <row r="247" spans="1:62" x14ac:dyDescent="0.25">
      <c r="A247" s="1"/>
      <c r="B247" s="2"/>
      <c r="C247" s="2"/>
      <c r="D247" s="1"/>
      <c r="E247" s="1"/>
      <c r="F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</row>
    <row r="248" spans="1:62" x14ac:dyDescent="0.25">
      <c r="A248" s="1"/>
      <c r="B248" s="2"/>
      <c r="C248" s="2"/>
      <c r="D248" s="1"/>
      <c r="E248" s="1"/>
      <c r="F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</row>
    <row r="249" spans="1:62" x14ac:dyDescent="0.25">
      <c r="A249" s="1"/>
      <c r="B249" s="2"/>
      <c r="C249" s="2"/>
      <c r="D249" s="1"/>
      <c r="E249" s="1"/>
      <c r="F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</row>
    <row r="250" spans="1:62" x14ac:dyDescent="0.25">
      <c r="A250" s="1"/>
      <c r="B250" s="2"/>
      <c r="C250" s="2"/>
      <c r="D250" s="1"/>
      <c r="E250" s="1"/>
      <c r="F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</row>
    <row r="251" spans="1:62" x14ac:dyDescent="0.25">
      <c r="A251" s="1"/>
      <c r="B251" s="2"/>
      <c r="C251" s="2"/>
      <c r="D251" s="1"/>
      <c r="E251" s="1"/>
      <c r="F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</row>
    <row r="252" spans="1:62" x14ac:dyDescent="0.25">
      <c r="A252" s="1"/>
      <c r="B252" s="2"/>
      <c r="C252" s="2"/>
      <c r="D252" s="1"/>
      <c r="E252" s="1"/>
      <c r="F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</row>
    <row r="253" spans="1:62" x14ac:dyDescent="0.25">
      <c r="A253" s="1"/>
      <c r="B253" s="2"/>
      <c r="C253" s="2"/>
      <c r="D253" s="1"/>
      <c r="E253" s="1"/>
      <c r="F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</row>
    <row r="254" spans="1:62" x14ac:dyDescent="0.25">
      <c r="A254" s="1"/>
      <c r="B254" s="2"/>
      <c r="C254" s="2"/>
      <c r="D254" s="1"/>
      <c r="E254" s="1"/>
      <c r="F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</row>
    <row r="255" spans="1:62" x14ac:dyDescent="0.25">
      <c r="A255" s="1"/>
      <c r="B255" s="2"/>
      <c r="C255" s="2"/>
      <c r="D255" s="1"/>
      <c r="E255" s="1"/>
      <c r="F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</row>
    <row r="256" spans="1:62" x14ac:dyDescent="0.25">
      <c r="A256" s="1"/>
      <c r="B256" s="2"/>
      <c r="C256" s="2"/>
      <c r="D256" s="1"/>
      <c r="E256" s="1"/>
      <c r="F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</row>
    <row r="257" spans="1:62" x14ac:dyDescent="0.25">
      <c r="A257" s="1"/>
      <c r="B257" s="2"/>
      <c r="C257" s="2"/>
      <c r="D257" s="1"/>
      <c r="E257" s="1"/>
      <c r="F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</row>
    <row r="258" spans="1:62" x14ac:dyDescent="0.25">
      <c r="A258" s="1"/>
      <c r="B258" s="2"/>
      <c r="C258" s="2"/>
      <c r="D258" s="1"/>
      <c r="E258" s="1"/>
      <c r="F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</row>
    <row r="259" spans="1:62" x14ac:dyDescent="0.25">
      <c r="A259" s="1"/>
      <c r="B259" s="2"/>
      <c r="C259" s="2"/>
      <c r="D259" s="1"/>
      <c r="E259" s="1"/>
      <c r="F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</row>
    <row r="260" spans="1:62" x14ac:dyDescent="0.25">
      <c r="A260" s="1"/>
      <c r="B260" s="2"/>
      <c r="C260" s="2"/>
      <c r="D260" s="1"/>
      <c r="E260" s="1"/>
      <c r="F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</row>
    <row r="261" spans="1:62" x14ac:dyDescent="0.25">
      <c r="A261" s="1"/>
      <c r="B261" s="2"/>
      <c r="C261" s="2"/>
      <c r="D261" s="1"/>
      <c r="E261" s="1"/>
      <c r="F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</row>
    <row r="262" spans="1:62" x14ac:dyDescent="0.25">
      <c r="A262" s="1"/>
      <c r="B262" s="2"/>
      <c r="C262" s="2"/>
      <c r="D262" s="1"/>
      <c r="E262" s="1"/>
      <c r="F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</row>
    <row r="263" spans="1:62" x14ac:dyDescent="0.25">
      <c r="A263" s="1"/>
      <c r="B263" s="2"/>
      <c r="C263" s="2"/>
      <c r="D263" s="1"/>
      <c r="E263" s="1"/>
      <c r="F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</row>
    <row r="264" spans="1:62" x14ac:dyDescent="0.25">
      <c r="A264" s="1"/>
      <c r="B264" s="2"/>
      <c r="C264" s="2"/>
      <c r="D264" s="1"/>
      <c r="E264" s="1"/>
      <c r="F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</row>
    <row r="265" spans="1:62" x14ac:dyDescent="0.25">
      <c r="A265" s="1"/>
      <c r="B265" s="2"/>
      <c r="C265" s="2"/>
      <c r="D265" s="1"/>
      <c r="E265" s="1"/>
      <c r="F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</row>
    <row r="266" spans="1:62" x14ac:dyDescent="0.25">
      <c r="A266" s="1"/>
      <c r="B266" s="2"/>
      <c r="C266" s="2"/>
      <c r="D266" s="1"/>
      <c r="E266" s="1"/>
      <c r="F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</row>
    <row r="267" spans="1:62" x14ac:dyDescent="0.25">
      <c r="A267" s="1"/>
      <c r="B267" s="2"/>
      <c r="C267" s="2"/>
      <c r="D267" s="1"/>
      <c r="E267" s="1"/>
      <c r="F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</row>
    <row r="268" spans="1:62" x14ac:dyDescent="0.25">
      <c r="A268" s="1"/>
      <c r="B268" s="2"/>
      <c r="C268" s="2"/>
      <c r="D268" s="1"/>
      <c r="E268" s="1"/>
      <c r="F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</row>
    <row r="269" spans="1:62" x14ac:dyDescent="0.25">
      <c r="A269" s="1"/>
      <c r="B269" s="2"/>
      <c r="C269" s="2"/>
      <c r="D269" s="1"/>
      <c r="E269" s="1"/>
      <c r="F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</row>
    <row r="270" spans="1:62" x14ac:dyDescent="0.25">
      <c r="A270" s="1"/>
      <c r="B270" s="2"/>
      <c r="C270" s="2"/>
      <c r="D270" s="1"/>
      <c r="E270" s="1"/>
      <c r="F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</row>
    <row r="271" spans="1:62" x14ac:dyDescent="0.25">
      <c r="A271" s="1"/>
      <c r="B271" s="2"/>
      <c r="C271" s="2"/>
      <c r="D271" s="1"/>
      <c r="E271" s="1"/>
      <c r="F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</row>
    <row r="272" spans="1:62" x14ac:dyDescent="0.25">
      <c r="A272" s="1"/>
      <c r="B272" s="2"/>
      <c r="C272" s="2"/>
      <c r="D272" s="1"/>
      <c r="E272" s="1"/>
      <c r="F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</row>
    <row r="273" spans="1:62" x14ac:dyDescent="0.25">
      <c r="A273" s="1"/>
      <c r="B273" s="2"/>
      <c r="C273" s="2"/>
      <c r="D273" s="1"/>
      <c r="E273" s="1"/>
      <c r="F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</row>
    <row r="274" spans="1:62" x14ac:dyDescent="0.25">
      <c r="A274" s="1"/>
      <c r="B274" s="2"/>
      <c r="C274" s="2"/>
      <c r="D274" s="1"/>
      <c r="E274" s="1"/>
      <c r="F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</row>
    <row r="275" spans="1:62" x14ac:dyDescent="0.25">
      <c r="A275" s="1"/>
      <c r="B275" s="2"/>
      <c r="C275" s="2"/>
      <c r="D275" s="1"/>
      <c r="E275" s="1"/>
      <c r="F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</row>
    <row r="276" spans="1:62" x14ac:dyDescent="0.25">
      <c r="A276" s="1"/>
      <c r="B276" s="2"/>
      <c r="C276" s="2"/>
      <c r="D276" s="1"/>
      <c r="E276" s="1"/>
      <c r="F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</row>
    <row r="277" spans="1:62" x14ac:dyDescent="0.25">
      <c r="A277" s="1"/>
      <c r="B277" s="2"/>
      <c r="C277" s="2"/>
      <c r="D277" s="1"/>
      <c r="E277" s="1"/>
      <c r="F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</row>
    <row r="278" spans="1:62" x14ac:dyDescent="0.25">
      <c r="A278" s="1"/>
      <c r="B278" s="2"/>
      <c r="C278" s="2"/>
      <c r="D278" s="1"/>
      <c r="E278" s="1"/>
      <c r="F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</row>
    <row r="279" spans="1:62" x14ac:dyDescent="0.25">
      <c r="A279" s="1"/>
      <c r="B279" s="2"/>
      <c r="C279" s="2"/>
      <c r="D279" s="1"/>
      <c r="E279" s="1"/>
      <c r="F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</row>
    <row r="280" spans="1:62" x14ac:dyDescent="0.25">
      <c r="A280" s="1"/>
      <c r="B280" s="2"/>
      <c r="C280" s="2"/>
      <c r="D280" s="1"/>
      <c r="E280" s="1"/>
      <c r="F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</row>
    <row r="281" spans="1:62" x14ac:dyDescent="0.25">
      <c r="A281" s="1"/>
      <c r="B281" s="2"/>
      <c r="C281" s="2"/>
      <c r="D281" s="1"/>
      <c r="E281" s="1"/>
      <c r="F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</row>
    <row r="282" spans="1:62" x14ac:dyDescent="0.25">
      <c r="A282" s="1"/>
      <c r="B282" s="2"/>
      <c r="C282" s="2"/>
      <c r="D282" s="1"/>
      <c r="E282" s="1"/>
      <c r="F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</row>
    <row r="283" spans="1:62" x14ac:dyDescent="0.25">
      <c r="A283" s="1"/>
      <c r="B283" s="2"/>
      <c r="C283" s="2"/>
      <c r="D283" s="1"/>
      <c r="E283" s="1"/>
      <c r="F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</row>
    <row r="284" spans="1:62" x14ac:dyDescent="0.25">
      <c r="A284" s="1"/>
      <c r="B284" s="2"/>
      <c r="C284" s="2"/>
      <c r="D284" s="1"/>
      <c r="E284" s="1"/>
      <c r="F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</row>
    <row r="285" spans="1:62" x14ac:dyDescent="0.25">
      <c r="A285" s="1"/>
      <c r="B285" s="2"/>
      <c r="C285" s="2"/>
      <c r="D285" s="1"/>
      <c r="E285" s="1"/>
      <c r="F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</row>
    <row r="286" spans="1:62" x14ac:dyDescent="0.25">
      <c r="A286" s="1"/>
      <c r="B286" s="2"/>
      <c r="C286" s="2"/>
      <c r="D286" s="1"/>
      <c r="E286" s="1"/>
      <c r="F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</row>
    <row r="287" spans="1:62" x14ac:dyDescent="0.25">
      <c r="A287" s="1"/>
      <c r="B287" s="2"/>
      <c r="C287" s="2"/>
      <c r="D287" s="1"/>
      <c r="E287" s="1"/>
      <c r="F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</row>
    <row r="288" spans="1:62" x14ac:dyDescent="0.25">
      <c r="A288" s="1"/>
      <c r="B288" s="2"/>
      <c r="C288" s="2"/>
      <c r="D288" s="1"/>
      <c r="E288" s="1"/>
      <c r="F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</row>
    <row r="289" spans="1:62" x14ac:dyDescent="0.25">
      <c r="A289" s="1"/>
      <c r="B289" s="2"/>
      <c r="C289" s="2"/>
      <c r="D289" s="1"/>
      <c r="E289" s="1"/>
      <c r="F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</row>
    <row r="290" spans="1:62" x14ac:dyDescent="0.25">
      <c r="A290" s="1"/>
      <c r="B290" s="2"/>
      <c r="C290" s="2"/>
      <c r="D290" s="1"/>
      <c r="E290" s="1"/>
      <c r="F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</row>
    <row r="291" spans="1:62" x14ac:dyDescent="0.25">
      <c r="A291" s="1"/>
      <c r="B291" s="2"/>
      <c r="C291" s="2"/>
      <c r="D291" s="1"/>
      <c r="E291" s="1"/>
      <c r="F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</row>
    <row r="292" spans="1:62" x14ac:dyDescent="0.25">
      <c r="A292" s="1"/>
      <c r="B292" s="2"/>
      <c r="C292" s="2"/>
      <c r="D292" s="1"/>
      <c r="E292" s="1"/>
      <c r="F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</row>
    <row r="293" spans="1:62" x14ac:dyDescent="0.25">
      <c r="A293" s="1"/>
      <c r="B293" s="2"/>
      <c r="C293" s="2"/>
      <c r="D293" s="1"/>
      <c r="E293" s="1"/>
      <c r="F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</row>
    <row r="294" spans="1:62" x14ac:dyDescent="0.25">
      <c r="A294" s="1"/>
      <c r="B294" s="2"/>
      <c r="C294" s="2"/>
      <c r="D294" s="1"/>
      <c r="E294" s="1"/>
      <c r="F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</row>
    <row r="295" spans="1:62" x14ac:dyDescent="0.25">
      <c r="A295" s="1"/>
      <c r="B295" s="2"/>
      <c r="C295" s="2"/>
      <c r="D295" s="1"/>
      <c r="E295" s="1"/>
      <c r="F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</row>
    <row r="296" spans="1:62" x14ac:dyDescent="0.25">
      <c r="A296" s="1"/>
      <c r="B296" s="2"/>
      <c r="C296" s="2"/>
      <c r="D296" s="1"/>
      <c r="E296" s="1"/>
      <c r="F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</row>
    <row r="297" spans="1:62" x14ac:dyDescent="0.25">
      <c r="A297" s="1"/>
      <c r="B297" s="2"/>
      <c r="C297" s="2"/>
      <c r="D297" s="1"/>
      <c r="E297" s="1"/>
      <c r="F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</row>
    <row r="298" spans="1:62" x14ac:dyDescent="0.25">
      <c r="A298" s="1"/>
      <c r="B298" s="2"/>
      <c r="C298" s="2"/>
      <c r="D298" s="1"/>
      <c r="E298" s="1"/>
      <c r="F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</row>
    <row r="299" spans="1:62" x14ac:dyDescent="0.25">
      <c r="A299" s="1"/>
      <c r="B299" s="2"/>
      <c r="C299" s="2"/>
      <c r="D299" s="1"/>
      <c r="E299" s="1"/>
      <c r="F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</row>
    <row r="300" spans="1:62" x14ac:dyDescent="0.25">
      <c r="A300" s="1"/>
      <c r="B300" s="2"/>
      <c r="C300" s="2"/>
      <c r="D300" s="1"/>
      <c r="E300" s="1"/>
      <c r="F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</row>
    <row r="301" spans="1:62" x14ac:dyDescent="0.25">
      <c r="A301" s="1"/>
      <c r="B301" s="2"/>
      <c r="C301" s="2"/>
      <c r="D301" s="1"/>
      <c r="E301" s="1"/>
      <c r="F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</row>
    <row r="302" spans="1:62" x14ac:dyDescent="0.25">
      <c r="A302" s="1"/>
      <c r="B302" s="2"/>
      <c r="C302" s="2"/>
      <c r="D302" s="1"/>
      <c r="E302" s="1"/>
      <c r="F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</row>
    <row r="303" spans="1:62" x14ac:dyDescent="0.25">
      <c r="A303" s="1"/>
      <c r="B303" s="2"/>
      <c r="C303" s="2"/>
      <c r="D303" s="1"/>
      <c r="E303" s="1"/>
      <c r="F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</row>
    <row r="304" spans="1:62" x14ac:dyDescent="0.25">
      <c r="A304" s="1"/>
      <c r="B304" s="2"/>
      <c r="C304" s="2"/>
      <c r="D304" s="1"/>
      <c r="E304" s="1"/>
      <c r="F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</row>
    <row r="305" spans="1:62" x14ac:dyDescent="0.25">
      <c r="A305" s="1"/>
      <c r="B305" s="2"/>
      <c r="C305" s="2"/>
      <c r="D305" s="1"/>
      <c r="E305" s="1"/>
      <c r="F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</row>
    <row r="306" spans="1:62" x14ac:dyDescent="0.25">
      <c r="A306" s="1"/>
      <c r="B306" s="2"/>
      <c r="C306" s="2"/>
      <c r="D306" s="1"/>
      <c r="E306" s="1"/>
      <c r="F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</row>
    <row r="307" spans="1:62" x14ac:dyDescent="0.25">
      <c r="A307" s="1"/>
      <c r="B307" s="2"/>
      <c r="C307" s="2"/>
      <c r="D307" s="1"/>
      <c r="E307" s="1"/>
      <c r="F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</row>
    <row r="308" spans="1:62" x14ac:dyDescent="0.25">
      <c r="A308" s="1"/>
      <c r="B308" s="2"/>
      <c r="C308" s="2"/>
      <c r="D308" s="1"/>
      <c r="E308" s="1"/>
      <c r="F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</row>
    <row r="309" spans="1:62" x14ac:dyDescent="0.25">
      <c r="A309" s="1"/>
      <c r="B309" s="2"/>
      <c r="C309" s="2"/>
      <c r="D309" s="1"/>
      <c r="E309" s="1"/>
      <c r="F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</row>
    <row r="310" spans="1:62" x14ac:dyDescent="0.25">
      <c r="A310" s="1"/>
      <c r="B310" s="2"/>
      <c r="C310" s="2"/>
      <c r="D310" s="1"/>
      <c r="E310" s="1"/>
      <c r="F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</row>
    <row r="311" spans="1:62" x14ac:dyDescent="0.25">
      <c r="A311" s="1"/>
      <c r="B311" s="2"/>
      <c r="C311" s="2"/>
      <c r="D311" s="1"/>
      <c r="E311" s="1"/>
      <c r="F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</row>
    <row r="312" spans="1:62" x14ac:dyDescent="0.25">
      <c r="A312" s="1"/>
      <c r="B312" s="2"/>
      <c r="C312" s="2"/>
      <c r="D312" s="1"/>
      <c r="E312" s="1"/>
      <c r="F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</row>
    <row r="313" spans="1:62" x14ac:dyDescent="0.25">
      <c r="A313" s="1"/>
      <c r="B313" s="2"/>
      <c r="C313" s="2"/>
      <c r="D313" s="1"/>
      <c r="E313" s="1"/>
      <c r="F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</row>
    <row r="314" spans="1:62" x14ac:dyDescent="0.25">
      <c r="A314" s="1"/>
      <c r="B314" s="2"/>
      <c r="C314" s="2"/>
      <c r="D314" s="1"/>
      <c r="E314" s="1"/>
      <c r="F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</row>
    <row r="315" spans="1:62" x14ac:dyDescent="0.25">
      <c r="A315" s="1"/>
      <c r="B315" s="2"/>
      <c r="C315" s="2"/>
      <c r="D315" s="1"/>
      <c r="E315" s="1"/>
      <c r="F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</row>
    <row r="316" spans="1:62" x14ac:dyDescent="0.25">
      <c r="A316" s="1"/>
      <c r="B316" s="2"/>
      <c r="C316" s="2"/>
      <c r="D316" s="1"/>
      <c r="E316" s="1"/>
      <c r="F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</row>
    <row r="317" spans="1:62" x14ac:dyDescent="0.25">
      <c r="A317" s="1"/>
      <c r="B317" s="2"/>
      <c r="C317" s="2"/>
      <c r="D317" s="1"/>
      <c r="E317" s="1"/>
      <c r="F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</row>
    <row r="318" spans="1:62" x14ac:dyDescent="0.25">
      <c r="A318" s="1"/>
      <c r="B318" s="2"/>
      <c r="C318" s="2"/>
      <c r="D318" s="1"/>
      <c r="E318" s="1"/>
      <c r="F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</row>
    <row r="319" spans="1:62" x14ac:dyDescent="0.25">
      <c r="A319" s="1"/>
      <c r="B319" s="2"/>
      <c r="C319" s="2"/>
      <c r="D319" s="1"/>
      <c r="E319" s="1"/>
      <c r="F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</row>
    <row r="320" spans="1:62" x14ac:dyDescent="0.25">
      <c r="A320" s="1"/>
      <c r="B320" s="2"/>
      <c r="C320" s="2"/>
      <c r="D320" s="1"/>
      <c r="E320" s="1"/>
      <c r="F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</row>
    <row r="321" spans="1:62" x14ac:dyDescent="0.25">
      <c r="A321" s="1"/>
      <c r="B321" s="2"/>
      <c r="C321" s="2"/>
      <c r="D321" s="1"/>
      <c r="E321" s="1"/>
      <c r="F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</row>
    <row r="322" spans="1:62" x14ac:dyDescent="0.25">
      <c r="A322" s="1"/>
      <c r="B322" s="2"/>
      <c r="C322" s="2"/>
      <c r="D322" s="1"/>
      <c r="E322" s="1"/>
      <c r="F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</row>
    <row r="323" spans="1:62" x14ac:dyDescent="0.25">
      <c r="A323" s="1"/>
      <c r="B323" s="2"/>
      <c r="C323" s="2"/>
      <c r="D323" s="1"/>
      <c r="E323" s="1"/>
      <c r="F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</row>
    <row r="324" spans="1:62" x14ac:dyDescent="0.25">
      <c r="A324" s="1"/>
      <c r="B324" s="2"/>
      <c r="C324" s="2"/>
      <c r="D324" s="1"/>
      <c r="E324" s="1"/>
      <c r="F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</row>
    <row r="325" spans="1:62" x14ac:dyDescent="0.25">
      <c r="A325" s="1"/>
      <c r="B325" s="2"/>
      <c r="C325" s="2"/>
      <c r="D325" s="1"/>
      <c r="E325" s="1"/>
      <c r="F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</row>
    <row r="326" spans="1:62" x14ac:dyDescent="0.25">
      <c r="A326" s="1"/>
      <c r="B326" s="2"/>
      <c r="C326" s="2"/>
      <c r="D326" s="1"/>
      <c r="E326" s="1"/>
      <c r="F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</row>
    <row r="327" spans="1:62" x14ac:dyDescent="0.25">
      <c r="A327" s="1"/>
      <c r="B327" s="2"/>
      <c r="C327" s="2"/>
      <c r="D327" s="1"/>
      <c r="E327" s="1"/>
      <c r="F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</row>
    <row r="328" spans="1:62" x14ac:dyDescent="0.25">
      <c r="A328" s="1"/>
      <c r="B328" s="2"/>
      <c r="C328" s="2"/>
      <c r="D328" s="1"/>
      <c r="E328" s="1"/>
      <c r="F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</row>
    <row r="329" spans="1:62" x14ac:dyDescent="0.25">
      <c r="A329" s="1"/>
      <c r="B329" s="2"/>
      <c r="C329" s="2"/>
      <c r="D329" s="1"/>
      <c r="E329" s="1"/>
      <c r="F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</row>
    <row r="330" spans="1:62" x14ac:dyDescent="0.25">
      <c r="A330" s="1"/>
      <c r="B330" s="2"/>
      <c r="C330" s="2"/>
      <c r="D330" s="1"/>
      <c r="E330" s="1"/>
      <c r="F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</row>
    <row r="331" spans="1:62" x14ac:dyDescent="0.25">
      <c r="A331" s="1"/>
      <c r="B331" s="2"/>
      <c r="C331" s="2"/>
      <c r="D331" s="1"/>
      <c r="E331" s="1"/>
      <c r="F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</row>
    <row r="332" spans="1:62" x14ac:dyDescent="0.25">
      <c r="A332" s="1"/>
      <c r="B332" s="2"/>
      <c r="C332" s="2"/>
      <c r="D332" s="1"/>
      <c r="E332" s="1"/>
      <c r="F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</row>
    <row r="333" spans="1:62" x14ac:dyDescent="0.25">
      <c r="A333" s="1"/>
      <c r="B333" s="2"/>
      <c r="C333" s="2"/>
      <c r="D333" s="1"/>
      <c r="E333" s="1"/>
      <c r="F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</row>
    <row r="334" spans="1:62" x14ac:dyDescent="0.25">
      <c r="A334" s="1"/>
      <c r="B334" s="2"/>
      <c r="C334" s="2"/>
      <c r="D334" s="1"/>
      <c r="E334" s="1"/>
      <c r="F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</row>
    <row r="335" spans="1:62" x14ac:dyDescent="0.25">
      <c r="A335" s="1"/>
      <c r="B335" s="2"/>
      <c r="C335" s="2"/>
      <c r="D335" s="1"/>
      <c r="E335" s="1"/>
      <c r="F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</row>
    <row r="336" spans="1:62" x14ac:dyDescent="0.25">
      <c r="A336" s="1"/>
      <c r="B336" s="2"/>
      <c r="C336" s="2"/>
      <c r="D336" s="1"/>
      <c r="E336" s="1"/>
      <c r="F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</row>
    <row r="337" spans="1:62" x14ac:dyDescent="0.25">
      <c r="A337" s="1"/>
      <c r="B337" s="2"/>
      <c r="C337" s="2"/>
      <c r="D337" s="1"/>
      <c r="E337" s="1"/>
      <c r="F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</row>
    <row r="338" spans="1:62" x14ac:dyDescent="0.25">
      <c r="A338" s="1"/>
      <c r="B338" s="2"/>
      <c r="C338" s="2"/>
      <c r="D338" s="1"/>
      <c r="E338" s="1"/>
      <c r="F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</row>
    <row r="339" spans="1:62" x14ac:dyDescent="0.25">
      <c r="A339" s="1"/>
      <c r="B339" s="2"/>
      <c r="C339" s="2"/>
      <c r="D339" s="1"/>
      <c r="E339" s="1"/>
      <c r="F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</row>
    <row r="340" spans="1:62" x14ac:dyDescent="0.25">
      <c r="A340" s="1"/>
      <c r="B340" s="2"/>
      <c r="C340" s="2"/>
      <c r="D340" s="1"/>
      <c r="E340" s="1"/>
      <c r="F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</row>
    <row r="341" spans="1:62" x14ac:dyDescent="0.25">
      <c r="A341" s="1"/>
      <c r="B341" s="2"/>
      <c r="C341" s="2"/>
      <c r="D341" s="1"/>
      <c r="E341" s="1"/>
      <c r="F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</row>
    <row r="342" spans="1:62" x14ac:dyDescent="0.25">
      <c r="A342" s="1"/>
      <c r="B342" s="2"/>
      <c r="C342" s="2"/>
      <c r="D342" s="1"/>
      <c r="E342" s="1"/>
      <c r="F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</row>
    <row r="343" spans="1:62" x14ac:dyDescent="0.25">
      <c r="A343" s="1"/>
      <c r="B343" s="2"/>
      <c r="C343" s="2"/>
      <c r="D343" s="1"/>
      <c r="E343" s="1"/>
      <c r="F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</row>
    <row r="344" spans="1:62" x14ac:dyDescent="0.25">
      <c r="A344" s="1"/>
      <c r="B344" s="2"/>
      <c r="C344" s="2"/>
      <c r="D344" s="1"/>
      <c r="E344" s="1"/>
      <c r="F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</row>
    <row r="345" spans="1:62" x14ac:dyDescent="0.25">
      <c r="A345" s="1"/>
      <c r="B345" s="2"/>
      <c r="C345" s="2"/>
      <c r="D345" s="1"/>
      <c r="E345" s="1"/>
      <c r="F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</row>
    <row r="346" spans="1:62" x14ac:dyDescent="0.25">
      <c r="A346" s="1"/>
      <c r="B346" s="2"/>
      <c r="C346" s="2"/>
      <c r="D346" s="1"/>
      <c r="E346" s="1"/>
      <c r="F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</row>
    <row r="347" spans="1:62" x14ac:dyDescent="0.25">
      <c r="A347" s="1"/>
      <c r="B347" s="2"/>
      <c r="C347" s="2"/>
      <c r="D347" s="1"/>
      <c r="E347" s="1"/>
      <c r="F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</row>
    <row r="348" spans="1:62" x14ac:dyDescent="0.25">
      <c r="A348" s="1"/>
      <c r="B348" s="2"/>
      <c r="C348" s="2"/>
      <c r="D348" s="1"/>
      <c r="E348" s="1"/>
      <c r="F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</row>
    <row r="349" spans="1:62" x14ac:dyDescent="0.25">
      <c r="A349" s="1"/>
      <c r="B349" s="2"/>
      <c r="C349" s="2"/>
      <c r="D349" s="1"/>
      <c r="E349" s="1"/>
      <c r="F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</row>
    <row r="350" spans="1:62" x14ac:dyDescent="0.25">
      <c r="A350" s="1"/>
      <c r="B350" s="2"/>
      <c r="C350" s="2"/>
      <c r="D350" s="1"/>
      <c r="E350" s="1"/>
      <c r="F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</row>
    <row r="351" spans="1:62" x14ac:dyDescent="0.25">
      <c r="A351" s="1"/>
      <c r="B351" s="2"/>
      <c r="C351" s="2"/>
      <c r="D351" s="1"/>
      <c r="E351" s="1"/>
      <c r="F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</row>
    <row r="352" spans="1:62" x14ac:dyDescent="0.25">
      <c r="A352" s="1"/>
      <c r="B352" s="2"/>
      <c r="C352" s="2"/>
      <c r="D352" s="1"/>
      <c r="E352" s="1"/>
      <c r="F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</row>
    <row r="353" spans="1:62" x14ac:dyDescent="0.25">
      <c r="A353" s="1"/>
      <c r="B353" s="2"/>
      <c r="C353" s="2"/>
      <c r="D353" s="1"/>
      <c r="E353" s="1"/>
      <c r="F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</row>
    <row r="354" spans="1:62" x14ac:dyDescent="0.25">
      <c r="A354" s="1"/>
      <c r="B354" s="2"/>
      <c r="C354" s="2"/>
      <c r="D354" s="1"/>
      <c r="E354" s="1"/>
      <c r="F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</row>
    <row r="355" spans="1:62" x14ac:dyDescent="0.25">
      <c r="A355" s="1"/>
      <c r="B355" s="2"/>
      <c r="C355" s="2"/>
      <c r="D355" s="1"/>
      <c r="E355" s="1"/>
      <c r="F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</row>
    <row r="356" spans="1:62" x14ac:dyDescent="0.25">
      <c r="A356" s="1"/>
      <c r="B356" s="2"/>
      <c r="C356" s="2"/>
      <c r="D356" s="1"/>
      <c r="E356" s="1"/>
      <c r="F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</row>
    <row r="357" spans="1:62" x14ac:dyDescent="0.25">
      <c r="A357" s="1"/>
      <c r="B357" s="2"/>
      <c r="C357" s="2"/>
      <c r="D357" s="1"/>
      <c r="E357" s="1"/>
      <c r="F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</row>
    <row r="358" spans="1:62" x14ac:dyDescent="0.25">
      <c r="A358" s="1"/>
      <c r="B358" s="2"/>
      <c r="C358" s="2"/>
      <c r="D358" s="1"/>
      <c r="E358" s="1"/>
      <c r="F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</row>
    <row r="359" spans="1:62" x14ac:dyDescent="0.25">
      <c r="A359" s="1"/>
      <c r="B359" s="2"/>
      <c r="C359" s="2"/>
      <c r="D359" s="1"/>
      <c r="E359" s="1"/>
      <c r="F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</row>
    <row r="360" spans="1:62" x14ac:dyDescent="0.25">
      <c r="A360" s="1"/>
      <c r="B360" s="2"/>
      <c r="C360" s="2"/>
      <c r="D360" s="1"/>
      <c r="E360" s="1"/>
      <c r="F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</row>
    <row r="361" spans="1:62" x14ac:dyDescent="0.25">
      <c r="A361" s="1"/>
      <c r="B361" s="2"/>
      <c r="C361" s="2"/>
      <c r="D361" s="1"/>
      <c r="E361" s="1"/>
      <c r="F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</row>
    <row r="362" spans="1:62" x14ac:dyDescent="0.25">
      <c r="A362" s="1"/>
      <c r="B362" s="2"/>
      <c r="C362" s="2"/>
      <c r="D362" s="1"/>
      <c r="E362" s="1"/>
      <c r="F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</row>
    <row r="363" spans="1:62" x14ac:dyDescent="0.25">
      <c r="A363" s="1"/>
      <c r="B363" s="2"/>
      <c r="C363" s="2"/>
      <c r="D363" s="1"/>
      <c r="E363" s="1"/>
      <c r="F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</row>
    <row r="364" spans="1:62" x14ac:dyDescent="0.25">
      <c r="A364" s="1"/>
      <c r="B364" s="2"/>
      <c r="C364" s="2"/>
      <c r="D364" s="1"/>
      <c r="E364" s="1"/>
      <c r="F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</row>
    <row r="365" spans="1:62" x14ac:dyDescent="0.25">
      <c r="A365" s="1"/>
      <c r="B365" s="2"/>
      <c r="C365" s="2"/>
      <c r="D365" s="1"/>
      <c r="E365" s="1"/>
      <c r="F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</row>
    <row r="366" spans="1:62" x14ac:dyDescent="0.25">
      <c r="A366" s="1"/>
      <c r="B366" s="2"/>
      <c r="C366" s="2"/>
      <c r="D366" s="1"/>
      <c r="E366" s="1"/>
      <c r="F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</row>
    <row r="367" spans="1:62" x14ac:dyDescent="0.25">
      <c r="A367" s="1"/>
      <c r="B367" s="2"/>
      <c r="C367" s="2"/>
      <c r="D367" s="1"/>
      <c r="E367" s="1"/>
      <c r="F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</row>
    <row r="368" spans="1:62" x14ac:dyDescent="0.25">
      <c r="A368" s="1"/>
      <c r="B368" s="2"/>
      <c r="C368" s="2"/>
      <c r="D368" s="1"/>
      <c r="E368" s="1"/>
      <c r="F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</row>
    <row r="369" spans="1:62" x14ac:dyDescent="0.25">
      <c r="A369" s="1"/>
      <c r="B369" s="2"/>
      <c r="C369" s="2"/>
      <c r="D369" s="1"/>
      <c r="E369" s="1"/>
      <c r="F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</row>
    <row r="370" spans="1:62" x14ac:dyDescent="0.25">
      <c r="A370" s="1"/>
      <c r="B370" s="2"/>
      <c r="C370" s="2"/>
      <c r="D370" s="1"/>
      <c r="E370" s="1"/>
      <c r="F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</row>
    <row r="371" spans="1:62" x14ac:dyDescent="0.25">
      <c r="A371" s="1"/>
      <c r="B371" s="2"/>
      <c r="C371" s="2"/>
      <c r="D371" s="1"/>
      <c r="E371" s="1"/>
      <c r="F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</row>
    <row r="372" spans="1:62" x14ac:dyDescent="0.25">
      <c r="A372" s="1"/>
      <c r="B372" s="2"/>
      <c r="C372" s="2"/>
      <c r="D372" s="1"/>
      <c r="E372" s="1"/>
      <c r="F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</row>
    <row r="373" spans="1:62" x14ac:dyDescent="0.25">
      <c r="A373" s="1"/>
      <c r="B373" s="2"/>
      <c r="C373" s="2"/>
      <c r="D373" s="1"/>
      <c r="E373" s="1"/>
      <c r="F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</row>
    <row r="374" spans="1:62" x14ac:dyDescent="0.25">
      <c r="A374" s="1"/>
      <c r="B374" s="2"/>
      <c r="C374" s="2"/>
      <c r="D374" s="1"/>
      <c r="E374" s="1"/>
      <c r="F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</row>
    <row r="375" spans="1:62" x14ac:dyDescent="0.25">
      <c r="A375" s="1"/>
      <c r="B375" s="2"/>
      <c r="C375" s="2"/>
      <c r="D375" s="1"/>
      <c r="E375" s="1"/>
      <c r="F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</row>
    <row r="376" spans="1:62" x14ac:dyDescent="0.25">
      <c r="A376" s="1"/>
      <c r="B376" s="2"/>
      <c r="C376" s="2"/>
      <c r="D376" s="1"/>
      <c r="E376" s="1"/>
      <c r="F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</row>
    <row r="377" spans="1:62" x14ac:dyDescent="0.25">
      <c r="A377" s="1"/>
      <c r="B377" s="2"/>
      <c r="C377" s="2"/>
      <c r="D377" s="1"/>
      <c r="E377" s="1"/>
      <c r="F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</row>
    <row r="378" spans="1:62" x14ac:dyDescent="0.25">
      <c r="A378" s="1"/>
      <c r="B378" s="2"/>
      <c r="C378" s="2"/>
      <c r="D378" s="1"/>
      <c r="E378" s="1"/>
      <c r="F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</row>
    <row r="379" spans="1:62" x14ac:dyDescent="0.25">
      <c r="A379" s="1"/>
      <c r="B379" s="2"/>
      <c r="C379" s="2"/>
      <c r="D379" s="1"/>
      <c r="E379" s="1"/>
      <c r="F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</row>
    <row r="380" spans="1:62" x14ac:dyDescent="0.25">
      <c r="A380" s="1"/>
      <c r="B380" s="2"/>
      <c r="C380" s="2"/>
      <c r="D380" s="1"/>
      <c r="E380" s="1"/>
      <c r="F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</row>
    <row r="381" spans="1:62" x14ac:dyDescent="0.25">
      <c r="A381" s="1"/>
      <c r="B381" s="2"/>
      <c r="C381" s="2"/>
      <c r="D381" s="1"/>
      <c r="E381" s="1"/>
      <c r="F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</row>
    <row r="382" spans="1:62" x14ac:dyDescent="0.25">
      <c r="A382" s="1"/>
      <c r="B382" s="2"/>
      <c r="C382" s="2"/>
      <c r="D382" s="1"/>
      <c r="E382" s="1"/>
      <c r="F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</row>
    <row r="383" spans="1:62" x14ac:dyDescent="0.25">
      <c r="A383" s="1"/>
      <c r="B383" s="2"/>
      <c r="C383" s="2"/>
      <c r="D383" s="1"/>
      <c r="E383" s="1"/>
      <c r="F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</row>
    <row r="384" spans="1:62" x14ac:dyDescent="0.25">
      <c r="A384" s="1"/>
      <c r="B384" s="2"/>
      <c r="C384" s="2"/>
      <c r="D384" s="1"/>
      <c r="E384" s="1"/>
      <c r="F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</row>
    <row r="385" spans="1:62" x14ac:dyDescent="0.25">
      <c r="A385" s="1"/>
      <c r="B385" s="2"/>
      <c r="C385" s="2"/>
      <c r="D385" s="1"/>
      <c r="E385" s="1"/>
      <c r="F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</row>
    <row r="386" spans="1:62" x14ac:dyDescent="0.25">
      <c r="A386" s="1"/>
      <c r="B386" s="2"/>
      <c r="C386" s="2"/>
      <c r="D386" s="1"/>
      <c r="E386" s="1"/>
      <c r="F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</row>
    <row r="387" spans="1:62" x14ac:dyDescent="0.25">
      <c r="A387" s="1"/>
      <c r="B387" s="2"/>
      <c r="C387" s="2"/>
      <c r="D387" s="1"/>
      <c r="E387" s="1"/>
      <c r="F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</row>
    <row r="388" spans="1:62" x14ac:dyDescent="0.25">
      <c r="A388" s="1"/>
      <c r="B388" s="2"/>
      <c r="C388" s="2"/>
      <c r="D388" s="1"/>
      <c r="E388" s="1"/>
      <c r="F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</row>
    <row r="389" spans="1:62" x14ac:dyDescent="0.25">
      <c r="A389" s="1"/>
      <c r="B389" s="2"/>
      <c r="C389" s="2"/>
      <c r="D389" s="1"/>
      <c r="E389" s="1"/>
      <c r="F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</row>
    <row r="390" spans="1:62" x14ac:dyDescent="0.25">
      <c r="A390" s="1"/>
      <c r="B390" s="2"/>
      <c r="C390" s="2"/>
      <c r="D390" s="1"/>
      <c r="E390" s="1"/>
      <c r="F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</row>
    <row r="391" spans="1:62" x14ac:dyDescent="0.25">
      <c r="A391" s="1"/>
      <c r="B391" s="2"/>
      <c r="C391" s="2"/>
      <c r="D391" s="1"/>
      <c r="E391" s="1"/>
      <c r="F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</row>
    <row r="392" spans="1:62" x14ac:dyDescent="0.25">
      <c r="A392" s="1"/>
      <c r="B392" s="2"/>
      <c r="C392" s="2"/>
      <c r="D392" s="1"/>
      <c r="E392" s="1"/>
      <c r="F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</row>
    <row r="393" spans="1:62" x14ac:dyDescent="0.25">
      <c r="A393" s="1"/>
      <c r="B393" s="2"/>
      <c r="C393" s="2"/>
      <c r="D393" s="1"/>
      <c r="E393" s="1"/>
      <c r="F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</row>
    <row r="394" spans="1:62" x14ac:dyDescent="0.25">
      <c r="A394" s="1"/>
      <c r="B394" s="2"/>
      <c r="C394" s="2"/>
      <c r="D394" s="1"/>
      <c r="E394" s="1"/>
      <c r="F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</row>
    <row r="395" spans="1:62" x14ac:dyDescent="0.25">
      <c r="A395" s="1"/>
      <c r="B395" s="2"/>
      <c r="C395" s="2"/>
      <c r="D395" s="1"/>
      <c r="E395" s="1"/>
      <c r="F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</row>
    <row r="396" spans="1:62" x14ac:dyDescent="0.25">
      <c r="A396" s="1"/>
      <c r="B396" s="2"/>
      <c r="C396" s="2"/>
      <c r="D396" s="1"/>
      <c r="E396" s="1"/>
      <c r="F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</row>
    <row r="397" spans="1:62" x14ac:dyDescent="0.25">
      <c r="A397" s="1"/>
      <c r="B397" s="2"/>
      <c r="C397" s="2"/>
      <c r="D397" s="1"/>
      <c r="E397" s="1"/>
      <c r="F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</row>
    <row r="398" spans="1:62" x14ac:dyDescent="0.25">
      <c r="A398" s="1"/>
      <c r="B398" s="2"/>
      <c r="C398" s="2"/>
      <c r="D398" s="1"/>
      <c r="E398" s="1"/>
      <c r="F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</row>
    <row r="399" spans="1:62" x14ac:dyDescent="0.25">
      <c r="A399" s="1"/>
      <c r="B399" s="2"/>
      <c r="C399" s="2"/>
      <c r="D399" s="1"/>
      <c r="E399" s="1"/>
      <c r="F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</row>
    <row r="400" spans="1:62" x14ac:dyDescent="0.25">
      <c r="A400" s="1"/>
      <c r="B400" s="2"/>
      <c r="C400" s="2"/>
      <c r="D400" s="1"/>
      <c r="E400" s="1"/>
      <c r="F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</row>
    <row r="401" spans="1:62" x14ac:dyDescent="0.25">
      <c r="A401" s="1"/>
      <c r="B401" s="2"/>
      <c r="C401" s="2"/>
      <c r="D401" s="1"/>
      <c r="E401" s="1"/>
      <c r="F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</row>
    <row r="402" spans="1:62" x14ac:dyDescent="0.25">
      <c r="A402" s="1"/>
      <c r="B402" s="2"/>
      <c r="C402" s="2"/>
      <c r="D402" s="1"/>
      <c r="E402" s="1"/>
      <c r="F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</row>
    <row r="403" spans="1:62" x14ac:dyDescent="0.25">
      <c r="A403" s="1"/>
      <c r="B403" s="2"/>
      <c r="C403" s="2"/>
      <c r="D403" s="1"/>
      <c r="E403" s="1"/>
      <c r="F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</row>
    <row r="404" spans="1:62" x14ac:dyDescent="0.25">
      <c r="A404" s="1"/>
      <c r="B404" s="2"/>
      <c r="C404" s="2"/>
      <c r="D404" s="1"/>
      <c r="E404" s="1"/>
      <c r="F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</row>
    <row r="405" spans="1:62" x14ac:dyDescent="0.25">
      <c r="A405" s="1"/>
      <c r="B405" s="2"/>
      <c r="C405" s="2"/>
      <c r="D405" s="1"/>
      <c r="E405" s="1"/>
      <c r="F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</row>
    <row r="406" spans="1:62" x14ac:dyDescent="0.25">
      <c r="A406" s="1"/>
      <c r="B406" s="2"/>
      <c r="C406" s="2"/>
      <c r="D406" s="1"/>
      <c r="E406" s="1"/>
      <c r="F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</row>
    <row r="407" spans="1:62" x14ac:dyDescent="0.25">
      <c r="A407" s="1"/>
      <c r="B407" s="2"/>
      <c r="C407" s="2"/>
      <c r="D407" s="1"/>
      <c r="E407" s="1"/>
      <c r="F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</row>
    <row r="408" spans="1:62" x14ac:dyDescent="0.25">
      <c r="A408" s="1"/>
      <c r="B408" s="2"/>
      <c r="C408" s="2"/>
      <c r="D408" s="1"/>
      <c r="E408" s="1"/>
      <c r="F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</row>
    <row r="409" spans="1:62" x14ac:dyDescent="0.25">
      <c r="A409" s="1"/>
      <c r="B409" s="2"/>
      <c r="C409" s="2"/>
      <c r="D409" s="1"/>
      <c r="E409" s="1"/>
      <c r="F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</row>
    <row r="410" spans="1:62" x14ac:dyDescent="0.25">
      <c r="A410" s="1"/>
      <c r="B410" s="2"/>
      <c r="C410" s="2"/>
      <c r="D410" s="1"/>
      <c r="E410" s="1"/>
      <c r="F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</row>
    <row r="411" spans="1:62" x14ac:dyDescent="0.25">
      <c r="A411" s="1"/>
      <c r="B411" s="2"/>
      <c r="C411" s="2"/>
      <c r="D411" s="1"/>
      <c r="E411" s="1"/>
      <c r="F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</row>
    <row r="412" spans="1:62" x14ac:dyDescent="0.25">
      <c r="A412" s="1"/>
      <c r="B412" s="2"/>
      <c r="C412" s="2"/>
      <c r="D412" s="1"/>
      <c r="E412" s="1"/>
      <c r="F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</row>
    <row r="413" spans="1:62" x14ac:dyDescent="0.25">
      <c r="A413" s="1"/>
      <c r="B413" s="2"/>
      <c r="C413" s="2"/>
      <c r="D413" s="1"/>
      <c r="E413" s="1"/>
      <c r="F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</row>
    <row r="414" spans="1:62" x14ac:dyDescent="0.25">
      <c r="A414" s="1"/>
      <c r="B414" s="2"/>
      <c r="C414" s="2"/>
      <c r="D414" s="1"/>
      <c r="E414" s="1"/>
      <c r="F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</row>
    <row r="415" spans="1:62" x14ac:dyDescent="0.25">
      <c r="A415" s="1"/>
      <c r="B415" s="2"/>
      <c r="C415" s="2"/>
      <c r="D415" s="1"/>
      <c r="E415" s="1"/>
      <c r="F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</row>
    <row r="416" spans="1:62" x14ac:dyDescent="0.25">
      <c r="A416" s="1"/>
      <c r="B416" s="2"/>
      <c r="C416" s="2"/>
      <c r="D416" s="1"/>
      <c r="E416" s="1"/>
      <c r="F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</row>
    <row r="417" spans="1:62" x14ac:dyDescent="0.25">
      <c r="A417" s="1"/>
      <c r="B417" s="2"/>
      <c r="C417" s="2"/>
      <c r="D417" s="1"/>
      <c r="E417" s="1"/>
      <c r="F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</row>
    <row r="418" spans="1:62" x14ac:dyDescent="0.25">
      <c r="A418" s="1"/>
      <c r="B418" s="2"/>
      <c r="C418" s="2"/>
      <c r="D418" s="1"/>
      <c r="E418" s="1"/>
      <c r="F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</row>
    <row r="419" spans="1:62" x14ac:dyDescent="0.25">
      <c r="A419" s="1"/>
      <c r="B419" s="2"/>
      <c r="C419" s="2"/>
      <c r="D419" s="1"/>
      <c r="E419" s="1"/>
      <c r="F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</row>
    <row r="420" spans="1:62" x14ac:dyDescent="0.25">
      <c r="A420" s="1"/>
      <c r="B420" s="2"/>
      <c r="C420" s="2"/>
      <c r="D420" s="1"/>
      <c r="E420" s="1"/>
      <c r="F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</row>
    <row r="421" spans="1:62" x14ac:dyDescent="0.25">
      <c r="A421" s="1"/>
      <c r="B421" s="2"/>
      <c r="C421" s="2"/>
      <c r="D421" s="1"/>
      <c r="E421" s="1"/>
      <c r="F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</row>
    <row r="422" spans="1:62" x14ac:dyDescent="0.25">
      <c r="A422" s="1"/>
      <c r="B422" s="2"/>
      <c r="C422" s="2"/>
      <c r="D422" s="1"/>
      <c r="E422" s="1"/>
      <c r="F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</row>
    <row r="423" spans="1:62" x14ac:dyDescent="0.25">
      <c r="A423" s="1"/>
      <c r="B423" s="2"/>
      <c r="C423" s="2"/>
      <c r="D423" s="1"/>
      <c r="E423" s="1"/>
      <c r="F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</row>
    <row r="424" spans="1:62" x14ac:dyDescent="0.25">
      <c r="A424" s="1"/>
      <c r="B424" s="2"/>
      <c r="C424" s="2"/>
      <c r="D424" s="1"/>
      <c r="E424" s="1"/>
      <c r="F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</row>
    <row r="425" spans="1:62" x14ac:dyDescent="0.25">
      <c r="A425" s="1"/>
      <c r="B425" s="2"/>
      <c r="C425" s="2"/>
      <c r="D425" s="1"/>
      <c r="E425" s="1"/>
      <c r="F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</row>
    <row r="426" spans="1:62" x14ac:dyDescent="0.25">
      <c r="A426" s="1"/>
      <c r="B426" s="2"/>
      <c r="C426" s="2"/>
      <c r="D426" s="1"/>
      <c r="E426" s="1"/>
      <c r="F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</row>
    <row r="427" spans="1:62" x14ac:dyDescent="0.25">
      <c r="A427" s="1"/>
      <c r="B427" s="2"/>
      <c r="C427" s="2"/>
      <c r="D427" s="1"/>
      <c r="E427" s="1"/>
      <c r="F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</row>
    <row r="428" spans="1:62" x14ac:dyDescent="0.25">
      <c r="A428" s="1"/>
      <c r="B428" s="2"/>
      <c r="C428" s="2"/>
      <c r="D428" s="1"/>
      <c r="E428" s="1"/>
      <c r="F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</row>
    <row r="429" spans="1:62" x14ac:dyDescent="0.25">
      <c r="A429" s="1"/>
      <c r="B429" s="2"/>
      <c r="C429" s="2"/>
      <c r="D429" s="1"/>
      <c r="E429" s="1"/>
      <c r="F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</row>
    <row r="430" spans="1:62" x14ac:dyDescent="0.25">
      <c r="A430" s="1"/>
      <c r="B430" s="2"/>
      <c r="C430" s="2"/>
      <c r="D430" s="1"/>
      <c r="E430" s="1"/>
      <c r="F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</row>
    <row r="431" spans="1:62" x14ac:dyDescent="0.25">
      <c r="A431" s="1"/>
      <c r="B431" s="2"/>
      <c r="C431" s="2"/>
      <c r="D431" s="1"/>
      <c r="E431" s="1"/>
      <c r="F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</row>
    <row r="432" spans="1:62" x14ac:dyDescent="0.25">
      <c r="A432" s="1"/>
      <c r="B432" s="2"/>
      <c r="C432" s="2"/>
      <c r="D432" s="1"/>
      <c r="E432" s="1"/>
      <c r="F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</row>
    <row r="433" spans="1:62" x14ac:dyDescent="0.25">
      <c r="A433" s="1"/>
      <c r="B433" s="2"/>
      <c r="C433" s="2"/>
      <c r="D433" s="1"/>
      <c r="E433" s="1"/>
      <c r="F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</row>
    <row r="434" spans="1:62" x14ac:dyDescent="0.25">
      <c r="A434" s="1"/>
      <c r="B434" s="2"/>
      <c r="C434" s="2"/>
      <c r="D434" s="1"/>
      <c r="E434" s="1"/>
      <c r="F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</row>
    <row r="435" spans="1:62" x14ac:dyDescent="0.25">
      <c r="A435" s="1"/>
      <c r="B435" s="2"/>
      <c r="C435" s="2"/>
      <c r="D435" s="1"/>
      <c r="E435" s="1"/>
      <c r="F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</row>
    <row r="436" spans="1:62" x14ac:dyDescent="0.25">
      <c r="A436" s="1"/>
      <c r="B436" s="2"/>
      <c r="C436" s="2"/>
      <c r="D436" s="1"/>
      <c r="E436" s="1"/>
      <c r="F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</row>
    <row r="437" spans="1:62" x14ac:dyDescent="0.25">
      <c r="A437" s="1"/>
      <c r="B437" s="2"/>
      <c r="C437" s="2"/>
      <c r="D437" s="1"/>
      <c r="E437" s="1"/>
      <c r="F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</row>
    <row r="438" spans="1:62" x14ac:dyDescent="0.25">
      <c r="A438" s="1"/>
      <c r="B438" s="2"/>
      <c r="C438" s="2"/>
      <c r="D438" s="1"/>
      <c r="E438" s="1"/>
      <c r="F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</row>
    <row r="439" spans="1:62" x14ac:dyDescent="0.25">
      <c r="A439" s="1"/>
      <c r="B439" s="2"/>
      <c r="C439" s="2"/>
      <c r="D439" s="1"/>
      <c r="E439" s="1"/>
      <c r="F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</row>
    <row r="440" spans="1:62" x14ac:dyDescent="0.25">
      <c r="A440" s="1"/>
      <c r="B440" s="2"/>
      <c r="C440" s="2"/>
      <c r="D440" s="1"/>
      <c r="E440" s="1"/>
      <c r="F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</row>
    <row r="441" spans="1:62" x14ac:dyDescent="0.25">
      <c r="A441" s="1"/>
      <c r="B441" s="2"/>
      <c r="C441" s="2"/>
      <c r="D441" s="1"/>
      <c r="E441" s="1"/>
      <c r="F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</row>
    <row r="442" spans="1:62" x14ac:dyDescent="0.25">
      <c r="A442" s="1"/>
      <c r="B442" s="2"/>
      <c r="C442" s="2"/>
      <c r="D442" s="1"/>
      <c r="E442" s="1"/>
      <c r="F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</row>
    <row r="443" spans="1:62" x14ac:dyDescent="0.25">
      <c r="A443" s="1"/>
      <c r="B443" s="2"/>
      <c r="C443" s="2"/>
      <c r="D443" s="1"/>
      <c r="E443" s="1"/>
      <c r="F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</row>
    <row r="444" spans="1:62" x14ac:dyDescent="0.25">
      <c r="A444" s="1"/>
      <c r="B444" s="2"/>
      <c r="C444" s="2"/>
      <c r="D444" s="1"/>
      <c r="E444" s="1"/>
      <c r="F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</row>
    <row r="445" spans="1:62" x14ac:dyDescent="0.25">
      <c r="A445" s="1"/>
      <c r="B445" s="2"/>
      <c r="C445" s="2"/>
      <c r="D445" s="1"/>
      <c r="E445" s="1"/>
      <c r="F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</row>
    <row r="446" spans="1:62" x14ac:dyDescent="0.25">
      <c r="A446" s="1"/>
      <c r="B446" s="2"/>
      <c r="C446" s="2"/>
      <c r="D446" s="1"/>
      <c r="E446" s="1"/>
      <c r="F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</row>
    <row r="447" spans="1:62" x14ac:dyDescent="0.25">
      <c r="A447" s="1"/>
      <c r="B447" s="2"/>
      <c r="C447" s="2"/>
      <c r="D447" s="1"/>
      <c r="E447" s="1"/>
      <c r="F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</row>
    <row r="448" spans="1:62" x14ac:dyDescent="0.25">
      <c r="A448" s="1"/>
      <c r="B448" s="2"/>
      <c r="C448" s="2"/>
      <c r="D448" s="1"/>
      <c r="E448" s="1"/>
      <c r="F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</row>
    <row r="449" spans="1:62" x14ac:dyDescent="0.25">
      <c r="A449" s="1"/>
      <c r="B449" s="2"/>
      <c r="C449" s="2"/>
      <c r="D449" s="1"/>
      <c r="E449" s="1"/>
      <c r="F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</row>
    <row r="450" spans="1:62" x14ac:dyDescent="0.25">
      <c r="A450" s="1"/>
      <c r="B450" s="2"/>
      <c r="C450" s="2"/>
      <c r="D450" s="1"/>
      <c r="E450" s="1"/>
      <c r="F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</row>
    <row r="451" spans="1:62" x14ac:dyDescent="0.25">
      <c r="A451" s="1"/>
      <c r="B451" s="2"/>
      <c r="C451" s="2"/>
      <c r="D451" s="1"/>
      <c r="E451" s="1"/>
      <c r="F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</row>
    <row r="452" spans="1:62" x14ac:dyDescent="0.25">
      <c r="A452" s="1"/>
      <c r="B452" s="2"/>
      <c r="C452" s="2"/>
      <c r="D452" s="1"/>
      <c r="E452" s="1"/>
      <c r="F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</row>
    <row r="453" spans="1:62" x14ac:dyDescent="0.25">
      <c r="A453" s="1"/>
      <c r="B453" s="2"/>
      <c r="C453" s="2"/>
      <c r="D453" s="1"/>
      <c r="E453" s="1"/>
      <c r="F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</row>
    <row r="454" spans="1:62" x14ac:dyDescent="0.25">
      <c r="A454" s="1"/>
      <c r="B454" s="2"/>
      <c r="C454" s="2"/>
      <c r="D454" s="1"/>
      <c r="E454" s="1"/>
      <c r="F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</row>
    <row r="455" spans="1:62" x14ac:dyDescent="0.25">
      <c r="A455" s="1"/>
      <c r="B455" s="2"/>
      <c r="C455" s="2"/>
      <c r="D455" s="1"/>
      <c r="E455" s="1"/>
      <c r="F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</row>
    <row r="456" spans="1:62" x14ac:dyDescent="0.25">
      <c r="A456" s="1"/>
      <c r="B456" s="2"/>
      <c r="C456" s="2"/>
      <c r="D456" s="1"/>
      <c r="E456" s="1"/>
      <c r="F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</row>
    <row r="457" spans="1:62" x14ac:dyDescent="0.25">
      <c r="A457" s="1"/>
      <c r="B457" s="2"/>
      <c r="C457" s="2"/>
      <c r="D457" s="1"/>
      <c r="E457" s="1"/>
      <c r="F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</row>
    <row r="458" spans="1:62" x14ac:dyDescent="0.25">
      <c r="A458" s="1"/>
      <c r="B458" s="2"/>
      <c r="C458" s="2"/>
      <c r="D458" s="1"/>
      <c r="E458" s="1"/>
      <c r="F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</row>
    <row r="459" spans="1:62" x14ac:dyDescent="0.25">
      <c r="A459" s="1"/>
      <c r="B459" s="2"/>
      <c r="C459" s="2"/>
      <c r="D459" s="1"/>
      <c r="E459" s="1"/>
      <c r="F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</row>
    <row r="460" spans="1:62" x14ac:dyDescent="0.25">
      <c r="A460" s="1"/>
      <c r="B460" s="2"/>
      <c r="C460" s="2"/>
      <c r="D460" s="1"/>
      <c r="E460" s="1"/>
      <c r="F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</row>
    <row r="461" spans="1:62" x14ac:dyDescent="0.25">
      <c r="A461" s="1"/>
      <c r="B461" s="2"/>
      <c r="C461" s="2"/>
      <c r="D461" s="1"/>
      <c r="E461" s="1"/>
      <c r="F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</row>
    <row r="462" spans="1:62" x14ac:dyDescent="0.25">
      <c r="A462" s="1"/>
      <c r="B462" s="2"/>
      <c r="C462" s="2"/>
      <c r="D462" s="1"/>
      <c r="E462" s="1"/>
      <c r="F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</row>
    <row r="463" spans="1:62" x14ac:dyDescent="0.25">
      <c r="A463" s="1"/>
      <c r="B463" s="2"/>
      <c r="C463" s="2"/>
      <c r="D463" s="1"/>
      <c r="E463" s="1"/>
      <c r="F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</row>
    <row r="464" spans="1:62" x14ac:dyDescent="0.25">
      <c r="A464" s="1"/>
      <c r="B464" s="2"/>
      <c r="C464" s="2"/>
      <c r="D464" s="1"/>
      <c r="E464" s="1"/>
      <c r="F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</row>
    <row r="465" spans="1:62" x14ac:dyDescent="0.25">
      <c r="A465" s="1"/>
      <c r="B465" s="2"/>
      <c r="C465" s="2"/>
      <c r="D465" s="1"/>
      <c r="E465" s="1"/>
      <c r="F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</row>
    <row r="466" spans="1:62" x14ac:dyDescent="0.25">
      <c r="A466" s="1"/>
      <c r="B466" s="2"/>
      <c r="C466" s="2"/>
      <c r="D466" s="1"/>
      <c r="E466" s="1"/>
      <c r="F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</row>
    <row r="467" spans="1:62" x14ac:dyDescent="0.25">
      <c r="A467" s="1"/>
      <c r="B467" s="2"/>
      <c r="C467" s="2"/>
      <c r="D467" s="1"/>
      <c r="E467" s="1"/>
      <c r="F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</row>
    <row r="468" spans="1:62" x14ac:dyDescent="0.25">
      <c r="A468" s="1"/>
      <c r="B468" s="2"/>
      <c r="C468" s="2"/>
      <c r="D468" s="1"/>
      <c r="E468" s="1"/>
      <c r="F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</row>
    <row r="469" spans="1:62" x14ac:dyDescent="0.25">
      <c r="A469" s="1"/>
      <c r="B469" s="2"/>
      <c r="C469" s="2"/>
      <c r="D469" s="1"/>
      <c r="E469" s="1"/>
      <c r="F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</row>
    <row r="470" spans="1:62" x14ac:dyDescent="0.25">
      <c r="A470" s="1"/>
      <c r="B470" s="2"/>
      <c r="C470" s="2"/>
      <c r="D470" s="1"/>
      <c r="E470" s="1"/>
      <c r="F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</row>
    <row r="471" spans="1:62" x14ac:dyDescent="0.25">
      <c r="A471" s="1"/>
      <c r="B471" s="2"/>
      <c r="C471" s="2"/>
      <c r="D471" s="1"/>
      <c r="E471" s="1"/>
      <c r="F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</row>
    <row r="472" spans="1:62" x14ac:dyDescent="0.25">
      <c r="A472" s="1"/>
      <c r="B472" s="2"/>
      <c r="C472" s="2"/>
      <c r="D472" s="1"/>
      <c r="E472" s="1"/>
      <c r="F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</row>
    <row r="473" spans="1:62" x14ac:dyDescent="0.25">
      <c r="A473" s="1"/>
      <c r="B473" s="2"/>
      <c r="C473" s="2"/>
      <c r="D473" s="1"/>
      <c r="E473" s="1"/>
      <c r="F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</row>
    <row r="474" spans="1:62" x14ac:dyDescent="0.25">
      <c r="A474" s="1"/>
      <c r="B474" s="2"/>
      <c r="C474" s="2"/>
      <c r="D474" s="1"/>
      <c r="E474" s="1"/>
      <c r="F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</row>
    <row r="475" spans="1:62" x14ac:dyDescent="0.25">
      <c r="A475" s="1"/>
      <c r="B475" s="2"/>
      <c r="C475" s="2"/>
      <c r="D475" s="1"/>
      <c r="E475" s="1"/>
      <c r="F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</row>
    <row r="476" spans="1:62" x14ac:dyDescent="0.25">
      <c r="A476" s="1"/>
      <c r="B476" s="2"/>
      <c r="C476" s="2"/>
      <c r="D476" s="1"/>
      <c r="E476" s="1"/>
      <c r="F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</row>
    <row r="477" spans="1:62" x14ac:dyDescent="0.25">
      <c r="A477" s="1"/>
      <c r="B477" s="2"/>
      <c r="C477" s="2"/>
      <c r="D477" s="1"/>
      <c r="E477" s="1"/>
      <c r="F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</row>
    <row r="478" spans="1:62" x14ac:dyDescent="0.25">
      <c r="A478" s="1"/>
      <c r="B478" s="2"/>
      <c r="C478" s="2"/>
      <c r="D478" s="1"/>
      <c r="E478" s="1"/>
      <c r="F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</row>
    <row r="479" spans="1:62" x14ac:dyDescent="0.25">
      <c r="A479" s="1"/>
      <c r="B479" s="2"/>
      <c r="C479" s="2"/>
      <c r="D479" s="1"/>
      <c r="E479" s="1"/>
      <c r="F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</row>
    <row r="480" spans="1:62" x14ac:dyDescent="0.25">
      <c r="A480" s="1"/>
      <c r="B480" s="2"/>
      <c r="C480" s="2"/>
      <c r="D480" s="1"/>
      <c r="E480" s="1"/>
      <c r="F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</row>
    <row r="481" spans="1:62" x14ac:dyDescent="0.25">
      <c r="A481" s="1"/>
      <c r="B481" s="2"/>
      <c r="C481" s="2"/>
      <c r="D481" s="1"/>
      <c r="E481" s="1"/>
      <c r="F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</row>
    <row r="482" spans="1:62" x14ac:dyDescent="0.25">
      <c r="A482" s="1"/>
      <c r="B482" s="2"/>
      <c r="C482" s="2"/>
      <c r="D482" s="1"/>
      <c r="E482" s="1"/>
      <c r="F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L1342"/>
  <sheetViews>
    <sheetView workbookViewId="0">
      <selection activeCell="B1" sqref="B1:L125"/>
    </sheetView>
  </sheetViews>
  <sheetFormatPr baseColWidth="10" defaultRowHeight="15" x14ac:dyDescent="0.25"/>
  <cols>
    <col min="3" max="3" width="11.85546875" bestFit="1" customWidth="1"/>
    <col min="9" max="9" width="14.140625" customWidth="1"/>
  </cols>
  <sheetData>
    <row r="1" spans="1:12" ht="60" x14ac:dyDescent="0.25">
      <c r="B1" s="3" t="s">
        <v>2</v>
      </c>
      <c r="C1" s="3" t="s">
        <v>3</v>
      </c>
      <c r="D1" s="3" t="s">
        <v>4</v>
      </c>
      <c r="E1" s="3" t="s">
        <v>5</v>
      </c>
      <c r="F1" s="4" t="s">
        <v>6</v>
      </c>
      <c r="G1" s="4" t="s">
        <v>7</v>
      </c>
      <c r="H1" s="3" t="s">
        <v>8</v>
      </c>
      <c r="I1" s="4" t="s">
        <v>9</v>
      </c>
      <c r="J1" s="4" t="s">
        <v>10</v>
      </c>
      <c r="K1" s="4" t="s">
        <v>11</v>
      </c>
      <c r="L1" s="4" t="s">
        <v>24</v>
      </c>
    </row>
    <row r="2" spans="1:12" x14ac:dyDescent="0.25">
      <c r="A2">
        <v>2</v>
      </c>
      <c r="B2" t="e">
        <f>IF(D2="","","ARTISZEE")</f>
        <v>#N/A</v>
      </c>
      <c r="C2" t="e">
        <f>IF(B2="ARTISZEE","Cardiología","")</f>
        <v>#N/A</v>
      </c>
      <c r="D2" t="e">
        <f>IF(INDEX( DATOS3!$1:$19996,A2,MATCH("PatientID", DATOS3!$1:$1,0))=0,"",INDEX( DATOS3!$1:$19996,A2,MATCH("PatientID", DATOS3!$1:$1,0)))</f>
        <v>#N/A</v>
      </c>
      <c r="F2" t="e">
        <f>IF(INDEX( DATOS3!$1:$19996,A2,MATCH("SeriesDate", DATOS3!$1:$1,0))=0,"",INDEX( DATOS3!$1:$19996,A2,MATCH("SeriesDate", DATOS3!$1:$1,0)))</f>
        <v>#N/A</v>
      </c>
      <c r="G2" t="e">
        <f>IF(INDEX( DATOS3!$1:$19996,A2,MATCH("SeriesTime", DATOS3!$1:$1,0))=0,"",INDEX( DATOS3!$1:$19996,A2,MATCH("SeriesTime", DATOS3!$1:$1,0)))</f>
        <v>#N/A</v>
      </c>
      <c r="H2" t="e">
        <f>IF(INDEX( DATOS3!$1:$19996,A2,MATCH("StudyDescription", DATOS3!$1:$1,0))=0,"",INDEX( DATOS3!$1:$19996,A2,MATCH("StudyDescription", DATOS3!$1:$1,0)))</f>
        <v>#N/A</v>
      </c>
      <c r="I2" t="e">
        <f>IF(INDEX( DATOS3!$1:$19996,A2,MATCH("Dose_Area_Product_Total", DATOS3!$1:$1,0))=0,0,INDEX( DATOS3!$1:$19996,A2,MATCH("Dose_Area_Product", DATOS3!$1:$1,0)))</f>
        <v>#N/A</v>
      </c>
      <c r="J2" t="e">
        <f>IF(INDEX( DATOS3!$1:$19996,A2,MATCH("Dose_RP_Total", DATOS3!$1:$1,0))=0,0,INDEX( DATOS3!$1:$19996,A2,MATCH("Dose_RP", DATOS3!$1:$1,0)))</f>
        <v>#N/A</v>
      </c>
      <c r="K2" t="e">
        <f>IF(INDEX( DATOS3!$1:$19996,A2,MATCH("Total_Fluoro_Time", DATOS3!$1:$1,0))=0,0,INDEX( DATOS3!$1:$19996,A2,MATCH("Total_Fluoro_Time", DATOS3!$1:$1,0)))</f>
        <v>#N/A</v>
      </c>
      <c r="L2" t="e">
        <f>IF(INDEX( DATOS3!$1:$19996,A2,MATCH("Total_Acquisition_Time", DATOS3!$1:$1,0))=0,0,INDEX( DATOS3!$1:$19996,A2,MATCH("Total_Acquisition_Time", DATOS3!$1:$1,0)))</f>
        <v>#N/A</v>
      </c>
    </row>
    <row r="3" spans="1:12" x14ac:dyDescent="0.25">
      <c r="A3">
        <v>3</v>
      </c>
      <c r="B3" t="e">
        <f t="shared" ref="B3:B66" si="0">IF(D3="","","ARTISZEE")</f>
        <v>#N/A</v>
      </c>
      <c r="C3" t="e">
        <f t="shared" ref="C3:C66" si="1">IF(B3="ARTISZEE","Cardiología","")</f>
        <v>#N/A</v>
      </c>
      <c r="D3" t="e">
        <f>IF(INDEX( DATOS3!$1:$19996,A3,MATCH("PatientID", DATOS3!$1:$1,0))=0,"",INDEX( DATOS3!$1:$19996,A3,MATCH("PatientID", DATOS3!$1:$1,0)))</f>
        <v>#N/A</v>
      </c>
      <c r="F3" t="e">
        <f>IF(INDEX( DATOS3!$1:$19996,A3,MATCH("SeriesDate", DATOS3!$1:$1,0))=0,"",INDEX( DATOS3!$1:$19996,A3,MATCH("SeriesDate", DATOS3!$1:$1,0)))</f>
        <v>#N/A</v>
      </c>
      <c r="G3" t="e">
        <f>IF(INDEX( DATOS3!$1:$19996,A3,MATCH("SeriesTime", DATOS3!$1:$1,0))=0,"",INDEX( DATOS3!$1:$19996,A3,MATCH("SeriesTime", DATOS3!$1:$1,0)))</f>
        <v>#N/A</v>
      </c>
      <c r="H3" t="e">
        <f>IF(INDEX( DATOS3!$1:$19996,A3,MATCH("StudyDescription", DATOS3!$1:$1,0))=0,"",INDEX( DATOS3!$1:$19996,A3,MATCH("StudyDescription", DATOS3!$1:$1,0)))</f>
        <v>#N/A</v>
      </c>
      <c r="I3" t="e">
        <f>IF(INDEX( DATOS3!$1:$19996,A3,MATCH("Dose_Area_Product_Total", DATOS3!$1:$1,0))=0,0,INDEX( DATOS3!$1:$19996,A3,MATCH("Dose_Area_Product", DATOS3!$1:$1,0)))</f>
        <v>#N/A</v>
      </c>
      <c r="J3" t="e">
        <f>IF(INDEX( DATOS3!$1:$19996,A3,MATCH("Dose_RP_Total", DATOS3!$1:$1,0))=0,0,INDEX( DATOS3!$1:$19996,A3,MATCH("Dose_RP", DATOS3!$1:$1,0)))</f>
        <v>#N/A</v>
      </c>
      <c r="K3" t="e">
        <f>IF(INDEX( DATOS3!$1:$19996,A3,MATCH("Total_Fluoro_Time", DATOS3!$1:$1,0))=0,0,INDEX( DATOS3!$1:$19996,A3,MATCH("Total_Fluoro_Time", DATOS3!$1:$1,0)))</f>
        <v>#N/A</v>
      </c>
      <c r="L3" t="e">
        <f>IF(INDEX( DATOS3!$1:$19996,A3,MATCH("Total_Acquisition_Time", DATOS3!$1:$1,0))=0,0,INDEX( DATOS3!$1:$19996,A3,MATCH("Total_Acquisition_Time", DATOS3!$1:$1,0)))</f>
        <v>#N/A</v>
      </c>
    </row>
    <row r="4" spans="1:12" x14ac:dyDescent="0.25">
      <c r="A4">
        <v>4</v>
      </c>
      <c r="B4" t="e">
        <f t="shared" si="0"/>
        <v>#N/A</v>
      </c>
      <c r="C4" t="e">
        <f t="shared" si="1"/>
        <v>#N/A</v>
      </c>
      <c r="D4" t="e">
        <f>IF(INDEX( DATOS3!$1:$19996,A4,MATCH("PatientID", DATOS3!$1:$1,0))=0,"",INDEX( DATOS3!$1:$19996,A4,MATCH("PatientID", DATOS3!$1:$1,0)))</f>
        <v>#N/A</v>
      </c>
      <c r="F4" t="e">
        <f>IF(INDEX( DATOS3!$1:$19996,A4,MATCH("SeriesDate", DATOS3!$1:$1,0))=0,"",INDEX( DATOS3!$1:$19996,A4,MATCH("SeriesDate", DATOS3!$1:$1,0)))</f>
        <v>#N/A</v>
      </c>
      <c r="G4" t="e">
        <f>IF(INDEX( DATOS3!$1:$19996,A4,MATCH("SeriesTime", DATOS3!$1:$1,0))=0,"",INDEX( DATOS3!$1:$19996,A4,MATCH("SeriesTime", DATOS3!$1:$1,0)))</f>
        <v>#N/A</v>
      </c>
      <c r="H4" t="e">
        <f>IF(INDEX( DATOS3!$1:$19996,A4,MATCH("StudyDescription", DATOS3!$1:$1,0))=0,"",INDEX( DATOS3!$1:$19996,A4,MATCH("StudyDescription", DATOS3!$1:$1,0)))</f>
        <v>#N/A</v>
      </c>
      <c r="I4" t="e">
        <f>IF(INDEX( DATOS3!$1:$19996,A4,MATCH("Dose_Area_Product_Total", DATOS3!$1:$1,0))=0,0,INDEX( DATOS3!$1:$19996,A4,MATCH("Dose_Area_Product", DATOS3!$1:$1,0)))</f>
        <v>#N/A</v>
      </c>
      <c r="J4" t="e">
        <f>IF(INDEX( DATOS3!$1:$19996,A4,MATCH("Dose_RP_Total", DATOS3!$1:$1,0))=0,0,INDEX( DATOS3!$1:$19996,A4,MATCH("Dose_RP", DATOS3!$1:$1,0)))</f>
        <v>#N/A</v>
      </c>
      <c r="K4" t="e">
        <f>IF(INDEX( DATOS3!$1:$19996,A4,MATCH("Total_Fluoro_Time", DATOS3!$1:$1,0))=0,0,INDEX( DATOS3!$1:$19996,A4,MATCH("Total_Fluoro_Time", DATOS3!$1:$1,0)))</f>
        <v>#N/A</v>
      </c>
      <c r="L4" t="e">
        <f>IF(INDEX( DATOS3!$1:$19996,A4,MATCH("Total_Acquisition_Time", DATOS3!$1:$1,0))=0,0,INDEX( DATOS3!$1:$19996,A4,MATCH("Total_Acquisition_Time", DATOS3!$1:$1,0)))</f>
        <v>#N/A</v>
      </c>
    </row>
    <row r="5" spans="1:12" x14ac:dyDescent="0.25">
      <c r="A5">
        <v>5</v>
      </c>
      <c r="B5" t="e">
        <f t="shared" si="0"/>
        <v>#N/A</v>
      </c>
      <c r="C5" t="e">
        <f t="shared" si="1"/>
        <v>#N/A</v>
      </c>
      <c r="D5" t="e">
        <f>IF(INDEX( DATOS3!$1:$19996,A5,MATCH("PatientID", DATOS3!$1:$1,0))=0,"",INDEX( DATOS3!$1:$19996,A5,MATCH("PatientID", DATOS3!$1:$1,0)))</f>
        <v>#N/A</v>
      </c>
      <c r="F5" t="e">
        <f>IF(INDEX( DATOS3!$1:$19996,A5,MATCH("SeriesDate", DATOS3!$1:$1,0))=0,"",INDEX( DATOS3!$1:$19996,A5,MATCH("SeriesDate", DATOS3!$1:$1,0)))</f>
        <v>#N/A</v>
      </c>
      <c r="G5" t="e">
        <f>IF(INDEX( DATOS3!$1:$19996,A5,MATCH("SeriesTime", DATOS3!$1:$1,0))=0,"",INDEX( DATOS3!$1:$19996,A5,MATCH("SeriesTime", DATOS3!$1:$1,0)))</f>
        <v>#N/A</v>
      </c>
      <c r="H5" t="e">
        <f>IF(INDEX( DATOS3!$1:$19996,A5,MATCH("StudyDescription", DATOS3!$1:$1,0))=0,"",INDEX( DATOS3!$1:$19996,A5,MATCH("StudyDescription", DATOS3!$1:$1,0)))</f>
        <v>#N/A</v>
      </c>
      <c r="I5" t="e">
        <f>IF(INDEX( DATOS3!$1:$19996,A5,MATCH("Dose_Area_Product_Total", DATOS3!$1:$1,0))=0,0,INDEX( DATOS3!$1:$19996,A5,MATCH("Dose_Area_Product", DATOS3!$1:$1,0)))</f>
        <v>#N/A</v>
      </c>
      <c r="J5" t="e">
        <f>IF(INDEX( DATOS3!$1:$19996,A5,MATCH("Dose_RP_Total", DATOS3!$1:$1,0))=0,0,INDEX( DATOS3!$1:$19996,A5,MATCH("Dose_RP", DATOS3!$1:$1,0)))</f>
        <v>#N/A</v>
      </c>
      <c r="K5" t="e">
        <f>IF(INDEX( DATOS3!$1:$19996,A5,MATCH("Total_Fluoro_Time", DATOS3!$1:$1,0))=0,0,INDEX( DATOS3!$1:$19996,A5,MATCH("Total_Fluoro_Time", DATOS3!$1:$1,0)))</f>
        <v>#N/A</v>
      </c>
      <c r="L5" t="e">
        <f>IF(INDEX( DATOS3!$1:$19996,A5,MATCH("Total_Acquisition_Time", DATOS3!$1:$1,0))=0,0,INDEX( DATOS3!$1:$19996,A5,MATCH("Total_Acquisition_Time", DATOS3!$1:$1,0)))</f>
        <v>#N/A</v>
      </c>
    </row>
    <row r="6" spans="1:12" x14ac:dyDescent="0.25">
      <c r="A6">
        <v>6</v>
      </c>
      <c r="B6" t="e">
        <f t="shared" si="0"/>
        <v>#N/A</v>
      </c>
      <c r="C6" t="e">
        <f t="shared" si="1"/>
        <v>#N/A</v>
      </c>
      <c r="D6" t="e">
        <f>IF(INDEX( DATOS3!$1:$19996,A6,MATCH("PatientID", DATOS3!$1:$1,0))=0,"",INDEX( DATOS3!$1:$19996,A6,MATCH("PatientID", DATOS3!$1:$1,0)))</f>
        <v>#N/A</v>
      </c>
      <c r="F6" t="e">
        <f>IF(INDEX( DATOS3!$1:$19996,A6,MATCH("SeriesDate", DATOS3!$1:$1,0))=0,"",INDEX( DATOS3!$1:$19996,A6,MATCH("SeriesDate", DATOS3!$1:$1,0)))</f>
        <v>#N/A</v>
      </c>
      <c r="G6" t="e">
        <f>IF(INDEX( DATOS3!$1:$19996,A6,MATCH("SeriesTime", DATOS3!$1:$1,0))=0,"",INDEX( DATOS3!$1:$19996,A6,MATCH("SeriesTime", DATOS3!$1:$1,0)))</f>
        <v>#N/A</v>
      </c>
      <c r="H6" t="e">
        <f>IF(INDEX( DATOS3!$1:$19996,A6,MATCH("StudyDescription", DATOS3!$1:$1,0))=0,"",INDEX( DATOS3!$1:$19996,A6,MATCH("StudyDescription", DATOS3!$1:$1,0)))</f>
        <v>#N/A</v>
      </c>
      <c r="I6" t="e">
        <f>IF(INDEX( DATOS3!$1:$19996,A6,MATCH("Dose_Area_Product_Total", DATOS3!$1:$1,0))=0,0,INDEX( DATOS3!$1:$19996,A6,MATCH("Dose_Area_Product", DATOS3!$1:$1,0)))</f>
        <v>#N/A</v>
      </c>
      <c r="J6" t="e">
        <f>IF(INDEX( DATOS3!$1:$19996,A6,MATCH("Dose_RP_Total", DATOS3!$1:$1,0))=0,0,INDEX( DATOS3!$1:$19996,A6,MATCH("Dose_RP", DATOS3!$1:$1,0)))</f>
        <v>#N/A</v>
      </c>
      <c r="K6" t="e">
        <f>IF(INDEX( DATOS3!$1:$19996,A6,MATCH("Total_Fluoro_Time", DATOS3!$1:$1,0))=0,0,INDEX( DATOS3!$1:$19996,A6,MATCH("Total_Fluoro_Time", DATOS3!$1:$1,0)))</f>
        <v>#N/A</v>
      </c>
      <c r="L6" t="e">
        <f>IF(INDEX( DATOS3!$1:$19996,A6,MATCH("Total_Acquisition_Time", DATOS3!$1:$1,0))=0,0,INDEX( DATOS3!$1:$19996,A6,MATCH("Total_Acquisition_Time", DATOS3!$1:$1,0)))</f>
        <v>#N/A</v>
      </c>
    </row>
    <row r="7" spans="1:12" x14ac:dyDescent="0.25">
      <c r="A7">
        <v>7</v>
      </c>
      <c r="B7" t="e">
        <f t="shared" si="0"/>
        <v>#N/A</v>
      </c>
      <c r="C7" t="e">
        <f t="shared" si="1"/>
        <v>#N/A</v>
      </c>
      <c r="D7" t="e">
        <f>IF(INDEX( DATOS3!$1:$19996,A7,MATCH("PatientID", DATOS3!$1:$1,0))=0,"",INDEX( DATOS3!$1:$19996,A7,MATCH("PatientID", DATOS3!$1:$1,0)))</f>
        <v>#N/A</v>
      </c>
      <c r="F7" t="e">
        <f>IF(INDEX( DATOS3!$1:$19996,A7,MATCH("SeriesDate", DATOS3!$1:$1,0))=0,"",INDEX( DATOS3!$1:$19996,A7,MATCH("SeriesDate", DATOS3!$1:$1,0)))</f>
        <v>#N/A</v>
      </c>
      <c r="G7" t="e">
        <f>IF(INDEX( DATOS3!$1:$19996,A7,MATCH("SeriesTime", DATOS3!$1:$1,0))=0,"",INDEX( DATOS3!$1:$19996,A7,MATCH("SeriesTime", DATOS3!$1:$1,0)))</f>
        <v>#N/A</v>
      </c>
      <c r="H7" t="e">
        <f>IF(INDEX( DATOS3!$1:$19996,A7,MATCH("StudyDescription", DATOS3!$1:$1,0))=0,"",INDEX( DATOS3!$1:$19996,A7,MATCH("StudyDescription", DATOS3!$1:$1,0)))</f>
        <v>#N/A</v>
      </c>
      <c r="I7" t="e">
        <f>IF(INDEX( DATOS3!$1:$19996,A7,MATCH("Dose_Area_Product_Total", DATOS3!$1:$1,0))=0,0,INDEX( DATOS3!$1:$19996,A7,MATCH("Dose_Area_Product", DATOS3!$1:$1,0)))</f>
        <v>#N/A</v>
      </c>
      <c r="J7" t="e">
        <f>IF(INDEX( DATOS3!$1:$19996,A7,MATCH("Dose_RP_Total", DATOS3!$1:$1,0))=0,0,INDEX( DATOS3!$1:$19996,A7,MATCH("Dose_RP", DATOS3!$1:$1,0)))</f>
        <v>#N/A</v>
      </c>
      <c r="K7" t="e">
        <f>IF(INDEX( DATOS3!$1:$19996,A7,MATCH("Total_Fluoro_Time", DATOS3!$1:$1,0))=0,0,INDEX( DATOS3!$1:$19996,A7,MATCH("Total_Fluoro_Time", DATOS3!$1:$1,0)))</f>
        <v>#N/A</v>
      </c>
      <c r="L7" t="e">
        <f>IF(INDEX( DATOS3!$1:$19996,A7,MATCH("Total_Acquisition_Time", DATOS3!$1:$1,0))=0,0,INDEX( DATOS3!$1:$19996,A7,MATCH("Total_Acquisition_Time", DATOS3!$1:$1,0)))</f>
        <v>#N/A</v>
      </c>
    </row>
    <row r="8" spans="1:12" x14ac:dyDescent="0.25">
      <c r="A8">
        <v>8</v>
      </c>
      <c r="B8" t="e">
        <f t="shared" si="0"/>
        <v>#N/A</v>
      </c>
      <c r="C8" t="e">
        <f t="shared" si="1"/>
        <v>#N/A</v>
      </c>
      <c r="D8" t="e">
        <f>IF(INDEX( DATOS3!$1:$19996,A8,MATCH("PatientID", DATOS3!$1:$1,0))=0,"",INDEX( DATOS3!$1:$19996,A8,MATCH("PatientID", DATOS3!$1:$1,0)))</f>
        <v>#N/A</v>
      </c>
      <c r="F8" t="e">
        <f>IF(INDEX( DATOS3!$1:$19996,A8,MATCH("SeriesDate", DATOS3!$1:$1,0))=0,"",INDEX( DATOS3!$1:$19996,A8,MATCH("SeriesDate", DATOS3!$1:$1,0)))</f>
        <v>#N/A</v>
      </c>
      <c r="G8" t="e">
        <f>IF(INDEX( DATOS3!$1:$19996,A8,MATCH("SeriesTime", DATOS3!$1:$1,0))=0,"",INDEX( DATOS3!$1:$19996,A8,MATCH("SeriesTime", DATOS3!$1:$1,0)))</f>
        <v>#N/A</v>
      </c>
      <c r="H8" t="e">
        <f>IF(INDEX( DATOS3!$1:$19996,A8,MATCH("StudyDescription", DATOS3!$1:$1,0))=0,"",INDEX( DATOS3!$1:$19996,A8,MATCH("StudyDescription", DATOS3!$1:$1,0)))</f>
        <v>#N/A</v>
      </c>
      <c r="I8" t="e">
        <f>IF(INDEX( DATOS3!$1:$19996,A8,MATCH("Dose_Area_Product_Total", DATOS3!$1:$1,0))=0,0,INDEX( DATOS3!$1:$19996,A8,MATCH("Dose_Area_Product", DATOS3!$1:$1,0)))</f>
        <v>#N/A</v>
      </c>
      <c r="J8" t="e">
        <f>IF(INDEX( DATOS3!$1:$19996,A8,MATCH("Dose_RP_Total", DATOS3!$1:$1,0))=0,0,INDEX( DATOS3!$1:$19996,A8,MATCH("Dose_RP", DATOS3!$1:$1,0)))</f>
        <v>#N/A</v>
      </c>
      <c r="K8" t="e">
        <f>IF(INDEX( DATOS3!$1:$19996,A8,MATCH("Total_Fluoro_Time", DATOS3!$1:$1,0))=0,0,INDEX( DATOS3!$1:$19996,A8,MATCH("Total_Fluoro_Time", DATOS3!$1:$1,0)))</f>
        <v>#N/A</v>
      </c>
      <c r="L8" t="e">
        <f>IF(INDEX( DATOS3!$1:$19996,A8,MATCH("Total_Acquisition_Time", DATOS3!$1:$1,0))=0,0,INDEX( DATOS3!$1:$19996,A8,MATCH("Total_Acquisition_Time", DATOS3!$1:$1,0)))</f>
        <v>#N/A</v>
      </c>
    </row>
    <row r="9" spans="1:12" x14ac:dyDescent="0.25">
      <c r="A9">
        <v>9</v>
      </c>
      <c r="B9" t="e">
        <f t="shared" si="0"/>
        <v>#N/A</v>
      </c>
      <c r="C9" t="e">
        <f t="shared" si="1"/>
        <v>#N/A</v>
      </c>
      <c r="D9" t="e">
        <f>IF(INDEX( DATOS3!$1:$19996,A9,MATCH("PatientID", DATOS3!$1:$1,0))=0,"",INDEX( DATOS3!$1:$19996,A9,MATCH("PatientID", DATOS3!$1:$1,0)))</f>
        <v>#N/A</v>
      </c>
      <c r="F9" t="e">
        <f>IF(INDEX( DATOS3!$1:$19996,A9,MATCH("SeriesDate", DATOS3!$1:$1,0))=0,"",INDEX( DATOS3!$1:$19996,A9,MATCH("SeriesDate", DATOS3!$1:$1,0)))</f>
        <v>#N/A</v>
      </c>
      <c r="G9" t="e">
        <f>IF(INDEX( DATOS3!$1:$19996,A9,MATCH("SeriesTime", DATOS3!$1:$1,0))=0,"",INDEX( DATOS3!$1:$19996,A9,MATCH("SeriesTime", DATOS3!$1:$1,0)))</f>
        <v>#N/A</v>
      </c>
      <c r="H9" t="e">
        <f>IF(INDEX( DATOS3!$1:$19996,A9,MATCH("StudyDescription", DATOS3!$1:$1,0))=0,"",INDEX( DATOS3!$1:$19996,A9,MATCH("StudyDescription", DATOS3!$1:$1,0)))</f>
        <v>#N/A</v>
      </c>
      <c r="I9" t="e">
        <f>IF(INDEX( DATOS3!$1:$19996,A9,MATCH("Dose_Area_Product_Total", DATOS3!$1:$1,0))=0,0,INDEX( DATOS3!$1:$19996,A9,MATCH("Dose_Area_Product", DATOS3!$1:$1,0)))</f>
        <v>#N/A</v>
      </c>
      <c r="J9" t="e">
        <f>IF(INDEX( DATOS3!$1:$19996,A9,MATCH("Dose_RP_Total", DATOS3!$1:$1,0))=0,0,INDEX( DATOS3!$1:$19996,A9,MATCH("Dose_RP", DATOS3!$1:$1,0)))</f>
        <v>#N/A</v>
      </c>
      <c r="K9" t="e">
        <f>IF(INDEX( DATOS3!$1:$19996,A9,MATCH("Total_Fluoro_Time", DATOS3!$1:$1,0))=0,0,INDEX( DATOS3!$1:$19996,A9,MATCH("Total_Fluoro_Time", DATOS3!$1:$1,0)))</f>
        <v>#N/A</v>
      </c>
      <c r="L9" t="e">
        <f>IF(INDEX( DATOS3!$1:$19996,A9,MATCH("Total_Acquisition_Time", DATOS3!$1:$1,0))=0,0,INDEX( DATOS3!$1:$19996,A9,MATCH("Total_Acquisition_Time", DATOS3!$1:$1,0)))</f>
        <v>#N/A</v>
      </c>
    </row>
    <row r="10" spans="1:12" x14ac:dyDescent="0.25">
      <c r="A10">
        <v>10</v>
      </c>
      <c r="B10" t="e">
        <f t="shared" si="0"/>
        <v>#N/A</v>
      </c>
      <c r="C10" t="e">
        <f t="shared" si="1"/>
        <v>#N/A</v>
      </c>
      <c r="D10" t="e">
        <f>IF(INDEX( DATOS3!$1:$19996,A10,MATCH("PatientID", DATOS3!$1:$1,0))=0,"",INDEX( DATOS3!$1:$19996,A10,MATCH("PatientID", DATOS3!$1:$1,0)))</f>
        <v>#N/A</v>
      </c>
      <c r="F10" t="e">
        <f>IF(INDEX( DATOS3!$1:$19996,A10,MATCH("SeriesDate", DATOS3!$1:$1,0))=0,"",INDEX( DATOS3!$1:$19996,A10,MATCH("SeriesDate", DATOS3!$1:$1,0)))</f>
        <v>#N/A</v>
      </c>
      <c r="G10" t="e">
        <f>IF(INDEX( DATOS3!$1:$19996,A10,MATCH("SeriesTime", DATOS3!$1:$1,0))=0,"",INDEX( DATOS3!$1:$19996,A10,MATCH("SeriesTime", DATOS3!$1:$1,0)))</f>
        <v>#N/A</v>
      </c>
      <c r="H10" t="e">
        <f>IF(INDEX( DATOS3!$1:$19996,A10,MATCH("StudyDescription", DATOS3!$1:$1,0))=0,"",INDEX( DATOS3!$1:$19996,A10,MATCH("StudyDescription", DATOS3!$1:$1,0)))</f>
        <v>#N/A</v>
      </c>
      <c r="I10" t="e">
        <f>IF(INDEX( DATOS3!$1:$19996,A10,MATCH("Dose_Area_Product_Total", DATOS3!$1:$1,0))=0,0,INDEX( DATOS3!$1:$19996,A10,MATCH("Dose_Area_Product", DATOS3!$1:$1,0)))</f>
        <v>#N/A</v>
      </c>
      <c r="J10" t="e">
        <f>IF(INDEX( DATOS3!$1:$19996,A10,MATCH("Dose_RP_Total", DATOS3!$1:$1,0))=0,0,INDEX( DATOS3!$1:$19996,A10,MATCH("Dose_RP", DATOS3!$1:$1,0)))</f>
        <v>#N/A</v>
      </c>
      <c r="K10" t="e">
        <f>IF(INDEX( DATOS3!$1:$19996,A10,MATCH("Total_Fluoro_Time", DATOS3!$1:$1,0))=0,0,INDEX( DATOS3!$1:$19996,A10,MATCH("Total_Fluoro_Time", DATOS3!$1:$1,0)))</f>
        <v>#N/A</v>
      </c>
      <c r="L10" t="e">
        <f>IF(INDEX( DATOS3!$1:$19996,A10,MATCH("Total_Acquisition_Time", DATOS3!$1:$1,0))=0,0,INDEX( DATOS3!$1:$19996,A10,MATCH("Total_Acquisition_Time", DATOS3!$1:$1,0)))</f>
        <v>#N/A</v>
      </c>
    </row>
    <row r="11" spans="1:12" x14ac:dyDescent="0.25">
      <c r="A11">
        <v>11</v>
      </c>
      <c r="B11" t="e">
        <f t="shared" si="0"/>
        <v>#N/A</v>
      </c>
      <c r="C11" t="e">
        <f t="shared" si="1"/>
        <v>#N/A</v>
      </c>
      <c r="D11" t="e">
        <f>IF(INDEX( DATOS3!$1:$19996,A11,MATCH("PatientID", DATOS3!$1:$1,0))=0,"",INDEX( DATOS3!$1:$19996,A11,MATCH("PatientID", DATOS3!$1:$1,0)))</f>
        <v>#N/A</v>
      </c>
      <c r="F11" t="e">
        <f>IF(INDEX( DATOS3!$1:$19996,A11,MATCH("SeriesDate", DATOS3!$1:$1,0))=0,"",INDEX( DATOS3!$1:$19996,A11,MATCH("SeriesDate", DATOS3!$1:$1,0)))</f>
        <v>#N/A</v>
      </c>
      <c r="G11" t="e">
        <f>IF(INDEX( DATOS3!$1:$19996,A11,MATCH("SeriesTime", DATOS3!$1:$1,0))=0,"",INDEX( DATOS3!$1:$19996,A11,MATCH("SeriesTime", DATOS3!$1:$1,0)))</f>
        <v>#N/A</v>
      </c>
      <c r="H11" t="e">
        <f>IF(INDEX( DATOS3!$1:$19996,A11,MATCH("StudyDescription", DATOS3!$1:$1,0))=0,"",INDEX( DATOS3!$1:$19996,A11,MATCH("StudyDescription", DATOS3!$1:$1,0)))</f>
        <v>#N/A</v>
      </c>
      <c r="I11" t="e">
        <f>IF(INDEX( DATOS3!$1:$19996,A11,MATCH("Dose_Area_Product_Total", DATOS3!$1:$1,0))=0,0,INDEX( DATOS3!$1:$19996,A11,MATCH("Dose_Area_Product", DATOS3!$1:$1,0)))</f>
        <v>#N/A</v>
      </c>
      <c r="J11" t="e">
        <f>IF(INDEX( DATOS3!$1:$19996,A11,MATCH("Dose_RP_Total", DATOS3!$1:$1,0))=0,0,INDEX( DATOS3!$1:$19996,A11,MATCH("Dose_RP", DATOS3!$1:$1,0)))</f>
        <v>#N/A</v>
      </c>
      <c r="K11" t="e">
        <f>IF(INDEX( DATOS3!$1:$19996,A11,MATCH("Total_Fluoro_Time", DATOS3!$1:$1,0))=0,0,INDEX( DATOS3!$1:$19996,A11,MATCH("Total_Fluoro_Time", DATOS3!$1:$1,0)))</f>
        <v>#N/A</v>
      </c>
      <c r="L11" t="e">
        <f>IF(INDEX( DATOS3!$1:$19996,A11,MATCH("Total_Acquisition_Time", DATOS3!$1:$1,0))=0,0,INDEX( DATOS3!$1:$19996,A11,MATCH("Total_Acquisition_Time", DATOS3!$1:$1,0)))</f>
        <v>#N/A</v>
      </c>
    </row>
    <row r="12" spans="1:12" x14ac:dyDescent="0.25">
      <c r="A12">
        <v>12</v>
      </c>
      <c r="B12" t="e">
        <f t="shared" si="0"/>
        <v>#N/A</v>
      </c>
      <c r="C12" t="e">
        <f t="shared" si="1"/>
        <v>#N/A</v>
      </c>
      <c r="D12" t="e">
        <f>IF(INDEX( DATOS3!$1:$19996,A12,MATCH("PatientID", DATOS3!$1:$1,0))=0,"",INDEX( DATOS3!$1:$19996,A12,MATCH("PatientID", DATOS3!$1:$1,0)))</f>
        <v>#N/A</v>
      </c>
      <c r="F12" t="e">
        <f>IF(INDEX( DATOS3!$1:$19996,A12,MATCH("SeriesDate", DATOS3!$1:$1,0))=0,"",INDEX( DATOS3!$1:$19996,A12,MATCH("SeriesDate", DATOS3!$1:$1,0)))</f>
        <v>#N/A</v>
      </c>
      <c r="G12" t="e">
        <f>IF(INDEX( DATOS3!$1:$19996,A12,MATCH("SeriesTime", DATOS3!$1:$1,0))=0,"",INDEX( DATOS3!$1:$19996,A12,MATCH("SeriesTime", DATOS3!$1:$1,0)))</f>
        <v>#N/A</v>
      </c>
      <c r="H12" t="e">
        <f>IF(INDEX( DATOS3!$1:$19996,A12,MATCH("StudyDescription", DATOS3!$1:$1,0))=0,"",INDEX( DATOS3!$1:$19996,A12,MATCH("StudyDescription", DATOS3!$1:$1,0)))</f>
        <v>#N/A</v>
      </c>
      <c r="I12" t="e">
        <f>IF(INDEX( DATOS3!$1:$19996,A12,MATCH("Dose_Area_Product_Total", DATOS3!$1:$1,0))=0,0,INDEX( DATOS3!$1:$19996,A12,MATCH("Dose_Area_Product", DATOS3!$1:$1,0)))</f>
        <v>#N/A</v>
      </c>
      <c r="J12" t="e">
        <f>IF(INDEX( DATOS3!$1:$19996,A12,MATCH("Dose_RP_Total", DATOS3!$1:$1,0))=0,0,INDEX( DATOS3!$1:$19996,A12,MATCH("Dose_RP", DATOS3!$1:$1,0)))</f>
        <v>#N/A</v>
      </c>
      <c r="K12" t="e">
        <f>IF(INDEX( DATOS3!$1:$19996,A12,MATCH("Total_Fluoro_Time", DATOS3!$1:$1,0))=0,0,INDEX( DATOS3!$1:$19996,A12,MATCH("Total_Fluoro_Time", DATOS3!$1:$1,0)))</f>
        <v>#N/A</v>
      </c>
      <c r="L12" t="e">
        <f>IF(INDEX( DATOS3!$1:$19996,A12,MATCH("Total_Acquisition_Time", DATOS3!$1:$1,0))=0,0,INDEX( DATOS3!$1:$19996,A12,MATCH("Total_Acquisition_Time", DATOS3!$1:$1,0)))</f>
        <v>#N/A</v>
      </c>
    </row>
    <row r="13" spans="1:12" x14ac:dyDescent="0.25">
      <c r="A13">
        <v>13</v>
      </c>
      <c r="B13" t="e">
        <f t="shared" si="0"/>
        <v>#N/A</v>
      </c>
      <c r="C13" t="e">
        <f t="shared" si="1"/>
        <v>#N/A</v>
      </c>
      <c r="D13" t="e">
        <f>IF(INDEX( DATOS3!$1:$19996,A13,MATCH("PatientID", DATOS3!$1:$1,0))=0,"",INDEX( DATOS3!$1:$19996,A13,MATCH("PatientID", DATOS3!$1:$1,0)))</f>
        <v>#N/A</v>
      </c>
      <c r="F13" t="e">
        <f>IF(INDEX( DATOS3!$1:$19996,A13,MATCH("SeriesDate", DATOS3!$1:$1,0))=0,"",INDEX( DATOS3!$1:$19996,A13,MATCH("SeriesDate", DATOS3!$1:$1,0)))</f>
        <v>#N/A</v>
      </c>
      <c r="G13" t="e">
        <f>IF(INDEX( DATOS3!$1:$19996,A13,MATCH("SeriesTime", DATOS3!$1:$1,0))=0,"",INDEX( DATOS3!$1:$19996,A13,MATCH("SeriesTime", DATOS3!$1:$1,0)))</f>
        <v>#N/A</v>
      </c>
      <c r="H13" t="e">
        <f>IF(INDEX( DATOS3!$1:$19996,A13,MATCH("StudyDescription", DATOS3!$1:$1,0))=0,"",INDEX( DATOS3!$1:$19996,A13,MATCH("StudyDescription", DATOS3!$1:$1,0)))</f>
        <v>#N/A</v>
      </c>
      <c r="I13" t="e">
        <f>IF(INDEX( DATOS3!$1:$19996,A13,MATCH("Dose_Area_Product_Total", DATOS3!$1:$1,0))=0,0,INDEX( DATOS3!$1:$19996,A13,MATCH("Dose_Area_Product", DATOS3!$1:$1,0)))</f>
        <v>#N/A</v>
      </c>
      <c r="J13" t="e">
        <f>IF(INDEX( DATOS3!$1:$19996,A13,MATCH("Dose_RP_Total", DATOS3!$1:$1,0))=0,0,INDEX( DATOS3!$1:$19996,A13,MATCH("Dose_RP", DATOS3!$1:$1,0)))</f>
        <v>#N/A</v>
      </c>
      <c r="K13" t="e">
        <f>IF(INDEX( DATOS3!$1:$19996,A13,MATCH("Total_Fluoro_Time", DATOS3!$1:$1,0))=0,0,INDEX( DATOS3!$1:$19996,A13,MATCH("Total_Fluoro_Time", DATOS3!$1:$1,0)))</f>
        <v>#N/A</v>
      </c>
      <c r="L13" t="e">
        <f>IF(INDEX( DATOS3!$1:$19996,A13,MATCH("Total_Acquisition_Time", DATOS3!$1:$1,0))=0,0,INDEX( DATOS3!$1:$19996,A13,MATCH("Total_Acquisition_Time", DATOS3!$1:$1,0)))</f>
        <v>#N/A</v>
      </c>
    </row>
    <row r="14" spans="1:12" x14ac:dyDescent="0.25">
      <c r="A14">
        <v>14</v>
      </c>
      <c r="B14" t="e">
        <f t="shared" si="0"/>
        <v>#N/A</v>
      </c>
      <c r="C14" t="e">
        <f t="shared" si="1"/>
        <v>#N/A</v>
      </c>
      <c r="D14" t="e">
        <f>IF(INDEX( DATOS3!$1:$19996,A14,MATCH("PatientID", DATOS3!$1:$1,0))=0,"",INDEX( DATOS3!$1:$19996,A14,MATCH("PatientID", DATOS3!$1:$1,0)))</f>
        <v>#N/A</v>
      </c>
      <c r="F14" t="e">
        <f>IF(INDEX( DATOS3!$1:$19996,A14,MATCH("SeriesDate", DATOS3!$1:$1,0))=0,"",INDEX( DATOS3!$1:$19996,A14,MATCH("SeriesDate", DATOS3!$1:$1,0)))</f>
        <v>#N/A</v>
      </c>
      <c r="G14" t="e">
        <f>IF(INDEX( DATOS3!$1:$19996,A14,MATCH("SeriesTime", DATOS3!$1:$1,0))=0,"",INDEX( DATOS3!$1:$19996,A14,MATCH("SeriesTime", DATOS3!$1:$1,0)))</f>
        <v>#N/A</v>
      </c>
      <c r="H14" t="e">
        <f>IF(INDEX( DATOS3!$1:$19996,A14,MATCH("StudyDescription", DATOS3!$1:$1,0))=0,"",INDEX( DATOS3!$1:$19996,A14,MATCH("StudyDescription", DATOS3!$1:$1,0)))</f>
        <v>#N/A</v>
      </c>
      <c r="I14" t="e">
        <f>IF(INDEX( DATOS3!$1:$19996,A14,MATCH("Dose_Area_Product_Total", DATOS3!$1:$1,0))=0,0,INDEX( DATOS3!$1:$19996,A14,MATCH("Dose_Area_Product", DATOS3!$1:$1,0)))</f>
        <v>#N/A</v>
      </c>
      <c r="J14" t="e">
        <f>IF(INDEX( DATOS3!$1:$19996,A14,MATCH("Dose_RP_Total", DATOS3!$1:$1,0))=0,0,INDEX( DATOS3!$1:$19996,A14,MATCH("Dose_RP", DATOS3!$1:$1,0)))</f>
        <v>#N/A</v>
      </c>
      <c r="K14" t="e">
        <f>IF(INDEX( DATOS3!$1:$19996,A14,MATCH("Total_Fluoro_Time", DATOS3!$1:$1,0))=0,0,INDEX( DATOS3!$1:$19996,A14,MATCH("Total_Fluoro_Time", DATOS3!$1:$1,0)))</f>
        <v>#N/A</v>
      </c>
      <c r="L14" t="e">
        <f>IF(INDEX( DATOS3!$1:$19996,A14,MATCH("Total_Acquisition_Time", DATOS3!$1:$1,0))=0,0,INDEX( DATOS3!$1:$19996,A14,MATCH("Total_Acquisition_Time", DATOS3!$1:$1,0)))</f>
        <v>#N/A</v>
      </c>
    </row>
    <row r="15" spans="1:12" x14ac:dyDescent="0.25">
      <c r="A15">
        <v>15</v>
      </c>
      <c r="B15" t="e">
        <f t="shared" si="0"/>
        <v>#N/A</v>
      </c>
      <c r="C15" t="e">
        <f t="shared" si="1"/>
        <v>#N/A</v>
      </c>
      <c r="D15" t="e">
        <f>IF(INDEX( DATOS3!$1:$19996,A15,MATCH("PatientID", DATOS3!$1:$1,0))=0,"",INDEX( DATOS3!$1:$19996,A15,MATCH("PatientID", DATOS3!$1:$1,0)))</f>
        <v>#N/A</v>
      </c>
      <c r="F15" t="e">
        <f>IF(INDEX( DATOS3!$1:$19996,A15,MATCH("SeriesDate", DATOS3!$1:$1,0))=0,"",INDEX( DATOS3!$1:$19996,A15,MATCH("SeriesDate", DATOS3!$1:$1,0)))</f>
        <v>#N/A</v>
      </c>
      <c r="G15" t="e">
        <f>IF(INDEX( DATOS3!$1:$19996,A15,MATCH("SeriesTime", DATOS3!$1:$1,0))=0,"",INDEX( DATOS3!$1:$19996,A15,MATCH("SeriesTime", DATOS3!$1:$1,0)))</f>
        <v>#N/A</v>
      </c>
      <c r="H15" t="e">
        <f>IF(INDEX( DATOS3!$1:$19996,A15,MATCH("StudyDescription", DATOS3!$1:$1,0))=0,"",INDEX( DATOS3!$1:$19996,A15,MATCH("StudyDescription", DATOS3!$1:$1,0)))</f>
        <v>#N/A</v>
      </c>
      <c r="I15" t="e">
        <f>IF(INDEX( DATOS3!$1:$19996,A15,MATCH("Dose_Area_Product_Total", DATOS3!$1:$1,0))=0,0,INDEX( DATOS3!$1:$19996,A15,MATCH("Dose_Area_Product", DATOS3!$1:$1,0)))</f>
        <v>#N/A</v>
      </c>
      <c r="J15" t="e">
        <f>IF(INDEX( DATOS3!$1:$19996,A15,MATCH("Dose_RP_Total", DATOS3!$1:$1,0))=0,0,INDEX( DATOS3!$1:$19996,A15,MATCH("Dose_RP", DATOS3!$1:$1,0)))</f>
        <v>#N/A</v>
      </c>
      <c r="K15" t="e">
        <f>IF(INDEX( DATOS3!$1:$19996,A15,MATCH("Total_Fluoro_Time", DATOS3!$1:$1,0))=0,0,INDEX( DATOS3!$1:$19996,A15,MATCH("Total_Fluoro_Time", DATOS3!$1:$1,0)))</f>
        <v>#N/A</v>
      </c>
      <c r="L15" t="e">
        <f>IF(INDEX( DATOS3!$1:$19996,A15,MATCH("Total_Acquisition_Time", DATOS3!$1:$1,0))=0,0,INDEX( DATOS3!$1:$19996,A15,MATCH("Total_Acquisition_Time", DATOS3!$1:$1,0)))</f>
        <v>#N/A</v>
      </c>
    </row>
    <row r="16" spans="1:12" x14ac:dyDescent="0.25">
      <c r="A16">
        <v>16</v>
      </c>
      <c r="B16" t="e">
        <f t="shared" si="0"/>
        <v>#N/A</v>
      </c>
      <c r="C16" t="e">
        <f t="shared" si="1"/>
        <v>#N/A</v>
      </c>
      <c r="D16" t="e">
        <f>IF(INDEX( DATOS3!$1:$19996,A16,MATCH("PatientID", DATOS3!$1:$1,0))=0,"",INDEX( DATOS3!$1:$19996,A16,MATCH("PatientID", DATOS3!$1:$1,0)))</f>
        <v>#N/A</v>
      </c>
      <c r="F16" t="e">
        <f>IF(INDEX( DATOS3!$1:$19996,A16,MATCH("SeriesDate", DATOS3!$1:$1,0))=0,"",INDEX( DATOS3!$1:$19996,A16,MATCH("SeriesDate", DATOS3!$1:$1,0)))</f>
        <v>#N/A</v>
      </c>
      <c r="G16" t="e">
        <f>IF(INDEX( DATOS3!$1:$19996,A16,MATCH("SeriesTime", DATOS3!$1:$1,0))=0,"",INDEX( DATOS3!$1:$19996,A16,MATCH("SeriesTime", DATOS3!$1:$1,0)))</f>
        <v>#N/A</v>
      </c>
      <c r="H16" t="e">
        <f>IF(INDEX( DATOS3!$1:$19996,A16,MATCH("StudyDescription", DATOS3!$1:$1,0))=0,"",INDEX( DATOS3!$1:$19996,A16,MATCH("StudyDescription", DATOS3!$1:$1,0)))</f>
        <v>#N/A</v>
      </c>
      <c r="I16" t="e">
        <f>IF(INDEX( DATOS3!$1:$19996,A16,MATCH("Dose_Area_Product_Total", DATOS3!$1:$1,0))=0,0,INDEX( DATOS3!$1:$19996,A16,MATCH("Dose_Area_Product", DATOS3!$1:$1,0)))</f>
        <v>#N/A</v>
      </c>
      <c r="J16" t="e">
        <f>IF(INDEX( DATOS3!$1:$19996,A16,MATCH("Dose_RP_Total", DATOS3!$1:$1,0))=0,0,INDEX( DATOS3!$1:$19996,A16,MATCH("Dose_RP", DATOS3!$1:$1,0)))</f>
        <v>#N/A</v>
      </c>
      <c r="K16" t="e">
        <f>IF(INDEX( DATOS3!$1:$19996,A16,MATCH("Total_Fluoro_Time", DATOS3!$1:$1,0))=0,0,INDEX( DATOS3!$1:$19996,A16,MATCH("Total_Fluoro_Time", DATOS3!$1:$1,0)))</f>
        <v>#N/A</v>
      </c>
      <c r="L16" t="e">
        <f>IF(INDEX( DATOS3!$1:$19996,A16,MATCH("Total_Acquisition_Time", DATOS3!$1:$1,0))=0,0,INDEX( DATOS3!$1:$19996,A16,MATCH("Total_Acquisition_Time", DATOS3!$1:$1,0)))</f>
        <v>#N/A</v>
      </c>
    </row>
    <row r="17" spans="1:12" x14ac:dyDescent="0.25">
      <c r="A17">
        <v>17</v>
      </c>
      <c r="B17" t="e">
        <f t="shared" si="0"/>
        <v>#N/A</v>
      </c>
      <c r="C17" t="e">
        <f t="shared" si="1"/>
        <v>#N/A</v>
      </c>
      <c r="D17" t="e">
        <f>IF(INDEX( DATOS3!$1:$19996,A17,MATCH("PatientID", DATOS3!$1:$1,0))=0,"",INDEX( DATOS3!$1:$19996,A17,MATCH("PatientID", DATOS3!$1:$1,0)))</f>
        <v>#N/A</v>
      </c>
      <c r="F17" t="e">
        <f>IF(INDEX( DATOS3!$1:$19996,A17,MATCH("SeriesDate", DATOS3!$1:$1,0))=0,"",INDEX( DATOS3!$1:$19996,A17,MATCH("SeriesDate", DATOS3!$1:$1,0)))</f>
        <v>#N/A</v>
      </c>
      <c r="G17" t="e">
        <f>IF(INDEX( DATOS3!$1:$19996,A17,MATCH("SeriesTime", DATOS3!$1:$1,0))=0,"",INDEX( DATOS3!$1:$19996,A17,MATCH("SeriesTime", DATOS3!$1:$1,0)))</f>
        <v>#N/A</v>
      </c>
      <c r="H17" t="e">
        <f>IF(INDEX( DATOS3!$1:$19996,A17,MATCH("StudyDescription", DATOS3!$1:$1,0))=0,"",INDEX( DATOS3!$1:$19996,A17,MATCH("StudyDescription", DATOS3!$1:$1,0)))</f>
        <v>#N/A</v>
      </c>
      <c r="I17" t="e">
        <f>IF(INDEX( DATOS3!$1:$19996,A17,MATCH("Dose_Area_Product_Total", DATOS3!$1:$1,0))=0,0,INDEX( DATOS3!$1:$19996,A17,MATCH("Dose_Area_Product", DATOS3!$1:$1,0)))</f>
        <v>#N/A</v>
      </c>
      <c r="J17" t="e">
        <f>IF(INDEX( DATOS3!$1:$19996,A17,MATCH("Dose_RP_Total", DATOS3!$1:$1,0))=0,0,INDEX( DATOS3!$1:$19996,A17,MATCH("Dose_RP", DATOS3!$1:$1,0)))</f>
        <v>#N/A</v>
      </c>
      <c r="K17" t="e">
        <f>IF(INDEX( DATOS3!$1:$19996,A17,MATCH("Total_Fluoro_Time", DATOS3!$1:$1,0))=0,0,INDEX( DATOS3!$1:$19996,A17,MATCH("Total_Fluoro_Time", DATOS3!$1:$1,0)))</f>
        <v>#N/A</v>
      </c>
      <c r="L17" t="e">
        <f>IF(INDEX( DATOS3!$1:$19996,A17,MATCH("Total_Acquisition_Time", DATOS3!$1:$1,0))=0,0,INDEX( DATOS3!$1:$19996,A17,MATCH("Total_Acquisition_Time", DATOS3!$1:$1,0)))</f>
        <v>#N/A</v>
      </c>
    </row>
    <row r="18" spans="1:12" x14ac:dyDescent="0.25">
      <c r="A18">
        <v>18</v>
      </c>
      <c r="B18" t="e">
        <f t="shared" si="0"/>
        <v>#N/A</v>
      </c>
      <c r="C18" t="e">
        <f t="shared" si="1"/>
        <v>#N/A</v>
      </c>
      <c r="D18" t="e">
        <f>IF(INDEX( DATOS3!$1:$19996,A18,MATCH("PatientID", DATOS3!$1:$1,0))=0,"",INDEX( DATOS3!$1:$19996,A18,MATCH("PatientID", DATOS3!$1:$1,0)))</f>
        <v>#N/A</v>
      </c>
      <c r="F18" t="e">
        <f>IF(INDEX( DATOS3!$1:$19996,A18,MATCH("SeriesDate", DATOS3!$1:$1,0))=0,"",INDEX( DATOS3!$1:$19996,A18,MATCH("SeriesDate", DATOS3!$1:$1,0)))</f>
        <v>#N/A</v>
      </c>
      <c r="G18" t="e">
        <f>IF(INDEX( DATOS3!$1:$19996,A18,MATCH("SeriesTime", DATOS3!$1:$1,0))=0,"",INDEX( DATOS3!$1:$19996,A18,MATCH("SeriesTime", DATOS3!$1:$1,0)))</f>
        <v>#N/A</v>
      </c>
      <c r="H18" t="e">
        <f>IF(INDEX( DATOS3!$1:$19996,A18,MATCH("StudyDescription", DATOS3!$1:$1,0))=0,"",INDEX( DATOS3!$1:$19996,A18,MATCH("StudyDescription", DATOS3!$1:$1,0)))</f>
        <v>#N/A</v>
      </c>
      <c r="I18" t="e">
        <f>IF(INDEX( DATOS3!$1:$19996,A18,MATCH("Dose_Area_Product_Total", DATOS3!$1:$1,0))=0,0,INDEX( DATOS3!$1:$19996,A18,MATCH("Dose_Area_Product", DATOS3!$1:$1,0)))</f>
        <v>#N/A</v>
      </c>
      <c r="J18" t="e">
        <f>IF(INDEX( DATOS3!$1:$19996,A18,MATCH("Dose_RP_Total", DATOS3!$1:$1,0))=0,0,INDEX( DATOS3!$1:$19996,A18,MATCH("Dose_RP", DATOS3!$1:$1,0)))</f>
        <v>#N/A</v>
      </c>
      <c r="K18" t="e">
        <f>IF(INDEX( DATOS3!$1:$19996,A18,MATCH("Total_Fluoro_Time", DATOS3!$1:$1,0))=0,0,INDEX( DATOS3!$1:$19996,A18,MATCH("Total_Fluoro_Time", DATOS3!$1:$1,0)))</f>
        <v>#N/A</v>
      </c>
      <c r="L18" t="e">
        <f>IF(INDEX( DATOS3!$1:$19996,A18,MATCH("Total_Acquisition_Time", DATOS3!$1:$1,0))=0,0,INDEX( DATOS3!$1:$19996,A18,MATCH("Total_Acquisition_Time", DATOS3!$1:$1,0)))</f>
        <v>#N/A</v>
      </c>
    </row>
    <row r="19" spans="1:12" x14ac:dyDescent="0.25">
      <c r="A19">
        <v>19</v>
      </c>
      <c r="B19" t="e">
        <f t="shared" si="0"/>
        <v>#N/A</v>
      </c>
      <c r="C19" t="e">
        <f t="shared" si="1"/>
        <v>#N/A</v>
      </c>
      <c r="D19" t="e">
        <f>IF(INDEX( DATOS3!$1:$19996,A19,MATCH("PatientID", DATOS3!$1:$1,0))=0,"",INDEX( DATOS3!$1:$19996,A19,MATCH("PatientID", DATOS3!$1:$1,0)))</f>
        <v>#N/A</v>
      </c>
      <c r="F19" t="e">
        <f>IF(INDEX( DATOS3!$1:$19996,A19,MATCH("SeriesDate", DATOS3!$1:$1,0))=0,"",INDEX( DATOS3!$1:$19996,A19,MATCH("SeriesDate", DATOS3!$1:$1,0)))</f>
        <v>#N/A</v>
      </c>
      <c r="G19" t="e">
        <f>IF(INDEX( DATOS3!$1:$19996,A19,MATCH("SeriesTime", DATOS3!$1:$1,0))=0,"",INDEX( DATOS3!$1:$19996,A19,MATCH("SeriesTime", DATOS3!$1:$1,0)))</f>
        <v>#N/A</v>
      </c>
      <c r="H19" t="e">
        <f>IF(INDEX( DATOS3!$1:$19996,A19,MATCH("StudyDescription", DATOS3!$1:$1,0))=0,"",INDEX( DATOS3!$1:$19996,A19,MATCH("StudyDescription", DATOS3!$1:$1,0)))</f>
        <v>#N/A</v>
      </c>
      <c r="I19" t="e">
        <f>IF(INDEX( DATOS3!$1:$19996,A19,MATCH("Dose_Area_Product_Total", DATOS3!$1:$1,0))=0,0,INDEX( DATOS3!$1:$19996,A19,MATCH("Dose_Area_Product", DATOS3!$1:$1,0)))</f>
        <v>#N/A</v>
      </c>
      <c r="J19" t="e">
        <f>IF(INDEX( DATOS3!$1:$19996,A19,MATCH("Dose_RP_Total", DATOS3!$1:$1,0))=0,0,INDEX( DATOS3!$1:$19996,A19,MATCH("Dose_RP", DATOS3!$1:$1,0)))</f>
        <v>#N/A</v>
      </c>
      <c r="K19" t="e">
        <f>IF(INDEX( DATOS3!$1:$19996,A19,MATCH("Total_Fluoro_Time", DATOS3!$1:$1,0))=0,0,INDEX( DATOS3!$1:$19996,A19,MATCH("Total_Fluoro_Time", DATOS3!$1:$1,0)))</f>
        <v>#N/A</v>
      </c>
      <c r="L19" t="e">
        <f>IF(INDEX( DATOS3!$1:$19996,A19,MATCH("Total_Acquisition_Time", DATOS3!$1:$1,0))=0,0,INDEX( DATOS3!$1:$19996,A19,MATCH("Total_Acquisition_Time", DATOS3!$1:$1,0)))</f>
        <v>#N/A</v>
      </c>
    </row>
    <row r="20" spans="1:12" x14ac:dyDescent="0.25">
      <c r="A20">
        <v>20</v>
      </c>
      <c r="B20" t="e">
        <f t="shared" si="0"/>
        <v>#N/A</v>
      </c>
      <c r="C20" t="e">
        <f t="shared" si="1"/>
        <v>#N/A</v>
      </c>
      <c r="D20" t="e">
        <f>IF(INDEX( DATOS3!$1:$19996,A20,MATCH("PatientID", DATOS3!$1:$1,0))=0,"",INDEX( DATOS3!$1:$19996,A20,MATCH("PatientID", DATOS3!$1:$1,0)))</f>
        <v>#N/A</v>
      </c>
      <c r="F20" t="e">
        <f>IF(INDEX( DATOS3!$1:$19996,A20,MATCH("SeriesDate", DATOS3!$1:$1,0))=0,"",INDEX( DATOS3!$1:$19996,A20,MATCH("SeriesDate", DATOS3!$1:$1,0)))</f>
        <v>#N/A</v>
      </c>
      <c r="G20" t="e">
        <f>IF(INDEX( DATOS3!$1:$19996,A20,MATCH("SeriesTime", DATOS3!$1:$1,0))=0,"",INDEX( DATOS3!$1:$19996,A20,MATCH("SeriesTime", DATOS3!$1:$1,0)))</f>
        <v>#N/A</v>
      </c>
      <c r="H20" t="e">
        <f>IF(INDEX( DATOS3!$1:$19996,A20,MATCH("StudyDescription", DATOS3!$1:$1,0))=0,"",INDEX( DATOS3!$1:$19996,A20,MATCH("StudyDescription", DATOS3!$1:$1,0)))</f>
        <v>#N/A</v>
      </c>
      <c r="I20" t="e">
        <f>IF(INDEX( DATOS3!$1:$19996,A20,MATCH("Dose_Area_Product_Total", DATOS3!$1:$1,0))=0,0,INDEX( DATOS3!$1:$19996,A20,MATCH("Dose_Area_Product", DATOS3!$1:$1,0)))</f>
        <v>#N/A</v>
      </c>
      <c r="J20" t="e">
        <f>IF(INDEX( DATOS3!$1:$19996,A20,MATCH("Dose_RP_Total", DATOS3!$1:$1,0))=0,0,INDEX( DATOS3!$1:$19996,A20,MATCH("Dose_RP", DATOS3!$1:$1,0)))</f>
        <v>#N/A</v>
      </c>
      <c r="K20" t="e">
        <f>IF(INDEX( DATOS3!$1:$19996,A20,MATCH("Total_Fluoro_Time", DATOS3!$1:$1,0))=0,0,INDEX( DATOS3!$1:$19996,A20,MATCH("Total_Fluoro_Time", DATOS3!$1:$1,0)))</f>
        <v>#N/A</v>
      </c>
      <c r="L20" t="e">
        <f>IF(INDEX( DATOS3!$1:$19996,A20,MATCH("Total_Acquisition_Time", DATOS3!$1:$1,0))=0,0,INDEX( DATOS3!$1:$19996,A20,MATCH("Total_Acquisition_Time", DATOS3!$1:$1,0)))</f>
        <v>#N/A</v>
      </c>
    </row>
    <row r="21" spans="1:12" x14ac:dyDescent="0.25">
      <c r="A21">
        <v>21</v>
      </c>
      <c r="B21" t="e">
        <f t="shared" si="0"/>
        <v>#N/A</v>
      </c>
      <c r="C21" t="e">
        <f t="shared" si="1"/>
        <v>#N/A</v>
      </c>
      <c r="D21" t="e">
        <f>IF(INDEX( DATOS3!$1:$19996,A21,MATCH("PatientID", DATOS3!$1:$1,0))=0,"",INDEX( DATOS3!$1:$19996,A21,MATCH("PatientID", DATOS3!$1:$1,0)))</f>
        <v>#N/A</v>
      </c>
      <c r="F21" t="e">
        <f>IF(INDEX( DATOS3!$1:$19996,A21,MATCH("SeriesDate", DATOS3!$1:$1,0))=0,"",INDEX( DATOS3!$1:$19996,A21,MATCH("SeriesDate", DATOS3!$1:$1,0)))</f>
        <v>#N/A</v>
      </c>
      <c r="G21" t="e">
        <f>IF(INDEX( DATOS3!$1:$19996,A21,MATCH("SeriesTime", DATOS3!$1:$1,0))=0,"",INDEX( DATOS3!$1:$19996,A21,MATCH("SeriesTime", DATOS3!$1:$1,0)))</f>
        <v>#N/A</v>
      </c>
      <c r="H21" t="e">
        <f>IF(INDEX( DATOS3!$1:$19996,A21,MATCH("StudyDescription", DATOS3!$1:$1,0))=0,"",INDEX( DATOS3!$1:$19996,A21,MATCH("StudyDescription", DATOS3!$1:$1,0)))</f>
        <v>#N/A</v>
      </c>
      <c r="I21" t="e">
        <f>IF(INDEX( DATOS3!$1:$19996,A21,MATCH("Dose_Area_Product_Total", DATOS3!$1:$1,0))=0,0,INDEX( DATOS3!$1:$19996,A21,MATCH("Dose_Area_Product", DATOS3!$1:$1,0)))</f>
        <v>#N/A</v>
      </c>
      <c r="J21" t="e">
        <f>IF(INDEX( DATOS3!$1:$19996,A21,MATCH("Dose_RP_Total", DATOS3!$1:$1,0))=0,0,INDEX( DATOS3!$1:$19996,A21,MATCH("Dose_RP", DATOS3!$1:$1,0)))</f>
        <v>#N/A</v>
      </c>
      <c r="K21" t="e">
        <f>IF(INDEX( DATOS3!$1:$19996,A21,MATCH("Total_Fluoro_Time", DATOS3!$1:$1,0))=0,0,INDEX( DATOS3!$1:$19996,A21,MATCH("Total_Fluoro_Time", DATOS3!$1:$1,0)))</f>
        <v>#N/A</v>
      </c>
      <c r="L21" t="e">
        <f>IF(INDEX( DATOS3!$1:$19996,A21,MATCH("Total_Acquisition_Time", DATOS3!$1:$1,0))=0,0,INDEX( DATOS3!$1:$19996,A21,MATCH("Total_Acquisition_Time", DATOS3!$1:$1,0)))</f>
        <v>#N/A</v>
      </c>
    </row>
    <row r="22" spans="1:12" x14ac:dyDescent="0.25">
      <c r="A22">
        <v>22</v>
      </c>
      <c r="B22" t="e">
        <f t="shared" si="0"/>
        <v>#N/A</v>
      </c>
      <c r="C22" t="e">
        <f t="shared" si="1"/>
        <v>#N/A</v>
      </c>
      <c r="D22" t="e">
        <f>IF(INDEX( DATOS3!$1:$19996,A22,MATCH("PatientID", DATOS3!$1:$1,0))=0,"",INDEX( DATOS3!$1:$19996,A22,MATCH("PatientID", DATOS3!$1:$1,0)))</f>
        <v>#N/A</v>
      </c>
      <c r="F22" t="e">
        <f>IF(INDEX( DATOS3!$1:$19996,A22,MATCH("SeriesDate", DATOS3!$1:$1,0))=0,"",INDEX( DATOS3!$1:$19996,A22,MATCH("SeriesDate", DATOS3!$1:$1,0)))</f>
        <v>#N/A</v>
      </c>
      <c r="G22" t="e">
        <f>IF(INDEX( DATOS3!$1:$19996,A22,MATCH("SeriesTime", DATOS3!$1:$1,0))=0,"",INDEX( DATOS3!$1:$19996,A22,MATCH("SeriesTime", DATOS3!$1:$1,0)))</f>
        <v>#N/A</v>
      </c>
      <c r="H22" t="e">
        <f>IF(INDEX( DATOS3!$1:$19996,A22,MATCH("StudyDescription", DATOS3!$1:$1,0))=0,"",INDEX( DATOS3!$1:$19996,A22,MATCH("StudyDescription", DATOS3!$1:$1,0)))</f>
        <v>#N/A</v>
      </c>
      <c r="I22" t="e">
        <f>IF(INDEX( DATOS3!$1:$19996,A22,MATCH("Dose_Area_Product_Total", DATOS3!$1:$1,0))=0,0,INDEX( DATOS3!$1:$19996,A22,MATCH("Dose_Area_Product", DATOS3!$1:$1,0)))</f>
        <v>#N/A</v>
      </c>
      <c r="J22" t="e">
        <f>IF(INDEX( DATOS3!$1:$19996,A22,MATCH("Dose_RP_Total", DATOS3!$1:$1,0))=0,0,INDEX( DATOS3!$1:$19996,A22,MATCH("Dose_RP", DATOS3!$1:$1,0)))</f>
        <v>#N/A</v>
      </c>
      <c r="K22" t="e">
        <f>IF(INDEX( DATOS3!$1:$19996,A22,MATCH("Total_Fluoro_Time", DATOS3!$1:$1,0))=0,0,INDEX( DATOS3!$1:$19996,A22,MATCH("Total_Fluoro_Time", DATOS3!$1:$1,0)))</f>
        <v>#N/A</v>
      </c>
      <c r="L22" t="e">
        <f>IF(INDEX( DATOS3!$1:$19996,A22,MATCH("Total_Acquisition_Time", DATOS3!$1:$1,0))=0,0,INDEX( DATOS3!$1:$19996,A22,MATCH("Total_Acquisition_Time", DATOS3!$1:$1,0)))</f>
        <v>#N/A</v>
      </c>
    </row>
    <row r="23" spans="1:12" x14ac:dyDescent="0.25">
      <c r="A23">
        <v>23</v>
      </c>
      <c r="B23" t="e">
        <f t="shared" si="0"/>
        <v>#N/A</v>
      </c>
      <c r="C23" t="e">
        <f t="shared" si="1"/>
        <v>#N/A</v>
      </c>
      <c r="D23" t="e">
        <f>IF(INDEX( DATOS3!$1:$19996,A23,MATCH("PatientID", DATOS3!$1:$1,0))=0,"",INDEX( DATOS3!$1:$19996,A23,MATCH("PatientID", DATOS3!$1:$1,0)))</f>
        <v>#N/A</v>
      </c>
      <c r="F23" t="e">
        <f>IF(INDEX( DATOS3!$1:$19996,A23,MATCH("SeriesDate", DATOS3!$1:$1,0))=0,"",INDEX( DATOS3!$1:$19996,A23,MATCH("SeriesDate", DATOS3!$1:$1,0)))</f>
        <v>#N/A</v>
      </c>
      <c r="G23" t="e">
        <f>IF(INDEX( DATOS3!$1:$19996,A23,MATCH("SeriesTime", DATOS3!$1:$1,0))=0,"",INDEX( DATOS3!$1:$19996,A23,MATCH("SeriesTime", DATOS3!$1:$1,0)))</f>
        <v>#N/A</v>
      </c>
      <c r="H23" t="e">
        <f>IF(INDEX( DATOS3!$1:$19996,A23,MATCH("StudyDescription", DATOS3!$1:$1,0))=0,"",INDEX( DATOS3!$1:$19996,A23,MATCH("StudyDescription", DATOS3!$1:$1,0)))</f>
        <v>#N/A</v>
      </c>
      <c r="I23" t="e">
        <f>IF(INDEX( DATOS3!$1:$19996,A23,MATCH("Dose_Area_Product_Total", DATOS3!$1:$1,0))=0,0,INDEX( DATOS3!$1:$19996,A23,MATCH("Dose_Area_Product", DATOS3!$1:$1,0)))</f>
        <v>#N/A</v>
      </c>
      <c r="J23" t="e">
        <f>IF(INDEX( DATOS3!$1:$19996,A23,MATCH("Dose_RP_Total", DATOS3!$1:$1,0))=0,0,INDEX( DATOS3!$1:$19996,A23,MATCH("Dose_RP", DATOS3!$1:$1,0)))</f>
        <v>#N/A</v>
      </c>
      <c r="K23" t="e">
        <f>IF(INDEX( DATOS3!$1:$19996,A23,MATCH("Total_Fluoro_Time", DATOS3!$1:$1,0))=0,0,INDEX( DATOS3!$1:$19996,A23,MATCH("Total_Fluoro_Time", DATOS3!$1:$1,0)))</f>
        <v>#N/A</v>
      </c>
      <c r="L23" t="e">
        <f>IF(INDEX( DATOS3!$1:$19996,A23,MATCH("Total_Acquisition_Time", DATOS3!$1:$1,0))=0,0,INDEX( DATOS3!$1:$19996,A23,MATCH("Total_Acquisition_Time", DATOS3!$1:$1,0)))</f>
        <v>#N/A</v>
      </c>
    </row>
    <row r="24" spans="1:12" x14ac:dyDescent="0.25">
      <c r="A24">
        <v>24</v>
      </c>
      <c r="B24" t="e">
        <f t="shared" si="0"/>
        <v>#N/A</v>
      </c>
      <c r="C24" t="e">
        <f t="shared" si="1"/>
        <v>#N/A</v>
      </c>
      <c r="D24" t="e">
        <f>IF(INDEX( DATOS3!$1:$19996,A24,MATCH("PatientID", DATOS3!$1:$1,0))=0,"",INDEX( DATOS3!$1:$19996,A24,MATCH("PatientID", DATOS3!$1:$1,0)))</f>
        <v>#N/A</v>
      </c>
      <c r="F24" t="e">
        <f>IF(INDEX( DATOS3!$1:$19996,A24,MATCH("SeriesDate", DATOS3!$1:$1,0))=0,"",INDEX( DATOS3!$1:$19996,A24,MATCH("SeriesDate", DATOS3!$1:$1,0)))</f>
        <v>#N/A</v>
      </c>
      <c r="G24" t="e">
        <f>IF(INDEX( DATOS3!$1:$19996,A24,MATCH("SeriesTime", DATOS3!$1:$1,0))=0,"",INDEX( DATOS3!$1:$19996,A24,MATCH("SeriesTime", DATOS3!$1:$1,0)))</f>
        <v>#N/A</v>
      </c>
      <c r="H24" t="e">
        <f>IF(INDEX( DATOS3!$1:$19996,A24,MATCH("StudyDescription", DATOS3!$1:$1,0))=0,"",INDEX( DATOS3!$1:$19996,A24,MATCH("StudyDescription", DATOS3!$1:$1,0)))</f>
        <v>#N/A</v>
      </c>
      <c r="I24" t="e">
        <f>IF(INDEX( DATOS3!$1:$19996,A24,MATCH("Dose_Area_Product_Total", DATOS3!$1:$1,0))=0,0,INDEX( DATOS3!$1:$19996,A24,MATCH("Dose_Area_Product", DATOS3!$1:$1,0)))</f>
        <v>#N/A</v>
      </c>
      <c r="J24" t="e">
        <f>IF(INDEX( DATOS3!$1:$19996,A24,MATCH("Dose_RP_Total", DATOS3!$1:$1,0))=0,0,INDEX( DATOS3!$1:$19996,A24,MATCH("Dose_RP", DATOS3!$1:$1,0)))</f>
        <v>#N/A</v>
      </c>
      <c r="K24" t="e">
        <f>IF(INDEX( DATOS3!$1:$19996,A24,MATCH("Total_Fluoro_Time", DATOS3!$1:$1,0))=0,0,INDEX( DATOS3!$1:$19996,A24,MATCH("Total_Fluoro_Time", DATOS3!$1:$1,0)))</f>
        <v>#N/A</v>
      </c>
      <c r="L24" t="e">
        <f>IF(INDEX( DATOS3!$1:$19996,A24,MATCH("Total_Acquisition_Time", DATOS3!$1:$1,0))=0,0,INDEX( DATOS3!$1:$19996,A24,MATCH("Total_Acquisition_Time", DATOS3!$1:$1,0)))</f>
        <v>#N/A</v>
      </c>
    </row>
    <row r="25" spans="1:12" x14ac:dyDescent="0.25">
      <c r="A25">
        <v>25</v>
      </c>
      <c r="B25" t="e">
        <f t="shared" si="0"/>
        <v>#N/A</v>
      </c>
      <c r="C25" t="e">
        <f t="shared" si="1"/>
        <v>#N/A</v>
      </c>
      <c r="D25" t="e">
        <f>IF(INDEX( DATOS3!$1:$19996,A25,MATCH("PatientID", DATOS3!$1:$1,0))=0,"",INDEX( DATOS3!$1:$19996,A25,MATCH("PatientID", DATOS3!$1:$1,0)))</f>
        <v>#N/A</v>
      </c>
      <c r="F25" t="e">
        <f>IF(INDEX( DATOS3!$1:$19996,A25,MATCH("SeriesDate", DATOS3!$1:$1,0))=0,"",INDEX( DATOS3!$1:$19996,A25,MATCH("SeriesDate", DATOS3!$1:$1,0)))</f>
        <v>#N/A</v>
      </c>
      <c r="G25" t="e">
        <f>IF(INDEX( DATOS3!$1:$19996,A25,MATCH("SeriesTime", DATOS3!$1:$1,0))=0,"",INDEX( DATOS3!$1:$19996,A25,MATCH("SeriesTime", DATOS3!$1:$1,0)))</f>
        <v>#N/A</v>
      </c>
      <c r="H25" t="e">
        <f>IF(INDEX( DATOS3!$1:$19996,A25,MATCH("StudyDescription", DATOS3!$1:$1,0))=0,"",INDEX( DATOS3!$1:$19996,A25,MATCH("StudyDescription", DATOS3!$1:$1,0)))</f>
        <v>#N/A</v>
      </c>
      <c r="I25" t="e">
        <f>IF(INDEX( DATOS3!$1:$19996,A25,MATCH("Dose_Area_Product_Total", DATOS3!$1:$1,0))=0,0,INDEX( DATOS3!$1:$19996,A25,MATCH("Dose_Area_Product", DATOS3!$1:$1,0)))</f>
        <v>#N/A</v>
      </c>
      <c r="J25" t="e">
        <f>IF(INDEX( DATOS3!$1:$19996,A25,MATCH("Dose_RP_Total", DATOS3!$1:$1,0))=0,0,INDEX( DATOS3!$1:$19996,A25,MATCH("Dose_RP", DATOS3!$1:$1,0)))</f>
        <v>#N/A</v>
      </c>
      <c r="K25" t="e">
        <f>IF(INDEX( DATOS3!$1:$19996,A25,MATCH("Total_Fluoro_Time", DATOS3!$1:$1,0))=0,0,INDEX( DATOS3!$1:$19996,A25,MATCH("Total_Fluoro_Time", DATOS3!$1:$1,0)))</f>
        <v>#N/A</v>
      </c>
      <c r="L25" t="e">
        <f>IF(INDEX( DATOS3!$1:$19996,A25,MATCH("Total_Acquisition_Time", DATOS3!$1:$1,0))=0,0,INDEX( DATOS3!$1:$19996,A25,MATCH("Total_Acquisition_Time", DATOS3!$1:$1,0)))</f>
        <v>#N/A</v>
      </c>
    </row>
    <row r="26" spans="1:12" x14ac:dyDescent="0.25">
      <c r="A26">
        <v>26</v>
      </c>
      <c r="B26" t="e">
        <f t="shared" si="0"/>
        <v>#N/A</v>
      </c>
      <c r="C26" t="e">
        <f t="shared" si="1"/>
        <v>#N/A</v>
      </c>
      <c r="D26" t="e">
        <f>IF(INDEX( DATOS3!$1:$19996,A26,MATCH("PatientID", DATOS3!$1:$1,0))=0,"",INDEX( DATOS3!$1:$19996,A26,MATCH("PatientID", DATOS3!$1:$1,0)))</f>
        <v>#N/A</v>
      </c>
      <c r="F26" t="e">
        <f>IF(INDEX( DATOS3!$1:$19996,A26,MATCH("SeriesDate", DATOS3!$1:$1,0))=0,"",INDEX( DATOS3!$1:$19996,A26,MATCH("SeriesDate", DATOS3!$1:$1,0)))</f>
        <v>#N/A</v>
      </c>
      <c r="G26" t="e">
        <f>IF(INDEX( DATOS3!$1:$19996,A26,MATCH("SeriesTime", DATOS3!$1:$1,0))=0,"",INDEX( DATOS3!$1:$19996,A26,MATCH("SeriesTime", DATOS3!$1:$1,0)))</f>
        <v>#N/A</v>
      </c>
      <c r="H26" t="e">
        <f>IF(INDEX( DATOS3!$1:$19996,A26,MATCH("StudyDescription", DATOS3!$1:$1,0))=0,"",INDEX( DATOS3!$1:$19996,A26,MATCH("StudyDescription", DATOS3!$1:$1,0)))</f>
        <v>#N/A</v>
      </c>
      <c r="I26" t="e">
        <f>IF(INDEX( DATOS3!$1:$19996,A26,MATCH("Dose_Area_Product_Total", DATOS3!$1:$1,0))=0,0,INDEX( DATOS3!$1:$19996,A26,MATCH("Dose_Area_Product", DATOS3!$1:$1,0)))</f>
        <v>#N/A</v>
      </c>
      <c r="J26" t="e">
        <f>IF(INDEX( DATOS3!$1:$19996,A26,MATCH("Dose_RP_Total", DATOS3!$1:$1,0))=0,0,INDEX( DATOS3!$1:$19996,A26,MATCH("Dose_RP", DATOS3!$1:$1,0)))</f>
        <v>#N/A</v>
      </c>
      <c r="K26" t="e">
        <f>IF(INDEX( DATOS3!$1:$19996,A26,MATCH("Total_Fluoro_Time", DATOS3!$1:$1,0))=0,0,INDEX( DATOS3!$1:$19996,A26,MATCH("Total_Fluoro_Time", DATOS3!$1:$1,0)))</f>
        <v>#N/A</v>
      </c>
      <c r="L26" t="e">
        <f>IF(INDEX( DATOS3!$1:$19996,A26,MATCH("Total_Acquisition_Time", DATOS3!$1:$1,0))=0,0,INDEX( DATOS3!$1:$19996,A26,MATCH("Total_Acquisition_Time", DATOS3!$1:$1,0)))</f>
        <v>#N/A</v>
      </c>
    </row>
    <row r="27" spans="1:12" x14ac:dyDescent="0.25">
      <c r="A27">
        <v>27</v>
      </c>
      <c r="B27" t="e">
        <f t="shared" si="0"/>
        <v>#N/A</v>
      </c>
      <c r="C27" t="e">
        <f t="shared" si="1"/>
        <v>#N/A</v>
      </c>
      <c r="D27" t="e">
        <f>IF(INDEX( DATOS3!$1:$19996,A27,MATCH("PatientID", DATOS3!$1:$1,0))=0,"",INDEX( DATOS3!$1:$19996,A27,MATCH("PatientID", DATOS3!$1:$1,0)))</f>
        <v>#N/A</v>
      </c>
      <c r="F27" t="e">
        <f>IF(INDEX( DATOS3!$1:$19996,A27,MATCH("SeriesDate", DATOS3!$1:$1,0))=0,"",INDEX( DATOS3!$1:$19996,A27,MATCH("SeriesDate", DATOS3!$1:$1,0)))</f>
        <v>#N/A</v>
      </c>
      <c r="G27" t="e">
        <f>IF(INDEX( DATOS3!$1:$19996,A27,MATCH("SeriesTime", DATOS3!$1:$1,0))=0,"",INDEX( DATOS3!$1:$19996,A27,MATCH("SeriesTime", DATOS3!$1:$1,0)))</f>
        <v>#N/A</v>
      </c>
      <c r="H27" t="e">
        <f>IF(INDEX( DATOS3!$1:$19996,A27,MATCH("StudyDescription", DATOS3!$1:$1,0))=0,"",INDEX( DATOS3!$1:$19996,A27,MATCH("StudyDescription", DATOS3!$1:$1,0)))</f>
        <v>#N/A</v>
      </c>
      <c r="I27" t="e">
        <f>IF(INDEX( DATOS3!$1:$19996,A27,MATCH("Dose_Area_Product_Total", DATOS3!$1:$1,0))=0,0,INDEX( DATOS3!$1:$19996,A27,MATCH("Dose_Area_Product", DATOS3!$1:$1,0)))</f>
        <v>#N/A</v>
      </c>
      <c r="J27" t="e">
        <f>IF(INDEX( DATOS3!$1:$19996,A27,MATCH("Dose_RP_Total", DATOS3!$1:$1,0))=0,0,INDEX( DATOS3!$1:$19996,A27,MATCH("Dose_RP", DATOS3!$1:$1,0)))</f>
        <v>#N/A</v>
      </c>
      <c r="K27" t="e">
        <f>IF(INDEX( DATOS3!$1:$19996,A27,MATCH("Total_Fluoro_Time", DATOS3!$1:$1,0))=0,0,INDEX( DATOS3!$1:$19996,A27,MATCH("Total_Fluoro_Time", DATOS3!$1:$1,0)))</f>
        <v>#N/A</v>
      </c>
      <c r="L27" t="e">
        <f>IF(INDEX( DATOS3!$1:$19996,A27,MATCH("Total_Acquisition_Time", DATOS3!$1:$1,0))=0,0,INDEX( DATOS3!$1:$19996,A27,MATCH("Total_Acquisition_Time", DATOS3!$1:$1,0)))</f>
        <v>#N/A</v>
      </c>
    </row>
    <row r="28" spans="1:12" x14ac:dyDescent="0.25">
      <c r="A28">
        <v>28</v>
      </c>
      <c r="B28" t="e">
        <f t="shared" si="0"/>
        <v>#N/A</v>
      </c>
      <c r="C28" t="e">
        <f t="shared" si="1"/>
        <v>#N/A</v>
      </c>
      <c r="D28" t="e">
        <f>IF(INDEX( DATOS3!$1:$19996,A28,MATCH("PatientID", DATOS3!$1:$1,0))=0,"",INDEX( DATOS3!$1:$19996,A28,MATCH("PatientID", DATOS3!$1:$1,0)))</f>
        <v>#N/A</v>
      </c>
      <c r="F28" t="e">
        <f>IF(INDEX( DATOS3!$1:$19996,A28,MATCH("SeriesDate", DATOS3!$1:$1,0))=0,"",INDEX( DATOS3!$1:$19996,A28,MATCH("SeriesDate", DATOS3!$1:$1,0)))</f>
        <v>#N/A</v>
      </c>
      <c r="G28" t="e">
        <f>IF(INDEX( DATOS3!$1:$19996,A28,MATCH("SeriesTime", DATOS3!$1:$1,0))=0,"",INDEX( DATOS3!$1:$19996,A28,MATCH("SeriesTime", DATOS3!$1:$1,0)))</f>
        <v>#N/A</v>
      </c>
      <c r="H28" t="e">
        <f>IF(INDEX( DATOS3!$1:$19996,A28,MATCH("StudyDescription", DATOS3!$1:$1,0))=0,"",INDEX( DATOS3!$1:$19996,A28,MATCH("StudyDescription", DATOS3!$1:$1,0)))</f>
        <v>#N/A</v>
      </c>
      <c r="I28" t="e">
        <f>IF(INDEX( DATOS3!$1:$19996,A28,MATCH("Dose_Area_Product_Total", DATOS3!$1:$1,0))=0,0,INDEX( DATOS3!$1:$19996,A28,MATCH("Dose_Area_Product", DATOS3!$1:$1,0)))</f>
        <v>#N/A</v>
      </c>
      <c r="J28" t="e">
        <f>IF(INDEX( DATOS3!$1:$19996,A28,MATCH("Dose_RP_Total", DATOS3!$1:$1,0))=0,0,INDEX( DATOS3!$1:$19996,A28,MATCH("Dose_RP", DATOS3!$1:$1,0)))</f>
        <v>#N/A</v>
      </c>
      <c r="K28" t="e">
        <f>IF(INDEX( DATOS3!$1:$19996,A28,MATCH("Total_Fluoro_Time", DATOS3!$1:$1,0))=0,0,INDEX( DATOS3!$1:$19996,A28,MATCH("Total_Fluoro_Time", DATOS3!$1:$1,0)))</f>
        <v>#N/A</v>
      </c>
      <c r="L28" t="e">
        <f>IF(INDEX( DATOS3!$1:$19996,A28,MATCH("Total_Acquisition_Time", DATOS3!$1:$1,0))=0,0,INDEX( DATOS3!$1:$19996,A28,MATCH("Total_Acquisition_Time", DATOS3!$1:$1,0)))</f>
        <v>#N/A</v>
      </c>
    </row>
    <row r="29" spans="1:12" x14ac:dyDescent="0.25">
      <c r="A29">
        <v>29</v>
      </c>
      <c r="B29" t="e">
        <f t="shared" si="0"/>
        <v>#N/A</v>
      </c>
      <c r="C29" t="e">
        <f t="shared" si="1"/>
        <v>#N/A</v>
      </c>
      <c r="D29" t="e">
        <f>IF(INDEX( DATOS3!$1:$19996,A29,MATCH("PatientID", DATOS3!$1:$1,0))=0,"",INDEX( DATOS3!$1:$19996,A29,MATCH("PatientID", DATOS3!$1:$1,0)))</f>
        <v>#N/A</v>
      </c>
      <c r="F29" t="e">
        <f>IF(INDEX( DATOS3!$1:$19996,A29,MATCH("SeriesDate", DATOS3!$1:$1,0))=0,"",INDEX( DATOS3!$1:$19996,A29,MATCH("SeriesDate", DATOS3!$1:$1,0)))</f>
        <v>#N/A</v>
      </c>
      <c r="G29" t="e">
        <f>IF(INDEX( DATOS3!$1:$19996,A29,MATCH("SeriesTime", DATOS3!$1:$1,0))=0,"",INDEX( DATOS3!$1:$19996,A29,MATCH("SeriesTime", DATOS3!$1:$1,0)))</f>
        <v>#N/A</v>
      </c>
      <c r="H29" t="e">
        <f>IF(INDEX( DATOS3!$1:$19996,A29,MATCH("StudyDescription", DATOS3!$1:$1,0))=0,"",INDEX( DATOS3!$1:$19996,A29,MATCH("StudyDescription", DATOS3!$1:$1,0)))</f>
        <v>#N/A</v>
      </c>
      <c r="I29" t="e">
        <f>IF(INDEX( DATOS3!$1:$19996,A29,MATCH("Dose_Area_Product_Total", DATOS3!$1:$1,0))=0,0,INDEX( DATOS3!$1:$19996,A29,MATCH("Dose_Area_Product", DATOS3!$1:$1,0)))</f>
        <v>#N/A</v>
      </c>
      <c r="J29" t="e">
        <f>IF(INDEX( DATOS3!$1:$19996,A29,MATCH("Dose_RP_Total", DATOS3!$1:$1,0))=0,0,INDEX( DATOS3!$1:$19996,A29,MATCH("Dose_RP", DATOS3!$1:$1,0)))</f>
        <v>#N/A</v>
      </c>
      <c r="K29" t="e">
        <f>IF(INDEX( DATOS3!$1:$19996,A29,MATCH("Total_Fluoro_Time", DATOS3!$1:$1,0))=0,0,INDEX( DATOS3!$1:$19996,A29,MATCH("Total_Fluoro_Time", DATOS3!$1:$1,0)))</f>
        <v>#N/A</v>
      </c>
      <c r="L29" t="e">
        <f>IF(INDEX( DATOS3!$1:$19996,A29,MATCH("Total_Acquisition_Time", DATOS3!$1:$1,0))=0,0,INDEX( DATOS3!$1:$19996,A29,MATCH("Total_Acquisition_Time", DATOS3!$1:$1,0)))</f>
        <v>#N/A</v>
      </c>
    </row>
    <row r="30" spans="1:12" x14ac:dyDescent="0.25">
      <c r="A30">
        <v>30</v>
      </c>
      <c r="B30" t="e">
        <f t="shared" si="0"/>
        <v>#N/A</v>
      </c>
      <c r="C30" t="e">
        <f t="shared" si="1"/>
        <v>#N/A</v>
      </c>
      <c r="D30" t="e">
        <f>IF(INDEX( DATOS3!$1:$19996,A30,MATCH("PatientID", DATOS3!$1:$1,0))=0,"",INDEX( DATOS3!$1:$19996,A30,MATCH("PatientID", DATOS3!$1:$1,0)))</f>
        <v>#N/A</v>
      </c>
      <c r="F30" t="e">
        <f>IF(INDEX( DATOS3!$1:$19996,A30,MATCH("SeriesDate", DATOS3!$1:$1,0))=0,"",INDEX( DATOS3!$1:$19996,A30,MATCH("SeriesDate", DATOS3!$1:$1,0)))</f>
        <v>#N/A</v>
      </c>
      <c r="G30" t="e">
        <f>IF(INDEX( DATOS3!$1:$19996,A30,MATCH("SeriesTime", DATOS3!$1:$1,0))=0,"",INDEX( DATOS3!$1:$19996,A30,MATCH("SeriesTime", DATOS3!$1:$1,0)))</f>
        <v>#N/A</v>
      </c>
      <c r="H30" t="e">
        <f>IF(INDEX( DATOS3!$1:$19996,A30,MATCH("StudyDescription", DATOS3!$1:$1,0))=0,"",INDEX( DATOS3!$1:$19996,A30,MATCH("StudyDescription", DATOS3!$1:$1,0)))</f>
        <v>#N/A</v>
      </c>
      <c r="I30" t="e">
        <f>IF(INDEX( DATOS3!$1:$19996,A30,MATCH("Dose_Area_Product_Total", DATOS3!$1:$1,0))=0,0,INDEX( DATOS3!$1:$19996,A30,MATCH("Dose_Area_Product", DATOS3!$1:$1,0)))</f>
        <v>#N/A</v>
      </c>
      <c r="J30" t="e">
        <f>IF(INDEX( DATOS3!$1:$19996,A30,MATCH("Dose_RP_Total", DATOS3!$1:$1,0))=0,0,INDEX( DATOS3!$1:$19996,A30,MATCH("Dose_RP", DATOS3!$1:$1,0)))</f>
        <v>#N/A</v>
      </c>
      <c r="K30" t="e">
        <f>IF(INDEX( DATOS3!$1:$19996,A30,MATCH("Total_Fluoro_Time", DATOS3!$1:$1,0))=0,0,INDEX( DATOS3!$1:$19996,A30,MATCH("Total_Fluoro_Time", DATOS3!$1:$1,0)))</f>
        <v>#N/A</v>
      </c>
      <c r="L30" t="e">
        <f>IF(INDEX( DATOS3!$1:$19996,A30,MATCH("Total_Acquisition_Time", DATOS3!$1:$1,0))=0,0,INDEX( DATOS3!$1:$19996,A30,MATCH("Total_Acquisition_Time", DATOS3!$1:$1,0)))</f>
        <v>#N/A</v>
      </c>
    </row>
    <row r="31" spans="1:12" x14ac:dyDescent="0.25">
      <c r="A31">
        <v>31</v>
      </c>
      <c r="B31" t="e">
        <f t="shared" si="0"/>
        <v>#N/A</v>
      </c>
      <c r="C31" t="e">
        <f t="shared" si="1"/>
        <v>#N/A</v>
      </c>
      <c r="D31" t="e">
        <f>IF(INDEX( DATOS3!$1:$19996,A31,MATCH("PatientID", DATOS3!$1:$1,0))=0,"",INDEX( DATOS3!$1:$19996,A31,MATCH("PatientID", DATOS3!$1:$1,0)))</f>
        <v>#N/A</v>
      </c>
      <c r="F31" t="e">
        <f>IF(INDEX( DATOS3!$1:$19996,A31,MATCH("SeriesDate", DATOS3!$1:$1,0))=0,"",INDEX( DATOS3!$1:$19996,A31,MATCH("SeriesDate", DATOS3!$1:$1,0)))</f>
        <v>#N/A</v>
      </c>
      <c r="G31" t="e">
        <f>IF(INDEX( DATOS3!$1:$19996,A31,MATCH("SeriesTime", DATOS3!$1:$1,0))=0,"",INDEX( DATOS3!$1:$19996,A31,MATCH("SeriesTime", DATOS3!$1:$1,0)))</f>
        <v>#N/A</v>
      </c>
      <c r="H31" t="e">
        <f>IF(INDEX( DATOS3!$1:$19996,A31,MATCH("StudyDescription", DATOS3!$1:$1,0))=0,"",INDEX( DATOS3!$1:$19996,A31,MATCH("StudyDescription", DATOS3!$1:$1,0)))</f>
        <v>#N/A</v>
      </c>
      <c r="I31" t="e">
        <f>IF(INDEX( DATOS3!$1:$19996,A31,MATCH("Dose_Area_Product_Total", DATOS3!$1:$1,0))=0,0,INDEX( DATOS3!$1:$19996,A31,MATCH("Dose_Area_Product", DATOS3!$1:$1,0)))</f>
        <v>#N/A</v>
      </c>
      <c r="J31" t="e">
        <f>IF(INDEX( DATOS3!$1:$19996,A31,MATCH("Dose_RP_Total", DATOS3!$1:$1,0))=0,0,INDEX( DATOS3!$1:$19996,A31,MATCH("Dose_RP", DATOS3!$1:$1,0)))</f>
        <v>#N/A</v>
      </c>
      <c r="K31" t="e">
        <f>IF(INDEX( DATOS3!$1:$19996,A31,MATCH("Total_Fluoro_Time", DATOS3!$1:$1,0))=0,0,INDEX( DATOS3!$1:$19996,A31,MATCH("Total_Fluoro_Time", DATOS3!$1:$1,0)))</f>
        <v>#N/A</v>
      </c>
      <c r="L31" t="e">
        <f>IF(INDEX( DATOS3!$1:$19996,A31,MATCH("Total_Acquisition_Time", DATOS3!$1:$1,0))=0,0,INDEX( DATOS3!$1:$19996,A31,MATCH("Total_Acquisition_Time", DATOS3!$1:$1,0)))</f>
        <v>#N/A</v>
      </c>
    </row>
    <row r="32" spans="1:12" x14ac:dyDescent="0.25">
      <c r="A32">
        <v>32</v>
      </c>
      <c r="B32" t="e">
        <f t="shared" si="0"/>
        <v>#N/A</v>
      </c>
      <c r="C32" t="e">
        <f t="shared" si="1"/>
        <v>#N/A</v>
      </c>
      <c r="D32" t="e">
        <f>IF(INDEX( DATOS3!$1:$19996,A32,MATCH("PatientID", DATOS3!$1:$1,0))=0,"",INDEX( DATOS3!$1:$19996,A32,MATCH("PatientID", DATOS3!$1:$1,0)))</f>
        <v>#N/A</v>
      </c>
      <c r="F32" t="e">
        <f>IF(INDEX( DATOS3!$1:$19996,A32,MATCH("SeriesDate", DATOS3!$1:$1,0))=0,"",INDEX( DATOS3!$1:$19996,A32,MATCH("SeriesDate", DATOS3!$1:$1,0)))</f>
        <v>#N/A</v>
      </c>
      <c r="G32" t="e">
        <f>IF(INDEX( DATOS3!$1:$19996,A32,MATCH("SeriesTime", DATOS3!$1:$1,0))=0,"",INDEX( DATOS3!$1:$19996,A32,MATCH("SeriesTime", DATOS3!$1:$1,0)))</f>
        <v>#N/A</v>
      </c>
      <c r="H32" t="e">
        <f>IF(INDEX( DATOS3!$1:$19996,A32,MATCH("StudyDescription", DATOS3!$1:$1,0))=0,"",INDEX( DATOS3!$1:$19996,A32,MATCH("StudyDescription", DATOS3!$1:$1,0)))</f>
        <v>#N/A</v>
      </c>
      <c r="I32" t="e">
        <f>IF(INDEX( DATOS3!$1:$19996,A32,MATCH("Dose_Area_Product_Total", DATOS3!$1:$1,0))=0,0,INDEX( DATOS3!$1:$19996,A32,MATCH("Dose_Area_Product", DATOS3!$1:$1,0)))</f>
        <v>#N/A</v>
      </c>
      <c r="J32" t="e">
        <f>IF(INDEX( DATOS3!$1:$19996,A32,MATCH("Dose_RP_Total", DATOS3!$1:$1,0))=0,0,INDEX( DATOS3!$1:$19996,A32,MATCH("Dose_RP", DATOS3!$1:$1,0)))</f>
        <v>#N/A</v>
      </c>
      <c r="K32" t="e">
        <f>IF(INDEX( DATOS3!$1:$19996,A32,MATCH("Total_Fluoro_Time", DATOS3!$1:$1,0))=0,0,INDEX( DATOS3!$1:$19996,A32,MATCH("Total_Fluoro_Time", DATOS3!$1:$1,0)))</f>
        <v>#N/A</v>
      </c>
      <c r="L32" t="e">
        <f>IF(INDEX( DATOS3!$1:$19996,A32,MATCH("Total_Acquisition_Time", DATOS3!$1:$1,0))=0,0,INDEX( DATOS3!$1:$19996,A32,MATCH("Total_Acquisition_Time", DATOS3!$1:$1,0)))</f>
        <v>#N/A</v>
      </c>
    </row>
    <row r="33" spans="1:12" x14ac:dyDescent="0.25">
      <c r="A33">
        <v>33</v>
      </c>
      <c r="B33" t="e">
        <f t="shared" si="0"/>
        <v>#N/A</v>
      </c>
      <c r="C33" t="e">
        <f t="shared" si="1"/>
        <v>#N/A</v>
      </c>
      <c r="D33" t="e">
        <f>IF(INDEX( DATOS3!$1:$19996,A33,MATCH("PatientID", DATOS3!$1:$1,0))=0,"",INDEX( DATOS3!$1:$19996,A33,MATCH("PatientID", DATOS3!$1:$1,0)))</f>
        <v>#N/A</v>
      </c>
      <c r="F33" t="e">
        <f>IF(INDEX( DATOS3!$1:$19996,A33,MATCH("SeriesDate", DATOS3!$1:$1,0))=0,"",INDEX( DATOS3!$1:$19996,A33,MATCH("SeriesDate", DATOS3!$1:$1,0)))</f>
        <v>#N/A</v>
      </c>
      <c r="G33" t="e">
        <f>IF(INDEX( DATOS3!$1:$19996,A33,MATCH("SeriesTime", DATOS3!$1:$1,0))=0,"",INDEX( DATOS3!$1:$19996,A33,MATCH("SeriesTime", DATOS3!$1:$1,0)))</f>
        <v>#N/A</v>
      </c>
      <c r="H33" t="e">
        <f>IF(INDEX( DATOS3!$1:$19996,A33,MATCH("StudyDescription", DATOS3!$1:$1,0))=0,"",INDEX( DATOS3!$1:$19996,A33,MATCH("StudyDescription", DATOS3!$1:$1,0)))</f>
        <v>#N/A</v>
      </c>
      <c r="I33" t="e">
        <f>IF(INDEX( DATOS3!$1:$19996,A33,MATCH("Dose_Area_Product_Total", DATOS3!$1:$1,0))=0,0,INDEX( DATOS3!$1:$19996,A33,MATCH("Dose_Area_Product", DATOS3!$1:$1,0)))</f>
        <v>#N/A</v>
      </c>
      <c r="J33" t="e">
        <f>IF(INDEX( DATOS3!$1:$19996,A33,MATCH("Dose_RP_Total", DATOS3!$1:$1,0))=0,0,INDEX( DATOS3!$1:$19996,A33,MATCH("Dose_RP", DATOS3!$1:$1,0)))</f>
        <v>#N/A</v>
      </c>
      <c r="K33" t="e">
        <f>IF(INDEX( DATOS3!$1:$19996,A33,MATCH("Total_Fluoro_Time", DATOS3!$1:$1,0))=0,0,INDEX( DATOS3!$1:$19996,A33,MATCH("Total_Fluoro_Time", DATOS3!$1:$1,0)))</f>
        <v>#N/A</v>
      </c>
      <c r="L33" t="e">
        <f>IF(INDEX( DATOS3!$1:$19996,A33,MATCH("Total_Acquisition_Time", DATOS3!$1:$1,0))=0,0,INDEX( DATOS3!$1:$19996,A33,MATCH("Total_Acquisition_Time", DATOS3!$1:$1,0)))</f>
        <v>#N/A</v>
      </c>
    </row>
    <row r="34" spans="1:12" x14ac:dyDescent="0.25">
      <c r="A34">
        <v>34</v>
      </c>
      <c r="B34" t="e">
        <f t="shared" si="0"/>
        <v>#N/A</v>
      </c>
      <c r="C34" t="e">
        <f t="shared" si="1"/>
        <v>#N/A</v>
      </c>
      <c r="D34" t="e">
        <f>IF(INDEX( DATOS3!$1:$19996,A34,MATCH("PatientID", DATOS3!$1:$1,0))=0,"",INDEX( DATOS3!$1:$19996,A34,MATCH("PatientID", DATOS3!$1:$1,0)))</f>
        <v>#N/A</v>
      </c>
      <c r="F34" t="e">
        <f>IF(INDEX( DATOS3!$1:$19996,A34,MATCH("SeriesDate", DATOS3!$1:$1,0))=0,"",INDEX( DATOS3!$1:$19996,A34,MATCH("SeriesDate", DATOS3!$1:$1,0)))</f>
        <v>#N/A</v>
      </c>
      <c r="G34" t="e">
        <f>IF(INDEX( DATOS3!$1:$19996,A34,MATCH("SeriesTime", DATOS3!$1:$1,0))=0,"",INDEX( DATOS3!$1:$19996,A34,MATCH("SeriesTime", DATOS3!$1:$1,0)))</f>
        <v>#N/A</v>
      </c>
      <c r="H34" t="e">
        <f>IF(INDEX( DATOS3!$1:$19996,A34,MATCH("StudyDescription", DATOS3!$1:$1,0))=0,"",INDEX( DATOS3!$1:$19996,A34,MATCH("StudyDescription", DATOS3!$1:$1,0)))</f>
        <v>#N/A</v>
      </c>
      <c r="I34" t="e">
        <f>IF(INDEX( DATOS3!$1:$19996,A34,MATCH("Dose_Area_Product_Total", DATOS3!$1:$1,0))=0,0,INDEX( DATOS3!$1:$19996,A34,MATCH("Dose_Area_Product", DATOS3!$1:$1,0)))</f>
        <v>#N/A</v>
      </c>
      <c r="J34" t="e">
        <f>IF(INDEX( DATOS3!$1:$19996,A34,MATCH("Dose_RP_Total", DATOS3!$1:$1,0))=0,0,INDEX( DATOS3!$1:$19996,A34,MATCH("Dose_RP", DATOS3!$1:$1,0)))</f>
        <v>#N/A</v>
      </c>
      <c r="K34" t="e">
        <f>IF(INDEX( DATOS3!$1:$19996,A34,MATCH("Total_Fluoro_Time", DATOS3!$1:$1,0))=0,0,INDEX( DATOS3!$1:$19996,A34,MATCH("Total_Fluoro_Time", DATOS3!$1:$1,0)))</f>
        <v>#N/A</v>
      </c>
      <c r="L34" t="e">
        <f>IF(INDEX( DATOS3!$1:$19996,A34,MATCH("Total_Acquisition_Time", DATOS3!$1:$1,0))=0,0,INDEX( DATOS3!$1:$19996,A34,MATCH("Total_Acquisition_Time", DATOS3!$1:$1,0)))</f>
        <v>#N/A</v>
      </c>
    </row>
    <row r="35" spans="1:12" x14ac:dyDescent="0.25">
      <c r="A35">
        <v>35</v>
      </c>
      <c r="B35" t="e">
        <f t="shared" si="0"/>
        <v>#N/A</v>
      </c>
      <c r="C35" t="e">
        <f t="shared" si="1"/>
        <v>#N/A</v>
      </c>
      <c r="D35" t="e">
        <f>IF(INDEX( DATOS3!$1:$19996,A35,MATCH("PatientID", DATOS3!$1:$1,0))=0,"",INDEX( DATOS3!$1:$19996,A35,MATCH("PatientID", DATOS3!$1:$1,0)))</f>
        <v>#N/A</v>
      </c>
      <c r="F35" t="e">
        <f>IF(INDEX( DATOS3!$1:$19996,A35,MATCH("SeriesDate", DATOS3!$1:$1,0))=0,"",INDEX( DATOS3!$1:$19996,A35,MATCH("SeriesDate", DATOS3!$1:$1,0)))</f>
        <v>#N/A</v>
      </c>
      <c r="G35" t="e">
        <f>IF(INDEX( DATOS3!$1:$19996,A35,MATCH("SeriesTime", DATOS3!$1:$1,0))=0,"",INDEX( DATOS3!$1:$19996,A35,MATCH("SeriesTime", DATOS3!$1:$1,0)))</f>
        <v>#N/A</v>
      </c>
      <c r="H35" t="e">
        <f>IF(INDEX( DATOS3!$1:$19996,A35,MATCH("StudyDescription", DATOS3!$1:$1,0))=0,"",INDEX( DATOS3!$1:$19996,A35,MATCH("StudyDescription", DATOS3!$1:$1,0)))</f>
        <v>#N/A</v>
      </c>
      <c r="I35" t="e">
        <f>IF(INDEX( DATOS3!$1:$19996,A35,MATCH("Dose_Area_Product_Total", DATOS3!$1:$1,0))=0,0,INDEX( DATOS3!$1:$19996,A35,MATCH("Dose_Area_Product", DATOS3!$1:$1,0)))</f>
        <v>#N/A</v>
      </c>
      <c r="J35" t="e">
        <f>IF(INDEX( DATOS3!$1:$19996,A35,MATCH("Dose_RP_Total", DATOS3!$1:$1,0))=0,0,INDEX( DATOS3!$1:$19996,A35,MATCH("Dose_RP", DATOS3!$1:$1,0)))</f>
        <v>#N/A</v>
      </c>
      <c r="K35" t="e">
        <f>IF(INDEX( DATOS3!$1:$19996,A35,MATCH("Total_Fluoro_Time", DATOS3!$1:$1,0))=0,0,INDEX( DATOS3!$1:$19996,A35,MATCH("Total_Fluoro_Time", DATOS3!$1:$1,0)))</f>
        <v>#N/A</v>
      </c>
      <c r="L35" t="e">
        <f>IF(INDEX( DATOS3!$1:$19996,A35,MATCH("Total_Acquisition_Time", DATOS3!$1:$1,0))=0,0,INDEX( DATOS3!$1:$19996,A35,MATCH("Total_Acquisition_Time", DATOS3!$1:$1,0)))</f>
        <v>#N/A</v>
      </c>
    </row>
    <row r="36" spans="1:12" x14ac:dyDescent="0.25">
      <c r="A36">
        <v>36</v>
      </c>
      <c r="B36" t="e">
        <f t="shared" si="0"/>
        <v>#N/A</v>
      </c>
      <c r="C36" t="e">
        <f t="shared" si="1"/>
        <v>#N/A</v>
      </c>
      <c r="D36" t="e">
        <f>IF(INDEX( DATOS3!$1:$19996,A36,MATCH("PatientID", DATOS3!$1:$1,0))=0,"",INDEX( DATOS3!$1:$19996,A36,MATCH("PatientID", DATOS3!$1:$1,0)))</f>
        <v>#N/A</v>
      </c>
      <c r="F36" t="e">
        <f>IF(INDEX( DATOS3!$1:$19996,A36,MATCH("SeriesDate", DATOS3!$1:$1,0))=0,"",INDEX( DATOS3!$1:$19996,A36,MATCH("SeriesDate", DATOS3!$1:$1,0)))</f>
        <v>#N/A</v>
      </c>
      <c r="G36" t="e">
        <f>IF(INDEX( DATOS3!$1:$19996,A36,MATCH("SeriesTime", DATOS3!$1:$1,0))=0,"",INDEX( DATOS3!$1:$19996,A36,MATCH("SeriesTime", DATOS3!$1:$1,0)))</f>
        <v>#N/A</v>
      </c>
      <c r="H36" t="e">
        <f>IF(INDEX( DATOS3!$1:$19996,A36,MATCH("StudyDescription", DATOS3!$1:$1,0))=0,"",INDEX( DATOS3!$1:$19996,A36,MATCH("StudyDescription", DATOS3!$1:$1,0)))</f>
        <v>#N/A</v>
      </c>
      <c r="I36" t="e">
        <f>IF(INDEX( DATOS3!$1:$19996,A36,MATCH("Dose_Area_Product_Total", DATOS3!$1:$1,0))=0,0,INDEX( DATOS3!$1:$19996,A36,MATCH("Dose_Area_Product", DATOS3!$1:$1,0)))</f>
        <v>#N/A</v>
      </c>
      <c r="J36" t="e">
        <f>IF(INDEX( DATOS3!$1:$19996,A36,MATCH("Dose_RP_Total", DATOS3!$1:$1,0))=0,0,INDEX( DATOS3!$1:$19996,A36,MATCH("Dose_RP", DATOS3!$1:$1,0)))</f>
        <v>#N/A</v>
      </c>
      <c r="K36" t="e">
        <f>IF(INDEX( DATOS3!$1:$19996,A36,MATCH("Total_Fluoro_Time", DATOS3!$1:$1,0))=0,0,INDEX( DATOS3!$1:$19996,A36,MATCH("Total_Fluoro_Time", DATOS3!$1:$1,0)))</f>
        <v>#N/A</v>
      </c>
      <c r="L36" t="e">
        <f>IF(INDEX( DATOS3!$1:$19996,A36,MATCH("Total_Acquisition_Time", DATOS3!$1:$1,0))=0,0,INDEX( DATOS3!$1:$19996,A36,MATCH("Total_Acquisition_Time", DATOS3!$1:$1,0)))</f>
        <v>#N/A</v>
      </c>
    </row>
    <row r="37" spans="1:12" x14ac:dyDescent="0.25">
      <c r="A37">
        <v>37</v>
      </c>
      <c r="B37" t="e">
        <f t="shared" si="0"/>
        <v>#N/A</v>
      </c>
      <c r="C37" t="e">
        <f t="shared" si="1"/>
        <v>#N/A</v>
      </c>
      <c r="D37" t="e">
        <f>IF(INDEX( DATOS3!$1:$19996,A37,MATCH("PatientID", DATOS3!$1:$1,0))=0,"",INDEX( DATOS3!$1:$19996,A37,MATCH("PatientID", DATOS3!$1:$1,0)))</f>
        <v>#N/A</v>
      </c>
      <c r="F37" t="e">
        <f>IF(INDEX( DATOS3!$1:$19996,A37,MATCH("SeriesDate", DATOS3!$1:$1,0))=0,"",INDEX( DATOS3!$1:$19996,A37,MATCH("SeriesDate", DATOS3!$1:$1,0)))</f>
        <v>#N/A</v>
      </c>
      <c r="G37" t="e">
        <f>IF(INDEX( DATOS3!$1:$19996,A37,MATCH("SeriesTime", DATOS3!$1:$1,0))=0,"",INDEX( DATOS3!$1:$19996,A37,MATCH("SeriesTime", DATOS3!$1:$1,0)))</f>
        <v>#N/A</v>
      </c>
      <c r="H37" t="e">
        <f>IF(INDEX( DATOS3!$1:$19996,A37,MATCH("StudyDescription", DATOS3!$1:$1,0))=0,"",INDEX( DATOS3!$1:$19996,A37,MATCH("StudyDescription", DATOS3!$1:$1,0)))</f>
        <v>#N/A</v>
      </c>
      <c r="I37" t="e">
        <f>IF(INDEX( DATOS3!$1:$19996,A37,MATCH("Dose_Area_Product_Total", DATOS3!$1:$1,0))=0,0,INDEX( DATOS3!$1:$19996,A37,MATCH("Dose_Area_Product", DATOS3!$1:$1,0)))</f>
        <v>#N/A</v>
      </c>
      <c r="J37" t="e">
        <f>IF(INDEX( DATOS3!$1:$19996,A37,MATCH("Dose_RP_Total", DATOS3!$1:$1,0))=0,0,INDEX( DATOS3!$1:$19996,A37,MATCH("Dose_RP", DATOS3!$1:$1,0)))</f>
        <v>#N/A</v>
      </c>
      <c r="K37" t="e">
        <f>IF(INDEX( DATOS3!$1:$19996,A37,MATCH("Total_Fluoro_Time", DATOS3!$1:$1,0))=0,0,INDEX( DATOS3!$1:$19996,A37,MATCH("Total_Fluoro_Time", DATOS3!$1:$1,0)))</f>
        <v>#N/A</v>
      </c>
      <c r="L37" t="e">
        <f>IF(INDEX( DATOS3!$1:$19996,A37,MATCH("Total_Acquisition_Time", DATOS3!$1:$1,0))=0,0,INDEX( DATOS3!$1:$19996,A37,MATCH("Total_Acquisition_Time", DATOS3!$1:$1,0)))</f>
        <v>#N/A</v>
      </c>
    </row>
    <row r="38" spans="1:12" x14ac:dyDescent="0.25">
      <c r="A38">
        <v>38</v>
      </c>
      <c r="B38" t="e">
        <f t="shared" si="0"/>
        <v>#N/A</v>
      </c>
      <c r="C38" t="e">
        <f t="shared" si="1"/>
        <v>#N/A</v>
      </c>
      <c r="D38" t="e">
        <f>IF(INDEX( DATOS3!$1:$19996,A38,MATCH("PatientID", DATOS3!$1:$1,0))=0,"",INDEX( DATOS3!$1:$19996,A38,MATCH("PatientID", DATOS3!$1:$1,0)))</f>
        <v>#N/A</v>
      </c>
      <c r="F38" t="e">
        <f>IF(INDEX( DATOS3!$1:$19996,A38,MATCH("SeriesDate", DATOS3!$1:$1,0))=0,"",INDEX( DATOS3!$1:$19996,A38,MATCH("SeriesDate", DATOS3!$1:$1,0)))</f>
        <v>#N/A</v>
      </c>
      <c r="G38" t="e">
        <f>IF(INDEX( DATOS3!$1:$19996,A38,MATCH("SeriesTime", DATOS3!$1:$1,0))=0,"",INDEX( DATOS3!$1:$19996,A38,MATCH("SeriesTime", DATOS3!$1:$1,0)))</f>
        <v>#N/A</v>
      </c>
      <c r="H38" t="e">
        <f>IF(INDEX( DATOS3!$1:$19996,A38,MATCH("StudyDescription", DATOS3!$1:$1,0))=0,"",INDEX( DATOS3!$1:$19996,A38,MATCH("StudyDescription", DATOS3!$1:$1,0)))</f>
        <v>#N/A</v>
      </c>
      <c r="I38" t="e">
        <f>IF(INDEX( DATOS3!$1:$19996,A38,MATCH("Dose_Area_Product_Total", DATOS3!$1:$1,0))=0,0,INDEX( DATOS3!$1:$19996,A38,MATCH("Dose_Area_Product", DATOS3!$1:$1,0)))</f>
        <v>#N/A</v>
      </c>
      <c r="J38" t="e">
        <f>IF(INDEX( DATOS3!$1:$19996,A38,MATCH("Dose_RP_Total", DATOS3!$1:$1,0))=0,0,INDEX( DATOS3!$1:$19996,A38,MATCH("Dose_RP", DATOS3!$1:$1,0)))</f>
        <v>#N/A</v>
      </c>
      <c r="K38" t="e">
        <f>IF(INDEX( DATOS3!$1:$19996,A38,MATCH("Total_Fluoro_Time", DATOS3!$1:$1,0))=0,0,INDEX( DATOS3!$1:$19996,A38,MATCH("Total_Fluoro_Time", DATOS3!$1:$1,0)))</f>
        <v>#N/A</v>
      </c>
      <c r="L38" t="e">
        <f>IF(INDEX( DATOS3!$1:$19996,A38,MATCH("Total_Acquisition_Time", DATOS3!$1:$1,0))=0,0,INDEX( DATOS3!$1:$19996,A38,MATCH("Total_Acquisition_Time", DATOS3!$1:$1,0)))</f>
        <v>#N/A</v>
      </c>
    </row>
    <row r="39" spans="1:12" x14ac:dyDescent="0.25">
      <c r="A39">
        <v>39</v>
      </c>
      <c r="B39" t="e">
        <f t="shared" si="0"/>
        <v>#N/A</v>
      </c>
      <c r="C39" t="e">
        <f t="shared" si="1"/>
        <v>#N/A</v>
      </c>
      <c r="D39" t="e">
        <f>IF(INDEX( DATOS3!$1:$19996,A39,MATCH("PatientID", DATOS3!$1:$1,0))=0,"",INDEX( DATOS3!$1:$19996,A39,MATCH("PatientID", DATOS3!$1:$1,0)))</f>
        <v>#N/A</v>
      </c>
      <c r="F39" t="e">
        <f>IF(INDEX( DATOS3!$1:$19996,A39,MATCH("SeriesDate", DATOS3!$1:$1,0))=0,"",INDEX( DATOS3!$1:$19996,A39,MATCH("SeriesDate", DATOS3!$1:$1,0)))</f>
        <v>#N/A</v>
      </c>
      <c r="G39" t="e">
        <f>IF(INDEX( DATOS3!$1:$19996,A39,MATCH("SeriesTime", DATOS3!$1:$1,0))=0,"",INDEX( DATOS3!$1:$19996,A39,MATCH("SeriesTime", DATOS3!$1:$1,0)))</f>
        <v>#N/A</v>
      </c>
      <c r="H39" t="e">
        <f>IF(INDEX( DATOS3!$1:$19996,A39,MATCH("StudyDescription", DATOS3!$1:$1,0))=0,"",INDEX( DATOS3!$1:$19996,A39,MATCH("StudyDescription", DATOS3!$1:$1,0)))</f>
        <v>#N/A</v>
      </c>
      <c r="I39" t="e">
        <f>IF(INDEX( DATOS3!$1:$19996,A39,MATCH("Dose_Area_Product_Total", DATOS3!$1:$1,0))=0,0,INDEX( DATOS3!$1:$19996,A39,MATCH("Dose_Area_Product", DATOS3!$1:$1,0)))</f>
        <v>#N/A</v>
      </c>
      <c r="J39" t="e">
        <f>IF(INDEX( DATOS3!$1:$19996,A39,MATCH("Dose_RP_Total", DATOS3!$1:$1,0))=0,0,INDEX( DATOS3!$1:$19996,A39,MATCH("Dose_RP", DATOS3!$1:$1,0)))</f>
        <v>#N/A</v>
      </c>
      <c r="K39" t="e">
        <f>IF(INDEX( DATOS3!$1:$19996,A39,MATCH("Total_Fluoro_Time", DATOS3!$1:$1,0))=0,0,INDEX( DATOS3!$1:$19996,A39,MATCH("Total_Fluoro_Time", DATOS3!$1:$1,0)))</f>
        <v>#N/A</v>
      </c>
      <c r="L39" t="e">
        <f>IF(INDEX( DATOS3!$1:$19996,A39,MATCH("Total_Acquisition_Time", DATOS3!$1:$1,0))=0,0,INDEX( DATOS3!$1:$19996,A39,MATCH("Total_Acquisition_Time", DATOS3!$1:$1,0)))</f>
        <v>#N/A</v>
      </c>
    </row>
    <row r="40" spans="1:12" x14ac:dyDescent="0.25">
      <c r="A40">
        <v>40</v>
      </c>
      <c r="B40" t="e">
        <f t="shared" si="0"/>
        <v>#N/A</v>
      </c>
      <c r="C40" t="e">
        <f t="shared" si="1"/>
        <v>#N/A</v>
      </c>
      <c r="D40" t="e">
        <f>IF(INDEX( DATOS3!$1:$19996,A40,MATCH("PatientID", DATOS3!$1:$1,0))=0,"",INDEX( DATOS3!$1:$19996,A40,MATCH("PatientID", DATOS3!$1:$1,0)))</f>
        <v>#N/A</v>
      </c>
      <c r="F40" t="e">
        <f>IF(INDEX( DATOS3!$1:$19996,A40,MATCH("SeriesDate", DATOS3!$1:$1,0))=0,"",INDEX( DATOS3!$1:$19996,A40,MATCH("SeriesDate", DATOS3!$1:$1,0)))</f>
        <v>#N/A</v>
      </c>
      <c r="G40" t="e">
        <f>IF(INDEX( DATOS3!$1:$19996,A40,MATCH("SeriesTime", DATOS3!$1:$1,0))=0,"",INDEX( DATOS3!$1:$19996,A40,MATCH("SeriesTime", DATOS3!$1:$1,0)))</f>
        <v>#N/A</v>
      </c>
      <c r="H40" t="e">
        <f>IF(INDEX( DATOS3!$1:$19996,A40,MATCH("StudyDescription", DATOS3!$1:$1,0))=0,"",INDEX( DATOS3!$1:$19996,A40,MATCH("StudyDescription", DATOS3!$1:$1,0)))</f>
        <v>#N/A</v>
      </c>
      <c r="I40" t="e">
        <f>IF(INDEX( DATOS3!$1:$19996,A40,MATCH("Dose_Area_Product_Total", DATOS3!$1:$1,0))=0,0,INDEX( DATOS3!$1:$19996,A40,MATCH("Dose_Area_Product", DATOS3!$1:$1,0)))</f>
        <v>#N/A</v>
      </c>
      <c r="J40" t="e">
        <f>IF(INDEX( DATOS3!$1:$19996,A40,MATCH("Dose_RP_Total", DATOS3!$1:$1,0))=0,0,INDEX( DATOS3!$1:$19996,A40,MATCH("Dose_RP", DATOS3!$1:$1,0)))</f>
        <v>#N/A</v>
      </c>
      <c r="K40" t="e">
        <f>IF(INDEX( DATOS3!$1:$19996,A40,MATCH("Total_Fluoro_Time", DATOS3!$1:$1,0))=0,0,INDEX( DATOS3!$1:$19996,A40,MATCH("Total_Fluoro_Time", DATOS3!$1:$1,0)))</f>
        <v>#N/A</v>
      </c>
      <c r="L40" t="e">
        <f>IF(INDEX( DATOS3!$1:$19996,A40,MATCH("Total_Acquisition_Time", DATOS3!$1:$1,0))=0,0,INDEX( DATOS3!$1:$19996,A40,MATCH("Total_Acquisition_Time", DATOS3!$1:$1,0)))</f>
        <v>#N/A</v>
      </c>
    </row>
    <row r="41" spans="1:12" x14ac:dyDescent="0.25">
      <c r="A41">
        <v>41</v>
      </c>
      <c r="B41" t="e">
        <f t="shared" si="0"/>
        <v>#N/A</v>
      </c>
      <c r="C41" t="e">
        <f t="shared" si="1"/>
        <v>#N/A</v>
      </c>
      <c r="D41" t="e">
        <f>IF(INDEX( DATOS3!$1:$19996,A41,MATCH("PatientID", DATOS3!$1:$1,0))=0,"",INDEX( DATOS3!$1:$19996,A41,MATCH("PatientID", DATOS3!$1:$1,0)))</f>
        <v>#N/A</v>
      </c>
      <c r="F41" t="e">
        <f>IF(INDEX( DATOS3!$1:$19996,A41,MATCH("SeriesDate", DATOS3!$1:$1,0))=0,"",INDEX( DATOS3!$1:$19996,A41,MATCH("SeriesDate", DATOS3!$1:$1,0)))</f>
        <v>#N/A</v>
      </c>
      <c r="G41" t="e">
        <f>IF(INDEX( DATOS3!$1:$19996,A41,MATCH("SeriesTime", DATOS3!$1:$1,0))=0,"",INDEX( DATOS3!$1:$19996,A41,MATCH("SeriesTime", DATOS3!$1:$1,0)))</f>
        <v>#N/A</v>
      </c>
      <c r="H41" t="e">
        <f>IF(INDEX( DATOS3!$1:$19996,A41,MATCH("StudyDescription", DATOS3!$1:$1,0))=0,"",INDEX( DATOS3!$1:$19996,A41,MATCH("StudyDescription", DATOS3!$1:$1,0)))</f>
        <v>#N/A</v>
      </c>
      <c r="I41" t="e">
        <f>IF(INDEX( DATOS3!$1:$19996,A41,MATCH("Dose_Area_Product_Total", DATOS3!$1:$1,0))=0,0,INDEX( DATOS3!$1:$19996,A41,MATCH("Dose_Area_Product", DATOS3!$1:$1,0)))</f>
        <v>#N/A</v>
      </c>
      <c r="J41" t="e">
        <f>IF(INDEX( DATOS3!$1:$19996,A41,MATCH("Dose_RP_Total", DATOS3!$1:$1,0))=0,0,INDEX( DATOS3!$1:$19996,A41,MATCH("Dose_RP", DATOS3!$1:$1,0)))</f>
        <v>#N/A</v>
      </c>
      <c r="K41" t="e">
        <f>IF(INDEX( DATOS3!$1:$19996,A41,MATCH("Total_Fluoro_Time", DATOS3!$1:$1,0))=0,0,INDEX( DATOS3!$1:$19996,A41,MATCH("Total_Fluoro_Time", DATOS3!$1:$1,0)))</f>
        <v>#N/A</v>
      </c>
      <c r="L41" t="e">
        <f>IF(INDEX( DATOS3!$1:$19996,A41,MATCH("Total_Acquisition_Time", DATOS3!$1:$1,0))=0,0,INDEX( DATOS3!$1:$19996,A41,MATCH("Total_Acquisition_Time", DATOS3!$1:$1,0)))</f>
        <v>#N/A</v>
      </c>
    </row>
    <row r="42" spans="1:12" x14ac:dyDescent="0.25">
      <c r="A42">
        <v>42</v>
      </c>
      <c r="B42" t="e">
        <f t="shared" si="0"/>
        <v>#N/A</v>
      </c>
      <c r="C42" t="e">
        <f t="shared" si="1"/>
        <v>#N/A</v>
      </c>
      <c r="D42" t="e">
        <f>IF(INDEX( DATOS3!$1:$19996,A42,MATCH("PatientID", DATOS3!$1:$1,0))=0,"",INDEX( DATOS3!$1:$19996,A42,MATCH("PatientID", DATOS3!$1:$1,0)))</f>
        <v>#N/A</v>
      </c>
      <c r="F42" t="e">
        <f>IF(INDEX( DATOS3!$1:$19996,A42,MATCH("SeriesDate", DATOS3!$1:$1,0))=0,"",INDEX( DATOS3!$1:$19996,A42,MATCH("SeriesDate", DATOS3!$1:$1,0)))</f>
        <v>#N/A</v>
      </c>
      <c r="G42" t="e">
        <f>IF(INDEX( DATOS3!$1:$19996,A42,MATCH("SeriesTime", DATOS3!$1:$1,0))=0,"",INDEX( DATOS3!$1:$19996,A42,MATCH("SeriesTime", DATOS3!$1:$1,0)))</f>
        <v>#N/A</v>
      </c>
      <c r="H42" t="e">
        <f>IF(INDEX( DATOS3!$1:$19996,A42,MATCH("StudyDescription", DATOS3!$1:$1,0))=0,"",INDEX( DATOS3!$1:$19996,A42,MATCH("StudyDescription", DATOS3!$1:$1,0)))</f>
        <v>#N/A</v>
      </c>
      <c r="I42" t="e">
        <f>IF(INDEX( DATOS3!$1:$19996,A42,MATCH("Dose_Area_Product_Total", DATOS3!$1:$1,0))=0,0,INDEX( DATOS3!$1:$19996,A42,MATCH("Dose_Area_Product", DATOS3!$1:$1,0)))</f>
        <v>#N/A</v>
      </c>
      <c r="J42" t="e">
        <f>IF(INDEX( DATOS3!$1:$19996,A42,MATCH("Dose_RP_Total", DATOS3!$1:$1,0))=0,0,INDEX( DATOS3!$1:$19996,A42,MATCH("Dose_RP", DATOS3!$1:$1,0)))</f>
        <v>#N/A</v>
      </c>
      <c r="K42" t="e">
        <f>IF(INDEX( DATOS3!$1:$19996,A42,MATCH("Total_Fluoro_Time", DATOS3!$1:$1,0))=0,0,INDEX( DATOS3!$1:$19996,A42,MATCH("Total_Fluoro_Time", DATOS3!$1:$1,0)))</f>
        <v>#N/A</v>
      </c>
      <c r="L42" t="e">
        <f>IF(INDEX( DATOS3!$1:$19996,A42,MATCH("Total_Acquisition_Time", DATOS3!$1:$1,0))=0,0,INDEX( DATOS3!$1:$19996,A42,MATCH("Total_Acquisition_Time", DATOS3!$1:$1,0)))</f>
        <v>#N/A</v>
      </c>
    </row>
    <row r="43" spans="1:12" x14ac:dyDescent="0.25">
      <c r="A43">
        <v>43</v>
      </c>
      <c r="B43" t="e">
        <f t="shared" si="0"/>
        <v>#N/A</v>
      </c>
      <c r="C43" t="e">
        <f t="shared" si="1"/>
        <v>#N/A</v>
      </c>
      <c r="D43" t="e">
        <f>IF(INDEX( DATOS3!$1:$19996,A43,MATCH("PatientID", DATOS3!$1:$1,0))=0,"",INDEX( DATOS3!$1:$19996,A43,MATCH("PatientID", DATOS3!$1:$1,0)))</f>
        <v>#N/A</v>
      </c>
      <c r="F43" t="e">
        <f>IF(INDEX( DATOS3!$1:$19996,A43,MATCH("SeriesDate", DATOS3!$1:$1,0))=0,"",INDEX( DATOS3!$1:$19996,A43,MATCH("SeriesDate", DATOS3!$1:$1,0)))</f>
        <v>#N/A</v>
      </c>
      <c r="G43" t="e">
        <f>IF(INDEX( DATOS3!$1:$19996,A43,MATCH("SeriesTime", DATOS3!$1:$1,0))=0,"",INDEX( DATOS3!$1:$19996,A43,MATCH("SeriesTime", DATOS3!$1:$1,0)))</f>
        <v>#N/A</v>
      </c>
      <c r="H43" t="e">
        <f>IF(INDEX( DATOS3!$1:$19996,A43,MATCH("StudyDescription", DATOS3!$1:$1,0))=0,"",INDEX( DATOS3!$1:$19996,A43,MATCH("StudyDescription", DATOS3!$1:$1,0)))</f>
        <v>#N/A</v>
      </c>
      <c r="I43" t="e">
        <f>IF(INDEX( DATOS3!$1:$19996,A43,MATCH("Dose_Area_Product_Total", DATOS3!$1:$1,0))=0,0,INDEX( DATOS3!$1:$19996,A43,MATCH("Dose_Area_Product", DATOS3!$1:$1,0)))</f>
        <v>#N/A</v>
      </c>
      <c r="J43" t="e">
        <f>IF(INDEX( DATOS3!$1:$19996,A43,MATCH("Dose_RP_Total", DATOS3!$1:$1,0))=0,0,INDEX( DATOS3!$1:$19996,A43,MATCH("Dose_RP", DATOS3!$1:$1,0)))</f>
        <v>#N/A</v>
      </c>
      <c r="K43" t="e">
        <f>IF(INDEX( DATOS3!$1:$19996,A43,MATCH("Total_Fluoro_Time", DATOS3!$1:$1,0))=0,0,INDEX( DATOS3!$1:$19996,A43,MATCH("Total_Fluoro_Time", DATOS3!$1:$1,0)))</f>
        <v>#N/A</v>
      </c>
      <c r="L43" t="e">
        <f>IF(INDEX( DATOS3!$1:$19996,A43,MATCH("Total_Acquisition_Time", DATOS3!$1:$1,0))=0,0,INDEX( DATOS3!$1:$19996,A43,MATCH("Total_Acquisition_Time", DATOS3!$1:$1,0)))</f>
        <v>#N/A</v>
      </c>
    </row>
    <row r="44" spans="1:12" x14ac:dyDescent="0.25">
      <c r="A44">
        <v>44</v>
      </c>
      <c r="B44" t="e">
        <f t="shared" si="0"/>
        <v>#N/A</v>
      </c>
      <c r="C44" t="e">
        <f t="shared" si="1"/>
        <v>#N/A</v>
      </c>
      <c r="D44" t="e">
        <f>IF(INDEX( DATOS3!$1:$19996,A44,MATCH("PatientID", DATOS3!$1:$1,0))=0,"",INDEX( DATOS3!$1:$19996,A44,MATCH("PatientID", DATOS3!$1:$1,0)))</f>
        <v>#N/A</v>
      </c>
      <c r="F44" t="e">
        <f>IF(INDEX( DATOS3!$1:$19996,A44,MATCH("SeriesDate", DATOS3!$1:$1,0))=0,"",INDEX( DATOS3!$1:$19996,A44,MATCH("SeriesDate", DATOS3!$1:$1,0)))</f>
        <v>#N/A</v>
      </c>
      <c r="G44" t="e">
        <f>IF(INDEX( DATOS3!$1:$19996,A44,MATCH("SeriesTime", DATOS3!$1:$1,0))=0,"",INDEX( DATOS3!$1:$19996,A44,MATCH("SeriesTime", DATOS3!$1:$1,0)))</f>
        <v>#N/A</v>
      </c>
      <c r="H44" t="e">
        <f>IF(INDEX( DATOS3!$1:$19996,A44,MATCH("StudyDescription", DATOS3!$1:$1,0))=0,"",INDEX( DATOS3!$1:$19996,A44,MATCH("StudyDescription", DATOS3!$1:$1,0)))</f>
        <v>#N/A</v>
      </c>
      <c r="I44" t="e">
        <f>IF(INDEX( DATOS3!$1:$19996,A44,MATCH("Dose_Area_Product_Total", DATOS3!$1:$1,0))=0,0,INDEX( DATOS3!$1:$19996,A44,MATCH("Dose_Area_Product", DATOS3!$1:$1,0)))</f>
        <v>#N/A</v>
      </c>
      <c r="J44" t="e">
        <f>IF(INDEX( DATOS3!$1:$19996,A44,MATCH("Dose_RP_Total", DATOS3!$1:$1,0))=0,0,INDEX( DATOS3!$1:$19996,A44,MATCH("Dose_RP", DATOS3!$1:$1,0)))</f>
        <v>#N/A</v>
      </c>
      <c r="K44" t="e">
        <f>IF(INDEX( DATOS3!$1:$19996,A44,MATCH("Total_Fluoro_Time", DATOS3!$1:$1,0))=0,0,INDEX( DATOS3!$1:$19996,A44,MATCH("Total_Fluoro_Time", DATOS3!$1:$1,0)))</f>
        <v>#N/A</v>
      </c>
      <c r="L44" t="e">
        <f>IF(INDEX( DATOS3!$1:$19996,A44,MATCH("Total_Acquisition_Time", DATOS3!$1:$1,0))=0,0,INDEX( DATOS3!$1:$19996,A44,MATCH("Total_Acquisition_Time", DATOS3!$1:$1,0)))</f>
        <v>#N/A</v>
      </c>
    </row>
    <row r="45" spans="1:12" x14ac:dyDescent="0.25">
      <c r="A45">
        <v>45</v>
      </c>
      <c r="B45" t="e">
        <f t="shared" si="0"/>
        <v>#N/A</v>
      </c>
      <c r="C45" t="e">
        <f t="shared" si="1"/>
        <v>#N/A</v>
      </c>
      <c r="D45" t="e">
        <f>IF(INDEX( DATOS3!$1:$19996,A45,MATCH("PatientID", DATOS3!$1:$1,0))=0,"",INDEX( DATOS3!$1:$19996,A45,MATCH("PatientID", DATOS3!$1:$1,0)))</f>
        <v>#N/A</v>
      </c>
      <c r="F45" t="e">
        <f>IF(INDEX( DATOS3!$1:$19996,A45,MATCH("SeriesDate", DATOS3!$1:$1,0))=0,"",INDEX( DATOS3!$1:$19996,A45,MATCH("SeriesDate", DATOS3!$1:$1,0)))</f>
        <v>#N/A</v>
      </c>
      <c r="G45" t="e">
        <f>IF(INDEX( DATOS3!$1:$19996,A45,MATCH("SeriesTime", DATOS3!$1:$1,0))=0,"",INDEX( DATOS3!$1:$19996,A45,MATCH("SeriesTime", DATOS3!$1:$1,0)))</f>
        <v>#N/A</v>
      </c>
      <c r="H45" t="e">
        <f>IF(INDEX( DATOS3!$1:$19996,A45,MATCH("StudyDescription", DATOS3!$1:$1,0))=0,"",INDEX( DATOS3!$1:$19996,A45,MATCH("StudyDescription", DATOS3!$1:$1,0)))</f>
        <v>#N/A</v>
      </c>
      <c r="I45" t="e">
        <f>IF(INDEX( DATOS3!$1:$19996,A45,MATCH("Dose_Area_Product_Total", DATOS3!$1:$1,0))=0,0,INDEX( DATOS3!$1:$19996,A45,MATCH("Dose_Area_Product", DATOS3!$1:$1,0)))</f>
        <v>#N/A</v>
      </c>
      <c r="J45" t="e">
        <f>IF(INDEX( DATOS3!$1:$19996,A45,MATCH("Dose_RP_Total", DATOS3!$1:$1,0))=0,0,INDEX( DATOS3!$1:$19996,A45,MATCH("Dose_RP", DATOS3!$1:$1,0)))</f>
        <v>#N/A</v>
      </c>
      <c r="K45" t="e">
        <f>IF(INDEX( DATOS3!$1:$19996,A45,MATCH("Total_Fluoro_Time", DATOS3!$1:$1,0))=0,0,INDEX( DATOS3!$1:$19996,A45,MATCH("Total_Fluoro_Time", DATOS3!$1:$1,0)))</f>
        <v>#N/A</v>
      </c>
      <c r="L45" t="e">
        <f>IF(INDEX( DATOS3!$1:$19996,A45,MATCH("Total_Acquisition_Time", DATOS3!$1:$1,0))=0,0,INDEX( DATOS3!$1:$19996,A45,MATCH("Total_Acquisition_Time", DATOS3!$1:$1,0)))</f>
        <v>#N/A</v>
      </c>
    </row>
    <row r="46" spans="1:12" x14ac:dyDescent="0.25">
      <c r="A46">
        <v>46</v>
      </c>
      <c r="B46" t="e">
        <f t="shared" si="0"/>
        <v>#N/A</v>
      </c>
      <c r="C46" t="e">
        <f t="shared" si="1"/>
        <v>#N/A</v>
      </c>
      <c r="D46" t="e">
        <f>IF(INDEX( DATOS3!$1:$19996,A46,MATCH("PatientID", DATOS3!$1:$1,0))=0,"",INDEX( DATOS3!$1:$19996,A46,MATCH("PatientID", DATOS3!$1:$1,0)))</f>
        <v>#N/A</v>
      </c>
      <c r="F46" t="e">
        <f>IF(INDEX( DATOS3!$1:$19996,A46,MATCH("SeriesDate", DATOS3!$1:$1,0))=0,"",INDEX( DATOS3!$1:$19996,A46,MATCH("SeriesDate", DATOS3!$1:$1,0)))</f>
        <v>#N/A</v>
      </c>
      <c r="G46" t="e">
        <f>IF(INDEX( DATOS3!$1:$19996,A46,MATCH("SeriesTime", DATOS3!$1:$1,0))=0,"",INDEX( DATOS3!$1:$19996,A46,MATCH("SeriesTime", DATOS3!$1:$1,0)))</f>
        <v>#N/A</v>
      </c>
      <c r="H46" t="e">
        <f>IF(INDEX( DATOS3!$1:$19996,A46,MATCH("StudyDescription", DATOS3!$1:$1,0))=0,"",INDEX( DATOS3!$1:$19996,A46,MATCH("StudyDescription", DATOS3!$1:$1,0)))</f>
        <v>#N/A</v>
      </c>
      <c r="I46" t="e">
        <f>IF(INDEX( DATOS3!$1:$19996,A46,MATCH("Dose_Area_Product_Total", DATOS3!$1:$1,0))=0,0,INDEX( DATOS3!$1:$19996,A46,MATCH("Dose_Area_Product", DATOS3!$1:$1,0)))</f>
        <v>#N/A</v>
      </c>
      <c r="J46" t="e">
        <f>IF(INDEX( DATOS3!$1:$19996,A46,MATCH("Dose_RP_Total", DATOS3!$1:$1,0))=0,0,INDEX( DATOS3!$1:$19996,A46,MATCH("Dose_RP", DATOS3!$1:$1,0)))</f>
        <v>#N/A</v>
      </c>
      <c r="K46" t="e">
        <f>IF(INDEX( DATOS3!$1:$19996,A46,MATCH("Total_Fluoro_Time", DATOS3!$1:$1,0))=0,0,INDEX( DATOS3!$1:$19996,A46,MATCH("Total_Fluoro_Time", DATOS3!$1:$1,0)))</f>
        <v>#N/A</v>
      </c>
      <c r="L46" t="e">
        <f>IF(INDEX( DATOS3!$1:$19996,A46,MATCH("Total_Acquisition_Time", DATOS3!$1:$1,0))=0,0,INDEX( DATOS3!$1:$19996,A46,MATCH("Total_Acquisition_Time", DATOS3!$1:$1,0)))</f>
        <v>#N/A</v>
      </c>
    </row>
    <row r="47" spans="1:12" x14ac:dyDescent="0.25">
      <c r="A47">
        <v>47</v>
      </c>
      <c r="B47" t="e">
        <f t="shared" si="0"/>
        <v>#N/A</v>
      </c>
      <c r="C47" t="e">
        <f t="shared" si="1"/>
        <v>#N/A</v>
      </c>
      <c r="D47" t="e">
        <f>IF(INDEX( DATOS3!$1:$19996,A47,MATCH("PatientID", DATOS3!$1:$1,0))=0,"",INDEX( DATOS3!$1:$19996,A47,MATCH("PatientID", DATOS3!$1:$1,0)))</f>
        <v>#N/A</v>
      </c>
      <c r="F47" t="e">
        <f>IF(INDEX( DATOS3!$1:$19996,A47,MATCH("SeriesDate", DATOS3!$1:$1,0))=0,"",INDEX( DATOS3!$1:$19996,A47,MATCH("SeriesDate", DATOS3!$1:$1,0)))</f>
        <v>#N/A</v>
      </c>
      <c r="G47" t="e">
        <f>IF(INDEX( DATOS3!$1:$19996,A47,MATCH("SeriesTime", DATOS3!$1:$1,0))=0,"",INDEX( DATOS3!$1:$19996,A47,MATCH("SeriesTime", DATOS3!$1:$1,0)))</f>
        <v>#N/A</v>
      </c>
      <c r="H47" t="e">
        <f>IF(INDEX( DATOS3!$1:$19996,A47,MATCH("StudyDescription", DATOS3!$1:$1,0))=0,"",INDEX( DATOS3!$1:$19996,A47,MATCH("StudyDescription", DATOS3!$1:$1,0)))</f>
        <v>#N/A</v>
      </c>
      <c r="I47" t="e">
        <f>IF(INDEX( DATOS3!$1:$19996,A47,MATCH("Dose_Area_Product_Total", DATOS3!$1:$1,0))=0,0,INDEX( DATOS3!$1:$19996,A47,MATCH("Dose_Area_Product", DATOS3!$1:$1,0)))</f>
        <v>#N/A</v>
      </c>
      <c r="J47" t="e">
        <f>IF(INDEX( DATOS3!$1:$19996,A47,MATCH("Dose_RP_Total", DATOS3!$1:$1,0))=0,0,INDEX( DATOS3!$1:$19996,A47,MATCH("Dose_RP", DATOS3!$1:$1,0)))</f>
        <v>#N/A</v>
      </c>
      <c r="K47" t="e">
        <f>IF(INDEX( DATOS3!$1:$19996,A47,MATCH("Total_Fluoro_Time", DATOS3!$1:$1,0))=0,0,INDEX( DATOS3!$1:$19996,A47,MATCH("Total_Fluoro_Time", DATOS3!$1:$1,0)))</f>
        <v>#N/A</v>
      </c>
      <c r="L47" t="e">
        <f>IF(INDEX( DATOS3!$1:$19996,A47,MATCH("Total_Acquisition_Time", DATOS3!$1:$1,0))=0,0,INDEX( DATOS3!$1:$19996,A47,MATCH("Total_Acquisition_Time", DATOS3!$1:$1,0)))</f>
        <v>#N/A</v>
      </c>
    </row>
    <row r="48" spans="1:12" x14ac:dyDescent="0.25">
      <c r="A48">
        <v>48</v>
      </c>
      <c r="B48" t="e">
        <f t="shared" si="0"/>
        <v>#N/A</v>
      </c>
      <c r="C48" t="e">
        <f t="shared" si="1"/>
        <v>#N/A</v>
      </c>
      <c r="D48" t="e">
        <f>IF(INDEX( DATOS3!$1:$19996,A48,MATCH("PatientID", DATOS3!$1:$1,0))=0,"",INDEX( DATOS3!$1:$19996,A48,MATCH("PatientID", DATOS3!$1:$1,0)))</f>
        <v>#N/A</v>
      </c>
      <c r="F48" t="e">
        <f>IF(INDEX( DATOS3!$1:$19996,A48,MATCH("SeriesDate", DATOS3!$1:$1,0))=0,"",INDEX( DATOS3!$1:$19996,A48,MATCH("SeriesDate", DATOS3!$1:$1,0)))</f>
        <v>#N/A</v>
      </c>
      <c r="G48" t="e">
        <f>IF(INDEX( DATOS3!$1:$19996,A48,MATCH("SeriesTime", DATOS3!$1:$1,0))=0,"",INDEX( DATOS3!$1:$19996,A48,MATCH("SeriesTime", DATOS3!$1:$1,0)))</f>
        <v>#N/A</v>
      </c>
      <c r="H48" t="e">
        <f>IF(INDEX( DATOS3!$1:$19996,A48,MATCH("StudyDescription", DATOS3!$1:$1,0))=0,"",INDEX( DATOS3!$1:$19996,A48,MATCH("StudyDescription", DATOS3!$1:$1,0)))</f>
        <v>#N/A</v>
      </c>
      <c r="I48" t="e">
        <f>IF(INDEX( DATOS3!$1:$19996,A48,MATCH("Dose_Area_Product_Total", DATOS3!$1:$1,0))=0,0,INDEX( DATOS3!$1:$19996,A48,MATCH("Dose_Area_Product", DATOS3!$1:$1,0)))</f>
        <v>#N/A</v>
      </c>
      <c r="J48" t="e">
        <f>IF(INDEX( DATOS3!$1:$19996,A48,MATCH("Dose_RP_Total", DATOS3!$1:$1,0))=0,0,INDEX( DATOS3!$1:$19996,A48,MATCH("Dose_RP", DATOS3!$1:$1,0)))</f>
        <v>#N/A</v>
      </c>
      <c r="K48" t="e">
        <f>IF(INDEX( DATOS3!$1:$19996,A48,MATCH("Total_Fluoro_Time", DATOS3!$1:$1,0))=0,0,INDEX( DATOS3!$1:$19996,A48,MATCH("Total_Fluoro_Time", DATOS3!$1:$1,0)))</f>
        <v>#N/A</v>
      </c>
      <c r="L48" t="e">
        <f>IF(INDEX( DATOS3!$1:$19996,A48,MATCH("Total_Acquisition_Time", DATOS3!$1:$1,0))=0,0,INDEX( DATOS3!$1:$19996,A48,MATCH("Total_Acquisition_Time", DATOS3!$1:$1,0)))</f>
        <v>#N/A</v>
      </c>
    </row>
    <row r="49" spans="1:12" x14ac:dyDescent="0.25">
      <c r="A49">
        <v>49</v>
      </c>
      <c r="B49" t="e">
        <f t="shared" si="0"/>
        <v>#N/A</v>
      </c>
      <c r="C49" t="e">
        <f t="shared" si="1"/>
        <v>#N/A</v>
      </c>
      <c r="D49" t="e">
        <f>IF(INDEX( DATOS3!$1:$19996,A49,MATCH("PatientID", DATOS3!$1:$1,0))=0,"",INDEX( DATOS3!$1:$19996,A49,MATCH("PatientID", DATOS3!$1:$1,0)))</f>
        <v>#N/A</v>
      </c>
      <c r="F49" t="e">
        <f>IF(INDEX( DATOS3!$1:$19996,A49,MATCH("SeriesDate", DATOS3!$1:$1,0))=0,"",INDEX( DATOS3!$1:$19996,A49,MATCH("SeriesDate", DATOS3!$1:$1,0)))</f>
        <v>#N/A</v>
      </c>
      <c r="G49" t="e">
        <f>IF(INDEX( DATOS3!$1:$19996,A49,MATCH("SeriesTime", DATOS3!$1:$1,0))=0,"",INDEX( DATOS3!$1:$19996,A49,MATCH("SeriesTime", DATOS3!$1:$1,0)))</f>
        <v>#N/A</v>
      </c>
      <c r="H49" t="e">
        <f>IF(INDEX( DATOS3!$1:$19996,A49,MATCH("StudyDescription", DATOS3!$1:$1,0))=0,"",INDEX( DATOS3!$1:$19996,A49,MATCH("StudyDescription", DATOS3!$1:$1,0)))</f>
        <v>#N/A</v>
      </c>
      <c r="I49" t="e">
        <f>IF(INDEX( DATOS3!$1:$19996,A49,MATCH("Dose_Area_Product_Total", DATOS3!$1:$1,0))=0,0,INDEX( DATOS3!$1:$19996,A49,MATCH("Dose_Area_Product", DATOS3!$1:$1,0)))</f>
        <v>#N/A</v>
      </c>
      <c r="J49" t="e">
        <f>IF(INDEX( DATOS3!$1:$19996,A49,MATCH("Dose_RP_Total", DATOS3!$1:$1,0))=0,0,INDEX( DATOS3!$1:$19996,A49,MATCH("Dose_RP", DATOS3!$1:$1,0)))</f>
        <v>#N/A</v>
      </c>
      <c r="K49" t="e">
        <f>IF(INDEX( DATOS3!$1:$19996,A49,MATCH("Total_Fluoro_Time", DATOS3!$1:$1,0))=0,0,INDEX( DATOS3!$1:$19996,A49,MATCH("Total_Fluoro_Time", DATOS3!$1:$1,0)))</f>
        <v>#N/A</v>
      </c>
      <c r="L49" t="e">
        <f>IF(INDEX( DATOS3!$1:$19996,A49,MATCH("Total_Acquisition_Time", DATOS3!$1:$1,0))=0,0,INDEX( DATOS3!$1:$19996,A49,MATCH("Total_Acquisition_Time", DATOS3!$1:$1,0)))</f>
        <v>#N/A</v>
      </c>
    </row>
    <row r="50" spans="1:12" x14ac:dyDescent="0.25">
      <c r="A50">
        <v>50</v>
      </c>
      <c r="B50" t="e">
        <f t="shared" si="0"/>
        <v>#N/A</v>
      </c>
      <c r="C50" t="e">
        <f t="shared" si="1"/>
        <v>#N/A</v>
      </c>
      <c r="D50" t="e">
        <f>IF(INDEX( DATOS3!$1:$19996,A50,MATCH("PatientID", DATOS3!$1:$1,0))=0,"",INDEX( DATOS3!$1:$19996,A50,MATCH("PatientID", DATOS3!$1:$1,0)))</f>
        <v>#N/A</v>
      </c>
      <c r="F50" t="e">
        <f>IF(INDEX( DATOS3!$1:$19996,A50,MATCH("SeriesDate", DATOS3!$1:$1,0))=0,"",INDEX( DATOS3!$1:$19996,A50,MATCH("SeriesDate", DATOS3!$1:$1,0)))</f>
        <v>#N/A</v>
      </c>
      <c r="G50" t="e">
        <f>IF(INDEX( DATOS3!$1:$19996,A50,MATCH("SeriesTime", DATOS3!$1:$1,0))=0,"",INDEX( DATOS3!$1:$19996,A50,MATCH("SeriesTime", DATOS3!$1:$1,0)))</f>
        <v>#N/A</v>
      </c>
      <c r="H50" t="e">
        <f>IF(INDEX( DATOS3!$1:$19996,A50,MATCH("StudyDescription", DATOS3!$1:$1,0))=0,"",INDEX( DATOS3!$1:$19996,A50,MATCH("StudyDescription", DATOS3!$1:$1,0)))</f>
        <v>#N/A</v>
      </c>
      <c r="I50" t="e">
        <f>IF(INDEX( DATOS3!$1:$19996,A50,MATCH("Dose_Area_Product_Total", DATOS3!$1:$1,0))=0,0,INDEX( DATOS3!$1:$19996,A50,MATCH("Dose_Area_Product", DATOS3!$1:$1,0)))</f>
        <v>#N/A</v>
      </c>
      <c r="J50" t="e">
        <f>IF(INDEX( DATOS3!$1:$19996,A50,MATCH("Dose_RP_Total", DATOS3!$1:$1,0))=0,0,INDEX( DATOS3!$1:$19996,A50,MATCH("Dose_RP", DATOS3!$1:$1,0)))</f>
        <v>#N/A</v>
      </c>
      <c r="K50" t="e">
        <f>IF(INDEX( DATOS3!$1:$19996,A50,MATCH("Total_Fluoro_Time", DATOS3!$1:$1,0))=0,0,INDEX( DATOS3!$1:$19996,A50,MATCH("Total_Fluoro_Time", DATOS3!$1:$1,0)))</f>
        <v>#N/A</v>
      </c>
      <c r="L50" t="e">
        <f>IF(INDEX( DATOS3!$1:$19996,A50,MATCH("Total_Acquisition_Time", DATOS3!$1:$1,0))=0,0,INDEX( DATOS3!$1:$19996,A50,MATCH("Total_Acquisition_Time", DATOS3!$1:$1,0)))</f>
        <v>#N/A</v>
      </c>
    </row>
    <row r="51" spans="1:12" x14ac:dyDescent="0.25">
      <c r="A51">
        <v>51</v>
      </c>
      <c r="B51" t="e">
        <f t="shared" si="0"/>
        <v>#N/A</v>
      </c>
      <c r="C51" t="e">
        <f t="shared" si="1"/>
        <v>#N/A</v>
      </c>
      <c r="D51" t="e">
        <f>IF(INDEX( DATOS3!$1:$19996,A51,MATCH("PatientID", DATOS3!$1:$1,0))=0,"",INDEX( DATOS3!$1:$19996,A51,MATCH("PatientID", DATOS3!$1:$1,0)))</f>
        <v>#N/A</v>
      </c>
      <c r="F51" t="e">
        <f>IF(INDEX( DATOS3!$1:$19996,A51,MATCH("SeriesDate", DATOS3!$1:$1,0))=0,"",INDEX( DATOS3!$1:$19996,A51,MATCH("SeriesDate", DATOS3!$1:$1,0)))</f>
        <v>#N/A</v>
      </c>
      <c r="G51" t="e">
        <f>IF(INDEX( DATOS3!$1:$19996,A51,MATCH("SeriesTime", DATOS3!$1:$1,0))=0,"",INDEX( DATOS3!$1:$19996,A51,MATCH("SeriesTime", DATOS3!$1:$1,0)))</f>
        <v>#N/A</v>
      </c>
      <c r="H51" t="e">
        <f>IF(INDEX( DATOS3!$1:$19996,A51,MATCH("StudyDescription", DATOS3!$1:$1,0))=0,"",INDEX( DATOS3!$1:$19996,A51,MATCH("StudyDescription", DATOS3!$1:$1,0)))</f>
        <v>#N/A</v>
      </c>
      <c r="I51" t="e">
        <f>IF(INDEX( DATOS3!$1:$19996,A51,MATCH("Dose_Area_Product_Total", DATOS3!$1:$1,0))=0,0,INDEX( DATOS3!$1:$19996,A51,MATCH("Dose_Area_Product", DATOS3!$1:$1,0)))</f>
        <v>#N/A</v>
      </c>
      <c r="J51" t="e">
        <f>IF(INDEX( DATOS3!$1:$19996,A51,MATCH("Dose_RP_Total", DATOS3!$1:$1,0))=0,0,INDEX( DATOS3!$1:$19996,A51,MATCH("Dose_RP", DATOS3!$1:$1,0)))</f>
        <v>#N/A</v>
      </c>
      <c r="K51" t="e">
        <f>IF(INDEX( DATOS3!$1:$19996,A51,MATCH("Total_Fluoro_Time", DATOS3!$1:$1,0))=0,0,INDEX( DATOS3!$1:$19996,A51,MATCH("Total_Fluoro_Time", DATOS3!$1:$1,0)))</f>
        <v>#N/A</v>
      </c>
      <c r="L51" t="e">
        <f>IF(INDEX( DATOS3!$1:$19996,A51,MATCH("Total_Acquisition_Time", DATOS3!$1:$1,0))=0,0,INDEX( DATOS3!$1:$19996,A51,MATCH("Total_Acquisition_Time", DATOS3!$1:$1,0)))</f>
        <v>#N/A</v>
      </c>
    </row>
    <row r="52" spans="1:12" x14ac:dyDescent="0.25">
      <c r="A52">
        <v>52</v>
      </c>
      <c r="B52" t="e">
        <f t="shared" si="0"/>
        <v>#N/A</v>
      </c>
      <c r="C52" t="e">
        <f t="shared" si="1"/>
        <v>#N/A</v>
      </c>
      <c r="D52" t="e">
        <f>IF(INDEX( DATOS3!$1:$19996,A52,MATCH("PatientID", DATOS3!$1:$1,0))=0,"",INDEX( DATOS3!$1:$19996,A52,MATCH("PatientID", DATOS3!$1:$1,0)))</f>
        <v>#N/A</v>
      </c>
      <c r="F52" t="e">
        <f>IF(INDEX( DATOS3!$1:$19996,A52,MATCH("SeriesDate", DATOS3!$1:$1,0))=0,"",INDEX( DATOS3!$1:$19996,A52,MATCH("SeriesDate", DATOS3!$1:$1,0)))</f>
        <v>#N/A</v>
      </c>
      <c r="G52" t="e">
        <f>IF(INDEX( DATOS3!$1:$19996,A52,MATCH("SeriesTime", DATOS3!$1:$1,0))=0,"",INDEX( DATOS3!$1:$19996,A52,MATCH("SeriesTime", DATOS3!$1:$1,0)))</f>
        <v>#N/A</v>
      </c>
      <c r="H52" t="e">
        <f>IF(INDEX( DATOS3!$1:$19996,A52,MATCH("StudyDescription", DATOS3!$1:$1,0))=0,"",INDEX( DATOS3!$1:$19996,A52,MATCH("StudyDescription", DATOS3!$1:$1,0)))</f>
        <v>#N/A</v>
      </c>
      <c r="I52" t="e">
        <f>IF(INDEX( DATOS3!$1:$19996,A52,MATCH("Dose_Area_Product_Total", DATOS3!$1:$1,0))=0,0,INDEX( DATOS3!$1:$19996,A52,MATCH("Dose_Area_Product", DATOS3!$1:$1,0)))</f>
        <v>#N/A</v>
      </c>
      <c r="J52" t="e">
        <f>IF(INDEX( DATOS3!$1:$19996,A52,MATCH("Dose_RP_Total", DATOS3!$1:$1,0))=0,0,INDEX( DATOS3!$1:$19996,A52,MATCH("Dose_RP", DATOS3!$1:$1,0)))</f>
        <v>#N/A</v>
      </c>
      <c r="K52" t="e">
        <f>IF(INDEX( DATOS3!$1:$19996,A52,MATCH("Total_Fluoro_Time", DATOS3!$1:$1,0))=0,0,INDEX( DATOS3!$1:$19996,A52,MATCH("Total_Fluoro_Time", DATOS3!$1:$1,0)))</f>
        <v>#N/A</v>
      </c>
      <c r="L52" t="e">
        <f>IF(INDEX( DATOS3!$1:$19996,A52,MATCH("Total_Acquisition_Time", DATOS3!$1:$1,0))=0,0,INDEX( DATOS3!$1:$19996,A52,MATCH("Total_Acquisition_Time", DATOS3!$1:$1,0)))</f>
        <v>#N/A</v>
      </c>
    </row>
    <row r="53" spans="1:12" x14ac:dyDescent="0.25">
      <c r="A53">
        <v>53</v>
      </c>
      <c r="B53" t="e">
        <f t="shared" si="0"/>
        <v>#N/A</v>
      </c>
      <c r="C53" t="e">
        <f t="shared" si="1"/>
        <v>#N/A</v>
      </c>
      <c r="D53" t="e">
        <f>IF(INDEX( DATOS3!$1:$19996,A53,MATCH("PatientID", DATOS3!$1:$1,0))=0,"",INDEX( DATOS3!$1:$19996,A53,MATCH("PatientID", DATOS3!$1:$1,0)))</f>
        <v>#N/A</v>
      </c>
      <c r="F53" t="e">
        <f>IF(INDEX( DATOS3!$1:$19996,A53,MATCH("SeriesDate", DATOS3!$1:$1,0))=0,"",INDEX( DATOS3!$1:$19996,A53,MATCH("SeriesDate", DATOS3!$1:$1,0)))</f>
        <v>#N/A</v>
      </c>
      <c r="G53" t="e">
        <f>IF(INDEX( DATOS3!$1:$19996,A53,MATCH("SeriesTime", DATOS3!$1:$1,0))=0,"",INDEX( DATOS3!$1:$19996,A53,MATCH("SeriesTime", DATOS3!$1:$1,0)))</f>
        <v>#N/A</v>
      </c>
      <c r="H53" t="e">
        <f>IF(INDEX( DATOS3!$1:$19996,A53,MATCH("StudyDescription", DATOS3!$1:$1,0))=0,"",INDEX( DATOS3!$1:$19996,A53,MATCH("StudyDescription", DATOS3!$1:$1,0)))</f>
        <v>#N/A</v>
      </c>
      <c r="I53" t="e">
        <f>IF(INDEX( DATOS3!$1:$19996,A53,MATCH("Dose_Area_Product_Total", DATOS3!$1:$1,0))=0,0,INDEX( DATOS3!$1:$19996,A53,MATCH("Dose_Area_Product", DATOS3!$1:$1,0)))</f>
        <v>#N/A</v>
      </c>
      <c r="J53" t="e">
        <f>IF(INDEX( DATOS3!$1:$19996,A53,MATCH("Dose_RP_Total", DATOS3!$1:$1,0))=0,0,INDEX( DATOS3!$1:$19996,A53,MATCH("Dose_RP", DATOS3!$1:$1,0)))</f>
        <v>#N/A</v>
      </c>
      <c r="K53" t="e">
        <f>IF(INDEX( DATOS3!$1:$19996,A53,MATCH("Total_Fluoro_Time", DATOS3!$1:$1,0))=0,0,INDEX( DATOS3!$1:$19996,A53,MATCH("Total_Fluoro_Time", DATOS3!$1:$1,0)))</f>
        <v>#N/A</v>
      </c>
      <c r="L53" t="e">
        <f>IF(INDEX( DATOS3!$1:$19996,A53,MATCH("Total_Acquisition_Time", DATOS3!$1:$1,0))=0,0,INDEX( DATOS3!$1:$19996,A53,MATCH("Total_Acquisition_Time", DATOS3!$1:$1,0)))</f>
        <v>#N/A</v>
      </c>
    </row>
    <row r="54" spans="1:12" x14ac:dyDescent="0.25">
      <c r="A54">
        <v>54</v>
      </c>
      <c r="B54" t="e">
        <f t="shared" si="0"/>
        <v>#N/A</v>
      </c>
      <c r="C54" t="e">
        <f t="shared" si="1"/>
        <v>#N/A</v>
      </c>
      <c r="D54" t="e">
        <f>IF(INDEX( DATOS3!$1:$19996,A54,MATCH("PatientID", DATOS3!$1:$1,0))=0,"",INDEX( DATOS3!$1:$19996,A54,MATCH("PatientID", DATOS3!$1:$1,0)))</f>
        <v>#N/A</v>
      </c>
      <c r="F54" t="e">
        <f>IF(INDEX( DATOS3!$1:$19996,A54,MATCH("SeriesDate", DATOS3!$1:$1,0))=0,"",INDEX( DATOS3!$1:$19996,A54,MATCH("SeriesDate", DATOS3!$1:$1,0)))</f>
        <v>#N/A</v>
      </c>
      <c r="G54" t="e">
        <f>IF(INDEX( DATOS3!$1:$19996,A54,MATCH("SeriesTime", DATOS3!$1:$1,0))=0,"",INDEX( DATOS3!$1:$19996,A54,MATCH("SeriesTime", DATOS3!$1:$1,0)))</f>
        <v>#N/A</v>
      </c>
      <c r="H54" t="e">
        <f>IF(INDEX( DATOS3!$1:$19996,A54,MATCH("StudyDescription", DATOS3!$1:$1,0))=0,"",INDEX( DATOS3!$1:$19996,A54,MATCH("StudyDescription", DATOS3!$1:$1,0)))</f>
        <v>#N/A</v>
      </c>
      <c r="I54" t="e">
        <f>IF(INDEX( DATOS3!$1:$19996,A54,MATCH("Dose_Area_Product_Total", DATOS3!$1:$1,0))=0,0,INDEX( DATOS3!$1:$19996,A54,MATCH("Dose_Area_Product", DATOS3!$1:$1,0)))</f>
        <v>#N/A</v>
      </c>
      <c r="J54" t="e">
        <f>IF(INDEX( DATOS3!$1:$19996,A54,MATCH("Dose_RP_Total", DATOS3!$1:$1,0))=0,0,INDEX( DATOS3!$1:$19996,A54,MATCH("Dose_RP", DATOS3!$1:$1,0)))</f>
        <v>#N/A</v>
      </c>
      <c r="K54" t="e">
        <f>IF(INDEX( DATOS3!$1:$19996,A54,MATCH("Total_Fluoro_Time", DATOS3!$1:$1,0))=0,0,INDEX( DATOS3!$1:$19996,A54,MATCH("Total_Fluoro_Time", DATOS3!$1:$1,0)))</f>
        <v>#N/A</v>
      </c>
      <c r="L54" t="e">
        <f>IF(INDEX( DATOS3!$1:$19996,A54,MATCH("Total_Acquisition_Time", DATOS3!$1:$1,0))=0,0,INDEX( DATOS3!$1:$19996,A54,MATCH("Total_Acquisition_Time", DATOS3!$1:$1,0)))</f>
        <v>#N/A</v>
      </c>
    </row>
    <row r="55" spans="1:12" x14ac:dyDescent="0.25">
      <c r="A55">
        <v>55</v>
      </c>
      <c r="B55" t="e">
        <f t="shared" si="0"/>
        <v>#N/A</v>
      </c>
      <c r="C55" t="e">
        <f t="shared" si="1"/>
        <v>#N/A</v>
      </c>
      <c r="D55" t="e">
        <f>IF(INDEX( DATOS3!$1:$19996,A55,MATCH("PatientID", DATOS3!$1:$1,0))=0,"",INDEX( DATOS3!$1:$19996,A55,MATCH("PatientID", DATOS3!$1:$1,0)))</f>
        <v>#N/A</v>
      </c>
      <c r="F55" t="e">
        <f>IF(INDEX( DATOS3!$1:$19996,A55,MATCH("SeriesDate", DATOS3!$1:$1,0))=0,"",INDEX( DATOS3!$1:$19996,A55,MATCH("SeriesDate", DATOS3!$1:$1,0)))</f>
        <v>#N/A</v>
      </c>
      <c r="G55" t="e">
        <f>IF(INDEX( DATOS3!$1:$19996,A55,MATCH("SeriesTime", DATOS3!$1:$1,0))=0,"",INDEX( DATOS3!$1:$19996,A55,MATCH("SeriesTime", DATOS3!$1:$1,0)))</f>
        <v>#N/A</v>
      </c>
      <c r="H55" t="e">
        <f>IF(INDEX( DATOS3!$1:$19996,A55,MATCH("StudyDescription", DATOS3!$1:$1,0))=0,"",INDEX( DATOS3!$1:$19996,A55,MATCH("StudyDescription", DATOS3!$1:$1,0)))</f>
        <v>#N/A</v>
      </c>
      <c r="I55" t="e">
        <f>IF(INDEX( DATOS3!$1:$19996,A55,MATCH("Dose_Area_Product_Total", DATOS3!$1:$1,0))=0,0,INDEX( DATOS3!$1:$19996,A55,MATCH("Dose_Area_Product", DATOS3!$1:$1,0)))</f>
        <v>#N/A</v>
      </c>
      <c r="J55" t="e">
        <f>IF(INDEX( DATOS3!$1:$19996,A55,MATCH("Dose_RP_Total", DATOS3!$1:$1,0))=0,0,INDEX( DATOS3!$1:$19996,A55,MATCH("Dose_RP", DATOS3!$1:$1,0)))</f>
        <v>#N/A</v>
      </c>
      <c r="K55" t="e">
        <f>IF(INDEX( DATOS3!$1:$19996,A55,MATCH("Total_Fluoro_Time", DATOS3!$1:$1,0))=0,0,INDEX( DATOS3!$1:$19996,A55,MATCH("Total_Fluoro_Time", DATOS3!$1:$1,0)))</f>
        <v>#N/A</v>
      </c>
      <c r="L55" t="e">
        <f>IF(INDEX( DATOS3!$1:$19996,A55,MATCH("Total_Acquisition_Time", DATOS3!$1:$1,0))=0,0,INDEX( DATOS3!$1:$19996,A55,MATCH("Total_Acquisition_Time", DATOS3!$1:$1,0)))</f>
        <v>#N/A</v>
      </c>
    </row>
    <row r="56" spans="1:12" x14ac:dyDescent="0.25">
      <c r="A56">
        <v>56</v>
      </c>
      <c r="B56" t="e">
        <f t="shared" si="0"/>
        <v>#N/A</v>
      </c>
      <c r="C56" t="e">
        <f t="shared" si="1"/>
        <v>#N/A</v>
      </c>
      <c r="D56" t="e">
        <f>IF(INDEX( DATOS3!$1:$19996,A56,MATCH("PatientID", DATOS3!$1:$1,0))=0,"",INDEX( DATOS3!$1:$19996,A56,MATCH("PatientID", DATOS3!$1:$1,0)))</f>
        <v>#N/A</v>
      </c>
      <c r="F56" t="e">
        <f>IF(INDEX( DATOS3!$1:$19996,A56,MATCH("SeriesDate", DATOS3!$1:$1,0))=0,"",INDEX( DATOS3!$1:$19996,A56,MATCH("SeriesDate", DATOS3!$1:$1,0)))</f>
        <v>#N/A</v>
      </c>
      <c r="G56" t="e">
        <f>IF(INDEX( DATOS3!$1:$19996,A56,MATCH("SeriesTime", DATOS3!$1:$1,0))=0,"",INDEX( DATOS3!$1:$19996,A56,MATCH("SeriesTime", DATOS3!$1:$1,0)))</f>
        <v>#N/A</v>
      </c>
      <c r="H56" t="e">
        <f>IF(INDEX( DATOS3!$1:$19996,A56,MATCH("StudyDescription", DATOS3!$1:$1,0))=0,"",INDEX( DATOS3!$1:$19996,A56,MATCH("StudyDescription", DATOS3!$1:$1,0)))</f>
        <v>#N/A</v>
      </c>
      <c r="I56" t="e">
        <f>IF(INDEX( DATOS3!$1:$19996,A56,MATCH("Dose_Area_Product_Total", DATOS3!$1:$1,0))=0,0,INDEX( DATOS3!$1:$19996,A56,MATCH("Dose_Area_Product", DATOS3!$1:$1,0)))</f>
        <v>#N/A</v>
      </c>
      <c r="J56" t="e">
        <f>IF(INDEX( DATOS3!$1:$19996,A56,MATCH("Dose_RP_Total", DATOS3!$1:$1,0))=0,0,INDEX( DATOS3!$1:$19996,A56,MATCH("Dose_RP", DATOS3!$1:$1,0)))</f>
        <v>#N/A</v>
      </c>
      <c r="K56" t="e">
        <f>IF(INDEX( DATOS3!$1:$19996,A56,MATCH("Total_Fluoro_Time", DATOS3!$1:$1,0))=0,0,INDEX( DATOS3!$1:$19996,A56,MATCH("Total_Fluoro_Time", DATOS3!$1:$1,0)))</f>
        <v>#N/A</v>
      </c>
      <c r="L56" t="e">
        <f>IF(INDEX( DATOS3!$1:$19996,A56,MATCH("Total_Acquisition_Time", DATOS3!$1:$1,0))=0,0,INDEX( DATOS3!$1:$19996,A56,MATCH("Total_Acquisition_Time", DATOS3!$1:$1,0)))</f>
        <v>#N/A</v>
      </c>
    </row>
    <row r="57" spans="1:12" x14ac:dyDescent="0.25">
      <c r="A57">
        <v>57</v>
      </c>
      <c r="B57" t="e">
        <f t="shared" si="0"/>
        <v>#N/A</v>
      </c>
      <c r="C57" t="e">
        <f t="shared" si="1"/>
        <v>#N/A</v>
      </c>
      <c r="D57" t="e">
        <f>IF(INDEX( DATOS3!$1:$19996,A57,MATCH("PatientID", DATOS3!$1:$1,0))=0,"",INDEX( DATOS3!$1:$19996,A57,MATCH("PatientID", DATOS3!$1:$1,0)))</f>
        <v>#N/A</v>
      </c>
      <c r="F57" t="e">
        <f>IF(INDEX( DATOS3!$1:$19996,A57,MATCH("SeriesDate", DATOS3!$1:$1,0))=0,"",INDEX( DATOS3!$1:$19996,A57,MATCH("SeriesDate", DATOS3!$1:$1,0)))</f>
        <v>#N/A</v>
      </c>
      <c r="G57" t="e">
        <f>IF(INDEX( DATOS3!$1:$19996,A57,MATCH("SeriesTime", DATOS3!$1:$1,0))=0,"",INDEX( DATOS3!$1:$19996,A57,MATCH("SeriesTime", DATOS3!$1:$1,0)))</f>
        <v>#N/A</v>
      </c>
      <c r="H57" t="e">
        <f>IF(INDEX( DATOS3!$1:$19996,A57,MATCH("StudyDescription", DATOS3!$1:$1,0))=0,"",INDEX( DATOS3!$1:$19996,A57,MATCH("StudyDescription", DATOS3!$1:$1,0)))</f>
        <v>#N/A</v>
      </c>
      <c r="I57" t="e">
        <f>IF(INDEX( DATOS3!$1:$19996,A57,MATCH("Dose_Area_Product_Total", DATOS3!$1:$1,0))=0,0,INDEX( DATOS3!$1:$19996,A57,MATCH("Dose_Area_Product", DATOS3!$1:$1,0)))</f>
        <v>#N/A</v>
      </c>
      <c r="J57" t="e">
        <f>IF(INDEX( DATOS3!$1:$19996,A57,MATCH("Dose_RP_Total", DATOS3!$1:$1,0))=0,0,INDEX( DATOS3!$1:$19996,A57,MATCH("Dose_RP", DATOS3!$1:$1,0)))</f>
        <v>#N/A</v>
      </c>
      <c r="K57" t="e">
        <f>IF(INDEX( DATOS3!$1:$19996,A57,MATCH("Total_Fluoro_Time", DATOS3!$1:$1,0))=0,0,INDEX( DATOS3!$1:$19996,A57,MATCH("Total_Fluoro_Time", DATOS3!$1:$1,0)))</f>
        <v>#N/A</v>
      </c>
      <c r="L57" t="e">
        <f>IF(INDEX( DATOS3!$1:$19996,A57,MATCH("Total_Acquisition_Time", DATOS3!$1:$1,0))=0,0,INDEX( DATOS3!$1:$19996,A57,MATCH("Total_Acquisition_Time", DATOS3!$1:$1,0)))</f>
        <v>#N/A</v>
      </c>
    </row>
    <row r="58" spans="1:12" x14ac:dyDescent="0.25">
      <c r="A58">
        <v>58</v>
      </c>
      <c r="B58" t="e">
        <f t="shared" si="0"/>
        <v>#N/A</v>
      </c>
      <c r="C58" t="e">
        <f t="shared" si="1"/>
        <v>#N/A</v>
      </c>
      <c r="D58" t="e">
        <f>IF(INDEX( DATOS3!$1:$19996,A58,MATCH("PatientID", DATOS3!$1:$1,0))=0,"",INDEX( DATOS3!$1:$19996,A58,MATCH("PatientID", DATOS3!$1:$1,0)))</f>
        <v>#N/A</v>
      </c>
      <c r="F58" t="e">
        <f>IF(INDEX( DATOS3!$1:$19996,A58,MATCH("SeriesDate", DATOS3!$1:$1,0))=0,"",INDEX( DATOS3!$1:$19996,A58,MATCH("SeriesDate", DATOS3!$1:$1,0)))</f>
        <v>#N/A</v>
      </c>
      <c r="G58" t="e">
        <f>IF(INDEX( DATOS3!$1:$19996,A58,MATCH("SeriesTime", DATOS3!$1:$1,0))=0,"",INDEX( DATOS3!$1:$19996,A58,MATCH("SeriesTime", DATOS3!$1:$1,0)))</f>
        <v>#N/A</v>
      </c>
      <c r="H58" t="e">
        <f>IF(INDEX( DATOS3!$1:$19996,A58,MATCH("StudyDescription", DATOS3!$1:$1,0))=0,"",INDEX( DATOS3!$1:$19996,A58,MATCH("StudyDescription", DATOS3!$1:$1,0)))</f>
        <v>#N/A</v>
      </c>
      <c r="I58" t="e">
        <f>IF(INDEX( DATOS3!$1:$19996,A58,MATCH("Dose_Area_Product_Total", DATOS3!$1:$1,0))=0,0,INDEX( DATOS3!$1:$19996,A58,MATCH("Dose_Area_Product", DATOS3!$1:$1,0)))</f>
        <v>#N/A</v>
      </c>
      <c r="J58" t="e">
        <f>IF(INDEX( DATOS3!$1:$19996,A58,MATCH("Dose_RP_Total", DATOS3!$1:$1,0))=0,0,INDEX( DATOS3!$1:$19996,A58,MATCH("Dose_RP", DATOS3!$1:$1,0)))</f>
        <v>#N/A</v>
      </c>
      <c r="K58" t="e">
        <f>IF(INDEX( DATOS3!$1:$19996,A58,MATCH("Total_Fluoro_Time", DATOS3!$1:$1,0))=0,0,INDEX( DATOS3!$1:$19996,A58,MATCH("Total_Fluoro_Time", DATOS3!$1:$1,0)))</f>
        <v>#N/A</v>
      </c>
      <c r="L58" t="e">
        <f>IF(INDEX( DATOS3!$1:$19996,A58,MATCH("Total_Acquisition_Time", DATOS3!$1:$1,0))=0,0,INDEX( DATOS3!$1:$19996,A58,MATCH("Total_Acquisition_Time", DATOS3!$1:$1,0)))</f>
        <v>#N/A</v>
      </c>
    </row>
    <row r="59" spans="1:12" x14ac:dyDescent="0.25">
      <c r="A59">
        <v>59</v>
      </c>
      <c r="B59" t="e">
        <f t="shared" si="0"/>
        <v>#N/A</v>
      </c>
      <c r="C59" t="e">
        <f t="shared" si="1"/>
        <v>#N/A</v>
      </c>
      <c r="D59" t="e">
        <f>IF(INDEX( DATOS3!$1:$19996,A59,MATCH("PatientID", DATOS3!$1:$1,0))=0,"",INDEX( DATOS3!$1:$19996,A59,MATCH("PatientID", DATOS3!$1:$1,0)))</f>
        <v>#N/A</v>
      </c>
      <c r="F59" t="e">
        <f>IF(INDEX( DATOS3!$1:$19996,A59,MATCH("SeriesDate", DATOS3!$1:$1,0))=0,"",INDEX( DATOS3!$1:$19996,A59,MATCH("SeriesDate", DATOS3!$1:$1,0)))</f>
        <v>#N/A</v>
      </c>
      <c r="G59" t="e">
        <f>IF(INDEX( DATOS3!$1:$19996,A59,MATCH("SeriesTime", DATOS3!$1:$1,0))=0,"",INDEX( DATOS3!$1:$19996,A59,MATCH("SeriesTime", DATOS3!$1:$1,0)))</f>
        <v>#N/A</v>
      </c>
      <c r="H59" t="e">
        <f>IF(INDEX( DATOS3!$1:$19996,A59,MATCH("StudyDescription", DATOS3!$1:$1,0))=0,"",INDEX( DATOS3!$1:$19996,A59,MATCH("StudyDescription", DATOS3!$1:$1,0)))</f>
        <v>#N/A</v>
      </c>
      <c r="I59" t="e">
        <f>IF(INDEX( DATOS3!$1:$19996,A59,MATCH("Dose_Area_Product_Total", DATOS3!$1:$1,0))=0,0,INDEX( DATOS3!$1:$19996,A59,MATCH("Dose_Area_Product", DATOS3!$1:$1,0)))</f>
        <v>#N/A</v>
      </c>
      <c r="J59" t="e">
        <f>IF(INDEX( DATOS3!$1:$19996,A59,MATCH("Dose_RP_Total", DATOS3!$1:$1,0))=0,0,INDEX( DATOS3!$1:$19996,A59,MATCH("Dose_RP", DATOS3!$1:$1,0)))</f>
        <v>#N/A</v>
      </c>
      <c r="K59" t="e">
        <f>IF(INDEX( DATOS3!$1:$19996,A59,MATCH("Total_Fluoro_Time", DATOS3!$1:$1,0))=0,0,INDEX( DATOS3!$1:$19996,A59,MATCH("Total_Fluoro_Time", DATOS3!$1:$1,0)))</f>
        <v>#N/A</v>
      </c>
      <c r="L59" t="e">
        <f>IF(INDEX( DATOS3!$1:$19996,A59,MATCH("Total_Acquisition_Time", DATOS3!$1:$1,0))=0,0,INDEX( DATOS3!$1:$19996,A59,MATCH("Total_Acquisition_Time", DATOS3!$1:$1,0)))</f>
        <v>#N/A</v>
      </c>
    </row>
    <row r="60" spans="1:12" x14ac:dyDescent="0.25">
      <c r="A60">
        <v>60</v>
      </c>
      <c r="B60" t="e">
        <f t="shared" si="0"/>
        <v>#N/A</v>
      </c>
      <c r="C60" t="e">
        <f t="shared" si="1"/>
        <v>#N/A</v>
      </c>
      <c r="D60" t="e">
        <f>IF(INDEX( DATOS3!$1:$19996,A60,MATCH("PatientID", DATOS3!$1:$1,0))=0,"",INDEX( DATOS3!$1:$19996,A60,MATCH("PatientID", DATOS3!$1:$1,0)))</f>
        <v>#N/A</v>
      </c>
      <c r="F60" t="e">
        <f>IF(INDEX( DATOS3!$1:$19996,A60,MATCH("SeriesDate", DATOS3!$1:$1,0))=0,"",INDEX( DATOS3!$1:$19996,A60,MATCH("SeriesDate", DATOS3!$1:$1,0)))</f>
        <v>#N/A</v>
      </c>
      <c r="G60" t="e">
        <f>IF(INDEX( DATOS3!$1:$19996,A60,MATCH("SeriesTime", DATOS3!$1:$1,0))=0,"",INDEX( DATOS3!$1:$19996,A60,MATCH("SeriesTime", DATOS3!$1:$1,0)))</f>
        <v>#N/A</v>
      </c>
      <c r="H60" t="e">
        <f>IF(INDEX( DATOS3!$1:$19996,A60,MATCH("StudyDescription", DATOS3!$1:$1,0))=0,"",INDEX( DATOS3!$1:$19996,A60,MATCH("StudyDescription", DATOS3!$1:$1,0)))</f>
        <v>#N/A</v>
      </c>
      <c r="I60" t="e">
        <f>IF(INDEX( DATOS3!$1:$19996,A60,MATCH("Dose_Area_Product_Total", DATOS3!$1:$1,0))=0,0,INDEX( DATOS3!$1:$19996,A60,MATCH("Dose_Area_Product", DATOS3!$1:$1,0)))</f>
        <v>#N/A</v>
      </c>
      <c r="J60" t="e">
        <f>IF(INDEX( DATOS3!$1:$19996,A60,MATCH("Dose_RP_Total", DATOS3!$1:$1,0))=0,0,INDEX( DATOS3!$1:$19996,A60,MATCH("Dose_RP", DATOS3!$1:$1,0)))</f>
        <v>#N/A</v>
      </c>
      <c r="K60" t="e">
        <f>IF(INDEX( DATOS3!$1:$19996,A60,MATCH("Total_Fluoro_Time", DATOS3!$1:$1,0))=0,0,INDEX( DATOS3!$1:$19996,A60,MATCH("Total_Fluoro_Time", DATOS3!$1:$1,0)))</f>
        <v>#N/A</v>
      </c>
      <c r="L60" t="e">
        <f>IF(INDEX( DATOS3!$1:$19996,A60,MATCH("Total_Acquisition_Time", DATOS3!$1:$1,0))=0,0,INDEX( DATOS3!$1:$19996,A60,MATCH("Total_Acquisition_Time", DATOS3!$1:$1,0)))</f>
        <v>#N/A</v>
      </c>
    </row>
    <row r="61" spans="1:12" x14ac:dyDescent="0.25">
      <c r="A61">
        <v>61</v>
      </c>
      <c r="B61" t="e">
        <f t="shared" si="0"/>
        <v>#N/A</v>
      </c>
      <c r="C61" t="e">
        <f t="shared" si="1"/>
        <v>#N/A</v>
      </c>
      <c r="D61" t="e">
        <f>IF(INDEX( DATOS3!$1:$19996,A61,MATCH("PatientID", DATOS3!$1:$1,0))=0,"",INDEX( DATOS3!$1:$19996,A61,MATCH("PatientID", DATOS3!$1:$1,0)))</f>
        <v>#N/A</v>
      </c>
      <c r="F61" t="e">
        <f>IF(INDEX( DATOS3!$1:$19996,A61,MATCH("SeriesDate", DATOS3!$1:$1,0))=0,"",INDEX( DATOS3!$1:$19996,A61,MATCH("SeriesDate", DATOS3!$1:$1,0)))</f>
        <v>#N/A</v>
      </c>
      <c r="G61" t="e">
        <f>IF(INDEX( DATOS3!$1:$19996,A61,MATCH("SeriesTime", DATOS3!$1:$1,0))=0,"",INDEX( DATOS3!$1:$19996,A61,MATCH("SeriesTime", DATOS3!$1:$1,0)))</f>
        <v>#N/A</v>
      </c>
      <c r="H61" t="e">
        <f>IF(INDEX( DATOS3!$1:$19996,A61,MATCH("StudyDescription", DATOS3!$1:$1,0))=0,"",INDEX( DATOS3!$1:$19996,A61,MATCH("StudyDescription", DATOS3!$1:$1,0)))</f>
        <v>#N/A</v>
      </c>
      <c r="I61" t="e">
        <f>IF(INDEX( DATOS3!$1:$19996,A61,MATCH("Dose_Area_Product_Total", DATOS3!$1:$1,0))=0,0,INDEX( DATOS3!$1:$19996,A61,MATCH("Dose_Area_Product", DATOS3!$1:$1,0)))</f>
        <v>#N/A</v>
      </c>
      <c r="J61" t="e">
        <f>IF(INDEX( DATOS3!$1:$19996,A61,MATCH("Dose_RP_Total", DATOS3!$1:$1,0))=0,0,INDEX( DATOS3!$1:$19996,A61,MATCH("Dose_RP", DATOS3!$1:$1,0)))</f>
        <v>#N/A</v>
      </c>
      <c r="K61" t="e">
        <f>IF(INDEX( DATOS3!$1:$19996,A61,MATCH("Total_Fluoro_Time", DATOS3!$1:$1,0))=0,0,INDEX( DATOS3!$1:$19996,A61,MATCH("Total_Fluoro_Time", DATOS3!$1:$1,0)))</f>
        <v>#N/A</v>
      </c>
      <c r="L61" t="e">
        <f>IF(INDEX( DATOS3!$1:$19996,A61,MATCH("Total_Acquisition_Time", DATOS3!$1:$1,0))=0,0,INDEX( DATOS3!$1:$19996,A61,MATCH("Total_Acquisition_Time", DATOS3!$1:$1,0)))</f>
        <v>#N/A</v>
      </c>
    </row>
    <row r="62" spans="1:12" x14ac:dyDescent="0.25">
      <c r="A62">
        <v>62</v>
      </c>
      <c r="B62" t="e">
        <f t="shared" si="0"/>
        <v>#N/A</v>
      </c>
      <c r="C62" t="e">
        <f t="shared" si="1"/>
        <v>#N/A</v>
      </c>
      <c r="D62" t="e">
        <f>IF(INDEX( DATOS3!$1:$19996,A62,MATCH("PatientID", DATOS3!$1:$1,0))=0,"",INDEX( DATOS3!$1:$19996,A62,MATCH("PatientID", DATOS3!$1:$1,0)))</f>
        <v>#N/A</v>
      </c>
      <c r="F62" t="e">
        <f>IF(INDEX( DATOS3!$1:$19996,A62,MATCH("SeriesDate", DATOS3!$1:$1,0))=0,"",INDEX( DATOS3!$1:$19996,A62,MATCH("SeriesDate", DATOS3!$1:$1,0)))</f>
        <v>#N/A</v>
      </c>
      <c r="G62" t="e">
        <f>IF(INDEX( DATOS3!$1:$19996,A62,MATCH("SeriesTime", DATOS3!$1:$1,0))=0,"",INDEX( DATOS3!$1:$19996,A62,MATCH("SeriesTime", DATOS3!$1:$1,0)))</f>
        <v>#N/A</v>
      </c>
      <c r="H62" t="e">
        <f>IF(INDEX( DATOS3!$1:$19996,A62,MATCH("StudyDescription", DATOS3!$1:$1,0))=0,"",INDEX( DATOS3!$1:$19996,A62,MATCH("StudyDescription", DATOS3!$1:$1,0)))</f>
        <v>#N/A</v>
      </c>
      <c r="I62" t="e">
        <f>IF(INDEX( DATOS3!$1:$19996,A62,MATCH("Dose_Area_Product_Total", DATOS3!$1:$1,0))=0,0,INDEX( DATOS3!$1:$19996,A62,MATCH("Dose_Area_Product", DATOS3!$1:$1,0)))</f>
        <v>#N/A</v>
      </c>
      <c r="J62" t="e">
        <f>IF(INDEX( DATOS3!$1:$19996,A62,MATCH("Dose_RP_Total", DATOS3!$1:$1,0))=0,0,INDEX( DATOS3!$1:$19996,A62,MATCH("Dose_RP", DATOS3!$1:$1,0)))</f>
        <v>#N/A</v>
      </c>
      <c r="K62" t="e">
        <f>IF(INDEX( DATOS3!$1:$19996,A62,MATCH("Total_Fluoro_Time", DATOS3!$1:$1,0))=0,0,INDEX( DATOS3!$1:$19996,A62,MATCH("Total_Fluoro_Time", DATOS3!$1:$1,0)))</f>
        <v>#N/A</v>
      </c>
      <c r="L62" t="e">
        <f>IF(INDEX( DATOS3!$1:$19996,A62,MATCH("Total_Acquisition_Time", DATOS3!$1:$1,0))=0,0,INDEX( DATOS3!$1:$19996,A62,MATCH("Total_Acquisition_Time", DATOS3!$1:$1,0)))</f>
        <v>#N/A</v>
      </c>
    </row>
    <row r="63" spans="1:12" x14ac:dyDescent="0.25">
      <c r="A63">
        <v>63</v>
      </c>
      <c r="B63" t="e">
        <f t="shared" si="0"/>
        <v>#N/A</v>
      </c>
      <c r="C63" t="e">
        <f t="shared" si="1"/>
        <v>#N/A</v>
      </c>
      <c r="D63" t="e">
        <f>IF(INDEX( DATOS3!$1:$19996,A63,MATCH("PatientID", DATOS3!$1:$1,0))=0,"",INDEX( DATOS3!$1:$19996,A63,MATCH("PatientID", DATOS3!$1:$1,0)))</f>
        <v>#N/A</v>
      </c>
      <c r="F63" t="e">
        <f>IF(INDEX( DATOS3!$1:$19996,A63,MATCH("SeriesDate", DATOS3!$1:$1,0))=0,"",INDEX( DATOS3!$1:$19996,A63,MATCH("SeriesDate", DATOS3!$1:$1,0)))</f>
        <v>#N/A</v>
      </c>
      <c r="G63" t="e">
        <f>IF(INDEX( DATOS3!$1:$19996,A63,MATCH("SeriesTime", DATOS3!$1:$1,0))=0,"",INDEX( DATOS3!$1:$19996,A63,MATCH("SeriesTime", DATOS3!$1:$1,0)))</f>
        <v>#N/A</v>
      </c>
      <c r="H63" t="e">
        <f>IF(INDEX( DATOS3!$1:$19996,A63,MATCH("StudyDescription", DATOS3!$1:$1,0))=0,"",INDEX( DATOS3!$1:$19996,A63,MATCH("StudyDescription", DATOS3!$1:$1,0)))</f>
        <v>#N/A</v>
      </c>
      <c r="I63" t="e">
        <f>IF(INDEX( DATOS3!$1:$19996,A63,MATCH("Dose_Area_Product_Total", DATOS3!$1:$1,0))=0,0,INDEX( DATOS3!$1:$19996,A63,MATCH("Dose_Area_Product", DATOS3!$1:$1,0)))</f>
        <v>#N/A</v>
      </c>
      <c r="J63" t="e">
        <f>IF(INDEX( DATOS3!$1:$19996,A63,MATCH("Dose_RP_Total", DATOS3!$1:$1,0))=0,0,INDEX( DATOS3!$1:$19996,A63,MATCH("Dose_RP", DATOS3!$1:$1,0)))</f>
        <v>#N/A</v>
      </c>
      <c r="K63" t="e">
        <f>IF(INDEX( DATOS3!$1:$19996,A63,MATCH("Total_Fluoro_Time", DATOS3!$1:$1,0))=0,0,INDEX( DATOS3!$1:$19996,A63,MATCH("Total_Fluoro_Time", DATOS3!$1:$1,0)))</f>
        <v>#N/A</v>
      </c>
      <c r="L63" t="e">
        <f>IF(INDEX( DATOS3!$1:$19996,A63,MATCH("Total_Acquisition_Time", DATOS3!$1:$1,0))=0,0,INDEX( DATOS3!$1:$19996,A63,MATCH("Total_Acquisition_Time", DATOS3!$1:$1,0)))</f>
        <v>#N/A</v>
      </c>
    </row>
    <row r="64" spans="1:12" x14ac:dyDescent="0.25">
      <c r="A64">
        <v>64</v>
      </c>
      <c r="B64" t="e">
        <f t="shared" si="0"/>
        <v>#N/A</v>
      </c>
      <c r="C64" t="e">
        <f t="shared" si="1"/>
        <v>#N/A</v>
      </c>
      <c r="D64" t="e">
        <f>IF(INDEX( DATOS3!$1:$19996,A64,MATCH("PatientID", DATOS3!$1:$1,0))=0,"",INDEX( DATOS3!$1:$19996,A64,MATCH("PatientID", DATOS3!$1:$1,0)))</f>
        <v>#N/A</v>
      </c>
      <c r="F64" t="e">
        <f>IF(INDEX( DATOS3!$1:$19996,A64,MATCH("SeriesDate", DATOS3!$1:$1,0))=0,"",INDEX( DATOS3!$1:$19996,A64,MATCH("SeriesDate", DATOS3!$1:$1,0)))</f>
        <v>#N/A</v>
      </c>
      <c r="G64" t="e">
        <f>IF(INDEX( DATOS3!$1:$19996,A64,MATCH("SeriesTime", DATOS3!$1:$1,0))=0,"",INDEX( DATOS3!$1:$19996,A64,MATCH("SeriesTime", DATOS3!$1:$1,0)))</f>
        <v>#N/A</v>
      </c>
      <c r="H64" t="e">
        <f>IF(INDEX( DATOS3!$1:$19996,A64,MATCH("StudyDescription", DATOS3!$1:$1,0))=0,"",INDEX( DATOS3!$1:$19996,A64,MATCH("StudyDescription", DATOS3!$1:$1,0)))</f>
        <v>#N/A</v>
      </c>
      <c r="I64" t="e">
        <f>IF(INDEX( DATOS3!$1:$19996,A64,MATCH("Dose_Area_Product_Total", DATOS3!$1:$1,0))=0,0,INDEX( DATOS3!$1:$19996,A64,MATCH("Dose_Area_Product", DATOS3!$1:$1,0)))</f>
        <v>#N/A</v>
      </c>
      <c r="J64" t="e">
        <f>IF(INDEX( DATOS3!$1:$19996,A64,MATCH("Dose_RP_Total", DATOS3!$1:$1,0))=0,0,INDEX( DATOS3!$1:$19996,A64,MATCH("Dose_RP", DATOS3!$1:$1,0)))</f>
        <v>#N/A</v>
      </c>
      <c r="K64" t="e">
        <f>IF(INDEX( DATOS3!$1:$19996,A64,MATCH("Total_Fluoro_Time", DATOS3!$1:$1,0))=0,0,INDEX( DATOS3!$1:$19996,A64,MATCH("Total_Fluoro_Time", DATOS3!$1:$1,0)))</f>
        <v>#N/A</v>
      </c>
      <c r="L64" t="e">
        <f>IF(INDEX( DATOS3!$1:$19996,A64,MATCH("Total_Acquisition_Time", DATOS3!$1:$1,0))=0,0,INDEX( DATOS3!$1:$19996,A64,MATCH("Total_Acquisition_Time", DATOS3!$1:$1,0)))</f>
        <v>#N/A</v>
      </c>
    </row>
    <row r="65" spans="1:12" x14ac:dyDescent="0.25">
      <c r="A65">
        <v>65</v>
      </c>
      <c r="B65" t="e">
        <f t="shared" si="0"/>
        <v>#N/A</v>
      </c>
      <c r="C65" t="e">
        <f t="shared" si="1"/>
        <v>#N/A</v>
      </c>
      <c r="D65" t="e">
        <f>IF(INDEX( DATOS3!$1:$19996,A65,MATCH("PatientID", DATOS3!$1:$1,0))=0,"",INDEX( DATOS3!$1:$19996,A65,MATCH("PatientID", DATOS3!$1:$1,0)))</f>
        <v>#N/A</v>
      </c>
      <c r="F65" t="e">
        <f>IF(INDEX( DATOS3!$1:$19996,A65,MATCH("SeriesDate", DATOS3!$1:$1,0))=0,"",INDEX( DATOS3!$1:$19996,A65,MATCH("SeriesDate", DATOS3!$1:$1,0)))</f>
        <v>#N/A</v>
      </c>
      <c r="G65" t="e">
        <f>IF(INDEX( DATOS3!$1:$19996,A65,MATCH("SeriesTime", DATOS3!$1:$1,0))=0,"",INDEX( DATOS3!$1:$19996,A65,MATCH("SeriesTime", DATOS3!$1:$1,0)))</f>
        <v>#N/A</v>
      </c>
      <c r="H65" t="e">
        <f>IF(INDEX( DATOS3!$1:$19996,A65,MATCH("StudyDescription", DATOS3!$1:$1,0))=0,"",INDEX( DATOS3!$1:$19996,A65,MATCH("StudyDescription", DATOS3!$1:$1,0)))</f>
        <v>#N/A</v>
      </c>
      <c r="I65" t="e">
        <f>IF(INDEX( DATOS3!$1:$19996,A65,MATCH("Dose_Area_Product_Total", DATOS3!$1:$1,0))=0,0,INDEX( DATOS3!$1:$19996,A65,MATCH("Dose_Area_Product", DATOS3!$1:$1,0)))</f>
        <v>#N/A</v>
      </c>
      <c r="J65" t="e">
        <f>IF(INDEX( DATOS3!$1:$19996,A65,MATCH("Dose_RP_Total", DATOS3!$1:$1,0))=0,0,INDEX( DATOS3!$1:$19996,A65,MATCH("Dose_RP", DATOS3!$1:$1,0)))</f>
        <v>#N/A</v>
      </c>
      <c r="K65" t="e">
        <f>IF(INDEX( DATOS3!$1:$19996,A65,MATCH("Total_Fluoro_Time", DATOS3!$1:$1,0))=0,0,INDEX( DATOS3!$1:$19996,A65,MATCH("Total_Fluoro_Time", DATOS3!$1:$1,0)))</f>
        <v>#N/A</v>
      </c>
      <c r="L65" t="e">
        <f>IF(INDEX( DATOS3!$1:$19996,A65,MATCH("Total_Acquisition_Time", DATOS3!$1:$1,0))=0,0,INDEX( DATOS3!$1:$19996,A65,MATCH("Total_Acquisition_Time", DATOS3!$1:$1,0)))</f>
        <v>#N/A</v>
      </c>
    </row>
    <row r="66" spans="1:12" x14ac:dyDescent="0.25">
      <c r="A66">
        <v>66</v>
      </c>
      <c r="B66" t="e">
        <f t="shared" si="0"/>
        <v>#N/A</v>
      </c>
      <c r="C66" t="e">
        <f t="shared" si="1"/>
        <v>#N/A</v>
      </c>
      <c r="D66" t="e">
        <f>IF(INDEX( DATOS3!$1:$19996,A66,MATCH("PatientID", DATOS3!$1:$1,0))=0,"",INDEX( DATOS3!$1:$19996,A66,MATCH("PatientID", DATOS3!$1:$1,0)))</f>
        <v>#N/A</v>
      </c>
      <c r="F66" t="e">
        <f>IF(INDEX( DATOS3!$1:$19996,A66,MATCH("SeriesDate", DATOS3!$1:$1,0))=0,"",INDEX( DATOS3!$1:$19996,A66,MATCH("SeriesDate", DATOS3!$1:$1,0)))</f>
        <v>#N/A</v>
      </c>
      <c r="G66" t="e">
        <f>IF(INDEX( DATOS3!$1:$19996,A66,MATCH("SeriesTime", DATOS3!$1:$1,0))=0,"",INDEX( DATOS3!$1:$19996,A66,MATCH("SeriesTime", DATOS3!$1:$1,0)))</f>
        <v>#N/A</v>
      </c>
      <c r="H66" t="e">
        <f>IF(INDEX( DATOS3!$1:$19996,A66,MATCH("StudyDescription", DATOS3!$1:$1,0))=0,"",INDEX( DATOS3!$1:$19996,A66,MATCH("StudyDescription", DATOS3!$1:$1,0)))</f>
        <v>#N/A</v>
      </c>
      <c r="I66" t="e">
        <f>IF(INDEX( DATOS3!$1:$19996,A66,MATCH("Dose_Area_Product_Total", DATOS3!$1:$1,0))=0,0,INDEX( DATOS3!$1:$19996,A66,MATCH("Dose_Area_Product", DATOS3!$1:$1,0)))</f>
        <v>#N/A</v>
      </c>
      <c r="J66" t="e">
        <f>IF(INDEX( DATOS3!$1:$19996,A66,MATCH("Dose_RP_Total", DATOS3!$1:$1,0))=0,0,INDEX( DATOS3!$1:$19996,A66,MATCH("Dose_RP", DATOS3!$1:$1,0)))</f>
        <v>#N/A</v>
      </c>
      <c r="K66" t="e">
        <f>IF(INDEX( DATOS3!$1:$19996,A66,MATCH("Total_Fluoro_Time", DATOS3!$1:$1,0))=0,0,INDEX( DATOS3!$1:$19996,A66,MATCH("Total_Fluoro_Time", DATOS3!$1:$1,0)))</f>
        <v>#N/A</v>
      </c>
      <c r="L66" t="e">
        <f>IF(INDEX( DATOS3!$1:$19996,A66,MATCH("Total_Acquisition_Time", DATOS3!$1:$1,0))=0,0,INDEX( DATOS3!$1:$19996,A66,MATCH("Total_Acquisition_Time", DATOS3!$1:$1,0)))</f>
        <v>#N/A</v>
      </c>
    </row>
    <row r="67" spans="1:12" x14ac:dyDescent="0.25">
      <c r="A67">
        <v>67</v>
      </c>
      <c r="B67" t="e">
        <f t="shared" ref="B67:B130" si="2">IF(D67="","","ARTISZEE")</f>
        <v>#N/A</v>
      </c>
      <c r="C67" t="e">
        <f t="shared" ref="C67:C130" si="3">IF(B67="ARTISZEE","Cardiología","")</f>
        <v>#N/A</v>
      </c>
      <c r="D67" t="e">
        <f>IF(INDEX( DATOS3!$1:$19996,A67,MATCH("PatientID", DATOS3!$1:$1,0))=0,"",INDEX( DATOS3!$1:$19996,A67,MATCH("PatientID", DATOS3!$1:$1,0)))</f>
        <v>#N/A</v>
      </c>
      <c r="F67" t="e">
        <f>IF(INDEX( DATOS3!$1:$19996,A67,MATCH("SeriesDate", DATOS3!$1:$1,0))=0,"",INDEX( DATOS3!$1:$19996,A67,MATCH("SeriesDate", DATOS3!$1:$1,0)))</f>
        <v>#N/A</v>
      </c>
      <c r="G67" t="e">
        <f>IF(INDEX( DATOS3!$1:$19996,A67,MATCH("SeriesTime", DATOS3!$1:$1,0))=0,"",INDEX( DATOS3!$1:$19996,A67,MATCH("SeriesTime", DATOS3!$1:$1,0)))</f>
        <v>#N/A</v>
      </c>
      <c r="H67" t="e">
        <f>IF(INDEX( DATOS3!$1:$19996,A67,MATCH("StudyDescription", DATOS3!$1:$1,0))=0,"",INDEX( DATOS3!$1:$19996,A67,MATCH("StudyDescription", DATOS3!$1:$1,0)))</f>
        <v>#N/A</v>
      </c>
      <c r="I67" t="e">
        <f>IF(INDEX( DATOS3!$1:$19996,A67,MATCH("Dose_Area_Product_Total", DATOS3!$1:$1,0))=0,0,INDEX( DATOS3!$1:$19996,A67,MATCH("Dose_Area_Product", DATOS3!$1:$1,0)))</f>
        <v>#N/A</v>
      </c>
      <c r="J67" t="e">
        <f>IF(INDEX( DATOS3!$1:$19996,A67,MATCH("Dose_RP_Total", DATOS3!$1:$1,0))=0,0,INDEX( DATOS3!$1:$19996,A67,MATCH("Dose_RP", DATOS3!$1:$1,0)))</f>
        <v>#N/A</v>
      </c>
      <c r="K67" t="e">
        <f>IF(INDEX( DATOS3!$1:$19996,A67,MATCH("Total_Fluoro_Time", DATOS3!$1:$1,0))=0,0,INDEX( DATOS3!$1:$19996,A67,MATCH("Total_Fluoro_Time", DATOS3!$1:$1,0)))</f>
        <v>#N/A</v>
      </c>
      <c r="L67" t="e">
        <f>IF(INDEX( DATOS3!$1:$19996,A67,MATCH("Total_Acquisition_Time", DATOS3!$1:$1,0))=0,0,INDEX( DATOS3!$1:$19996,A67,MATCH("Total_Acquisition_Time", DATOS3!$1:$1,0)))</f>
        <v>#N/A</v>
      </c>
    </row>
    <row r="68" spans="1:12" x14ac:dyDescent="0.25">
      <c r="A68">
        <v>68</v>
      </c>
      <c r="B68" t="e">
        <f t="shared" si="2"/>
        <v>#N/A</v>
      </c>
      <c r="C68" t="e">
        <f t="shared" si="3"/>
        <v>#N/A</v>
      </c>
      <c r="D68" t="e">
        <f>IF(INDEX( DATOS3!$1:$19996,A68,MATCH("PatientID", DATOS3!$1:$1,0))=0,"",INDEX( DATOS3!$1:$19996,A68,MATCH("PatientID", DATOS3!$1:$1,0)))</f>
        <v>#N/A</v>
      </c>
      <c r="F68" t="e">
        <f>IF(INDEX( DATOS3!$1:$19996,A68,MATCH("SeriesDate", DATOS3!$1:$1,0))=0,"",INDEX( DATOS3!$1:$19996,A68,MATCH("SeriesDate", DATOS3!$1:$1,0)))</f>
        <v>#N/A</v>
      </c>
      <c r="G68" t="e">
        <f>IF(INDEX( DATOS3!$1:$19996,A68,MATCH("SeriesTime", DATOS3!$1:$1,0))=0,"",INDEX( DATOS3!$1:$19996,A68,MATCH("SeriesTime", DATOS3!$1:$1,0)))</f>
        <v>#N/A</v>
      </c>
      <c r="H68" t="e">
        <f>IF(INDEX( DATOS3!$1:$19996,A68,MATCH("StudyDescription", DATOS3!$1:$1,0))=0,"",INDEX( DATOS3!$1:$19996,A68,MATCH("StudyDescription", DATOS3!$1:$1,0)))</f>
        <v>#N/A</v>
      </c>
      <c r="I68" t="e">
        <f>IF(INDEX( DATOS3!$1:$19996,A68,MATCH("Dose_Area_Product_Total", DATOS3!$1:$1,0))=0,0,INDEX( DATOS3!$1:$19996,A68,MATCH("Dose_Area_Product", DATOS3!$1:$1,0)))</f>
        <v>#N/A</v>
      </c>
      <c r="J68" t="e">
        <f>IF(INDEX( DATOS3!$1:$19996,A68,MATCH("Dose_RP_Total", DATOS3!$1:$1,0))=0,0,INDEX( DATOS3!$1:$19996,A68,MATCH("Dose_RP", DATOS3!$1:$1,0)))</f>
        <v>#N/A</v>
      </c>
      <c r="K68" t="e">
        <f>IF(INDEX( DATOS3!$1:$19996,A68,MATCH("Total_Fluoro_Time", DATOS3!$1:$1,0))=0,0,INDEX( DATOS3!$1:$19996,A68,MATCH("Total_Fluoro_Time", DATOS3!$1:$1,0)))</f>
        <v>#N/A</v>
      </c>
      <c r="L68" t="e">
        <f>IF(INDEX( DATOS3!$1:$19996,A68,MATCH("Total_Acquisition_Time", DATOS3!$1:$1,0))=0,0,INDEX( DATOS3!$1:$19996,A68,MATCH("Total_Acquisition_Time", DATOS3!$1:$1,0)))</f>
        <v>#N/A</v>
      </c>
    </row>
    <row r="69" spans="1:12" x14ac:dyDescent="0.25">
      <c r="A69">
        <v>69</v>
      </c>
      <c r="B69" t="e">
        <f t="shared" si="2"/>
        <v>#N/A</v>
      </c>
      <c r="C69" t="e">
        <f t="shared" si="3"/>
        <v>#N/A</v>
      </c>
      <c r="D69" t="e">
        <f>IF(INDEX( DATOS3!$1:$19996,A69,MATCH("PatientID", DATOS3!$1:$1,0))=0,"",INDEX( DATOS3!$1:$19996,A69,MATCH("PatientID", DATOS3!$1:$1,0)))</f>
        <v>#N/A</v>
      </c>
      <c r="F69" t="e">
        <f>IF(INDEX( DATOS3!$1:$19996,A69,MATCH("SeriesDate", DATOS3!$1:$1,0))=0,"",INDEX( DATOS3!$1:$19996,A69,MATCH("SeriesDate", DATOS3!$1:$1,0)))</f>
        <v>#N/A</v>
      </c>
      <c r="G69" t="e">
        <f>IF(INDEX( DATOS3!$1:$19996,A69,MATCH("SeriesTime", DATOS3!$1:$1,0))=0,"",INDEX( DATOS3!$1:$19996,A69,MATCH("SeriesTime", DATOS3!$1:$1,0)))</f>
        <v>#N/A</v>
      </c>
      <c r="H69" t="e">
        <f>IF(INDEX( DATOS3!$1:$19996,A69,MATCH("StudyDescription", DATOS3!$1:$1,0))=0,"",INDEX( DATOS3!$1:$19996,A69,MATCH("StudyDescription", DATOS3!$1:$1,0)))</f>
        <v>#N/A</v>
      </c>
      <c r="I69" t="e">
        <f>IF(INDEX( DATOS3!$1:$19996,A69,MATCH("Dose_Area_Product_Total", DATOS3!$1:$1,0))=0,0,INDEX( DATOS3!$1:$19996,A69,MATCH("Dose_Area_Product", DATOS3!$1:$1,0)))</f>
        <v>#N/A</v>
      </c>
      <c r="J69" t="e">
        <f>IF(INDEX( DATOS3!$1:$19996,A69,MATCH("Dose_RP_Total", DATOS3!$1:$1,0))=0,0,INDEX( DATOS3!$1:$19996,A69,MATCH("Dose_RP", DATOS3!$1:$1,0)))</f>
        <v>#N/A</v>
      </c>
      <c r="K69" t="e">
        <f>IF(INDEX( DATOS3!$1:$19996,A69,MATCH("Total_Fluoro_Time", DATOS3!$1:$1,0))=0,0,INDEX( DATOS3!$1:$19996,A69,MATCH("Total_Fluoro_Time", DATOS3!$1:$1,0)))</f>
        <v>#N/A</v>
      </c>
      <c r="L69" t="e">
        <f>IF(INDEX( DATOS3!$1:$19996,A69,MATCH("Total_Acquisition_Time", DATOS3!$1:$1,0))=0,0,INDEX( DATOS3!$1:$19996,A69,MATCH("Total_Acquisition_Time", DATOS3!$1:$1,0)))</f>
        <v>#N/A</v>
      </c>
    </row>
    <row r="70" spans="1:12" x14ac:dyDescent="0.25">
      <c r="A70">
        <v>70</v>
      </c>
      <c r="B70" t="e">
        <f t="shared" si="2"/>
        <v>#N/A</v>
      </c>
      <c r="C70" t="e">
        <f t="shared" si="3"/>
        <v>#N/A</v>
      </c>
      <c r="D70" t="e">
        <f>IF(INDEX( DATOS3!$1:$19996,A70,MATCH("PatientID", DATOS3!$1:$1,0))=0,"",INDEX( DATOS3!$1:$19996,A70,MATCH("PatientID", DATOS3!$1:$1,0)))</f>
        <v>#N/A</v>
      </c>
      <c r="F70" t="e">
        <f>IF(INDEX( DATOS3!$1:$19996,A70,MATCH("SeriesDate", DATOS3!$1:$1,0))=0,"",INDEX( DATOS3!$1:$19996,A70,MATCH("SeriesDate", DATOS3!$1:$1,0)))</f>
        <v>#N/A</v>
      </c>
      <c r="G70" t="e">
        <f>IF(INDEX( DATOS3!$1:$19996,A70,MATCH("SeriesTime", DATOS3!$1:$1,0))=0,"",INDEX( DATOS3!$1:$19996,A70,MATCH("SeriesTime", DATOS3!$1:$1,0)))</f>
        <v>#N/A</v>
      </c>
      <c r="H70" t="e">
        <f>IF(INDEX( DATOS3!$1:$19996,A70,MATCH("StudyDescription", DATOS3!$1:$1,0))=0,"",INDEX( DATOS3!$1:$19996,A70,MATCH("StudyDescription", DATOS3!$1:$1,0)))</f>
        <v>#N/A</v>
      </c>
      <c r="I70" t="e">
        <f>IF(INDEX( DATOS3!$1:$19996,A70,MATCH("Dose_Area_Product_Total", DATOS3!$1:$1,0))=0,0,INDEX( DATOS3!$1:$19996,A70,MATCH("Dose_Area_Product", DATOS3!$1:$1,0)))</f>
        <v>#N/A</v>
      </c>
      <c r="J70" t="e">
        <f>IF(INDEX( DATOS3!$1:$19996,A70,MATCH("Dose_RP_Total", DATOS3!$1:$1,0))=0,0,INDEX( DATOS3!$1:$19996,A70,MATCH("Dose_RP", DATOS3!$1:$1,0)))</f>
        <v>#N/A</v>
      </c>
      <c r="K70" t="e">
        <f>IF(INDEX( DATOS3!$1:$19996,A70,MATCH("Total_Fluoro_Time", DATOS3!$1:$1,0))=0,0,INDEX( DATOS3!$1:$19996,A70,MATCH("Total_Fluoro_Time", DATOS3!$1:$1,0)))</f>
        <v>#N/A</v>
      </c>
      <c r="L70" t="e">
        <f>IF(INDEX( DATOS3!$1:$19996,A70,MATCH("Total_Acquisition_Time", DATOS3!$1:$1,0))=0,0,INDEX( DATOS3!$1:$19996,A70,MATCH("Total_Acquisition_Time", DATOS3!$1:$1,0)))</f>
        <v>#N/A</v>
      </c>
    </row>
    <row r="71" spans="1:12" x14ac:dyDescent="0.25">
      <c r="A71">
        <v>71</v>
      </c>
      <c r="B71" t="e">
        <f t="shared" si="2"/>
        <v>#N/A</v>
      </c>
      <c r="C71" t="e">
        <f t="shared" si="3"/>
        <v>#N/A</v>
      </c>
      <c r="D71" t="e">
        <f>IF(INDEX( DATOS3!$1:$19996,A71,MATCH("PatientID", DATOS3!$1:$1,0))=0,"",INDEX( DATOS3!$1:$19996,A71,MATCH("PatientID", DATOS3!$1:$1,0)))</f>
        <v>#N/A</v>
      </c>
      <c r="F71" t="e">
        <f>IF(INDEX( DATOS3!$1:$19996,A71,MATCH("SeriesDate", DATOS3!$1:$1,0))=0,"",INDEX( DATOS3!$1:$19996,A71,MATCH("SeriesDate", DATOS3!$1:$1,0)))</f>
        <v>#N/A</v>
      </c>
      <c r="G71" t="e">
        <f>IF(INDEX( DATOS3!$1:$19996,A71,MATCH("SeriesTime", DATOS3!$1:$1,0))=0,"",INDEX( DATOS3!$1:$19996,A71,MATCH("SeriesTime", DATOS3!$1:$1,0)))</f>
        <v>#N/A</v>
      </c>
      <c r="H71" t="e">
        <f>IF(INDEX( DATOS3!$1:$19996,A71,MATCH("StudyDescription", DATOS3!$1:$1,0))=0,"",INDEX( DATOS3!$1:$19996,A71,MATCH("StudyDescription", DATOS3!$1:$1,0)))</f>
        <v>#N/A</v>
      </c>
      <c r="I71" t="e">
        <f>IF(INDEX( DATOS3!$1:$19996,A71,MATCH("Dose_Area_Product_Total", DATOS3!$1:$1,0))=0,0,INDEX( DATOS3!$1:$19996,A71,MATCH("Dose_Area_Product", DATOS3!$1:$1,0)))</f>
        <v>#N/A</v>
      </c>
      <c r="J71" t="e">
        <f>IF(INDEX( DATOS3!$1:$19996,A71,MATCH("Dose_RP_Total", DATOS3!$1:$1,0))=0,0,INDEX( DATOS3!$1:$19996,A71,MATCH("Dose_RP", DATOS3!$1:$1,0)))</f>
        <v>#N/A</v>
      </c>
      <c r="K71" t="e">
        <f>IF(INDEX( DATOS3!$1:$19996,A71,MATCH("Total_Fluoro_Time", DATOS3!$1:$1,0))=0,0,INDEX( DATOS3!$1:$19996,A71,MATCH("Total_Fluoro_Time", DATOS3!$1:$1,0)))</f>
        <v>#N/A</v>
      </c>
      <c r="L71" t="e">
        <f>IF(INDEX( DATOS3!$1:$19996,A71,MATCH("Total_Acquisition_Time", DATOS3!$1:$1,0))=0,0,INDEX( DATOS3!$1:$19996,A71,MATCH("Total_Acquisition_Time", DATOS3!$1:$1,0)))</f>
        <v>#N/A</v>
      </c>
    </row>
    <row r="72" spans="1:12" x14ac:dyDescent="0.25">
      <c r="A72">
        <v>72</v>
      </c>
      <c r="B72" t="e">
        <f t="shared" si="2"/>
        <v>#N/A</v>
      </c>
      <c r="C72" t="e">
        <f t="shared" si="3"/>
        <v>#N/A</v>
      </c>
      <c r="D72" t="e">
        <f>IF(INDEX( DATOS3!$1:$19996,A72,MATCH("PatientID", DATOS3!$1:$1,0))=0,"",INDEX( DATOS3!$1:$19996,A72,MATCH("PatientID", DATOS3!$1:$1,0)))</f>
        <v>#N/A</v>
      </c>
      <c r="F72" t="e">
        <f>IF(INDEX( DATOS3!$1:$19996,A72,MATCH("SeriesDate", DATOS3!$1:$1,0))=0,"",INDEX( DATOS3!$1:$19996,A72,MATCH("SeriesDate", DATOS3!$1:$1,0)))</f>
        <v>#N/A</v>
      </c>
      <c r="G72" t="e">
        <f>IF(INDEX( DATOS3!$1:$19996,A72,MATCH("SeriesTime", DATOS3!$1:$1,0))=0,"",INDEX( DATOS3!$1:$19996,A72,MATCH("SeriesTime", DATOS3!$1:$1,0)))</f>
        <v>#N/A</v>
      </c>
      <c r="H72" t="e">
        <f>IF(INDEX( DATOS3!$1:$19996,A72,MATCH("StudyDescription", DATOS3!$1:$1,0))=0,"",INDEX( DATOS3!$1:$19996,A72,MATCH("StudyDescription", DATOS3!$1:$1,0)))</f>
        <v>#N/A</v>
      </c>
      <c r="I72" t="e">
        <f>IF(INDEX( DATOS3!$1:$19996,A72,MATCH("Dose_Area_Product_Total", DATOS3!$1:$1,0))=0,0,INDEX( DATOS3!$1:$19996,A72,MATCH("Dose_Area_Product", DATOS3!$1:$1,0)))</f>
        <v>#N/A</v>
      </c>
      <c r="J72" t="e">
        <f>IF(INDEX( DATOS3!$1:$19996,A72,MATCH("Dose_RP_Total", DATOS3!$1:$1,0))=0,0,INDEX( DATOS3!$1:$19996,A72,MATCH("Dose_RP", DATOS3!$1:$1,0)))</f>
        <v>#N/A</v>
      </c>
      <c r="K72" t="e">
        <f>IF(INDEX( DATOS3!$1:$19996,A72,MATCH("Total_Fluoro_Time", DATOS3!$1:$1,0))=0,0,INDEX( DATOS3!$1:$19996,A72,MATCH("Total_Fluoro_Time", DATOS3!$1:$1,0)))</f>
        <v>#N/A</v>
      </c>
      <c r="L72" t="e">
        <f>IF(INDEX( DATOS3!$1:$19996,A72,MATCH("Total_Acquisition_Time", DATOS3!$1:$1,0))=0,0,INDEX( DATOS3!$1:$19996,A72,MATCH("Total_Acquisition_Time", DATOS3!$1:$1,0)))</f>
        <v>#N/A</v>
      </c>
    </row>
    <row r="73" spans="1:12" x14ac:dyDescent="0.25">
      <c r="A73">
        <v>73</v>
      </c>
      <c r="B73" t="e">
        <f t="shared" si="2"/>
        <v>#N/A</v>
      </c>
      <c r="C73" t="e">
        <f t="shared" si="3"/>
        <v>#N/A</v>
      </c>
      <c r="D73" t="e">
        <f>IF(INDEX( DATOS3!$1:$19996,A73,MATCH("PatientID", DATOS3!$1:$1,0))=0,"",INDEX( DATOS3!$1:$19996,A73,MATCH("PatientID", DATOS3!$1:$1,0)))</f>
        <v>#N/A</v>
      </c>
      <c r="F73" t="e">
        <f>IF(INDEX( DATOS3!$1:$19996,A73,MATCH("SeriesDate", DATOS3!$1:$1,0))=0,"",INDEX( DATOS3!$1:$19996,A73,MATCH("SeriesDate", DATOS3!$1:$1,0)))</f>
        <v>#N/A</v>
      </c>
      <c r="G73" t="e">
        <f>IF(INDEX( DATOS3!$1:$19996,A73,MATCH("SeriesTime", DATOS3!$1:$1,0))=0,"",INDEX( DATOS3!$1:$19996,A73,MATCH("SeriesTime", DATOS3!$1:$1,0)))</f>
        <v>#N/A</v>
      </c>
      <c r="H73" t="e">
        <f>IF(INDEX( DATOS3!$1:$19996,A73,MATCH("StudyDescription", DATOS3!$1:$1,0))=0,"",INDEX( DATOS3!$1:$19996,A73,MATCH("StudyDescription", DATOS3!$1:$1,0)))</f>
        <v>#N/A</v>
      </c>
      <c r="I73" t="e">
        <f>IF(INDEX( DATOS3!$1:$19996,A73,MATCH("Dose_Area_Product_Total", DATOS3!$1:$1,0))=0,0,INDEX( DATOS3!$1:$19996,A73,MATCH("Dose_Area_Product", DATOS3!$1:$1,0)))</f>
        <v>#N/A</v>
      </c>
      <c r="J73" t="e">
        <f>IF(INDEX( DATOS3!$1:$19996,A73,MATCH("Dose_RP_Total", DATOS3!$1:$1,0))=0,0,INDEX( DATOS3!$1:$19996,A73,MATCH("Dose_RP", DATOS3!$1:$1,0)))</f>
        <v>#N/A</v>
      </c>
      <c r="K73" t="e">
        <f>IF(INDEX( DATOS3!$1:$19996,A73,MATCH("Total_Fluoro_Time", DATOS3!$1:$1,0))=0,0,INDEX( DATOS3!$1:$19996,A73,MATCH("Total_Fluoro_Time", DATOS3!$1:$1,0)))</f>
        <v>#N/A</v>
      </c>
      <c r="L73" t="e">
        <f>IF(INDEX( DATOS3!$1:$19996,A73,MATCH("Total_Acquisition_Time", DATOS3!$1:$1,0))=0,0,INDEX( DATOS3!$1:$19996,A73,MATCH("Total_Acquisition_Time", DATOS3!$1:$1,0)))</f>
        <v>#N/A</v>
      </c>
    </row>
    <row r="74" spans="1:12" x14ac:dyDescent="0.25">
      <c r="A74">
        <v>74</v>
      </c>
      <c r="B74" t="e">
        <f t="shared" si="2"/>
        <v>#N/A</v>
      </c>
      <c r="C74" t="e">
        <f t="shared" si="3"/>
        <v>#N/A</v>
      </c>
      <c r="D74" t="e">
        <f>IF(INDEX( DATOS3!$1:$19996,A74,MATCH("PatientID", DATOS3!$1:$1,0))=0,"",INDEX( DATOS3!$1:$19996,A74,MATCH("PatientID", DATOS3!$1:$1,0)))</f>
        <v>#N/A</v>
      </c>
      <c r="F74" t="e">
        <f>IF(INDEX( DATOS3!$1:$19996,A74,MATCH("SeriesDate", DATOS3!$1:$1,0))=0,"",INDEX( DATOS3!$1:$19996,A74,MATCH("SeriesDate", DATOS3!$1:$1,0)))</f>
        <v>#N/A</v>
      </c>
      <c r="G74" t="e">
        <f>IF(INDEX( DATOS3!$1:$19996,A74,MATCH("SeriesTime", DATOS3!$1:$1,0))=0,"",INDEX( DATOS3!$1:$19996,A74,MATCH("SeriesTime", DATOS3!$1:$1,0)))</f>
        <v>#N/A</v>
      </c>
      <c r="H74" t="e">
        <f>IF(INDEX( DATOS3!$1:$19996,A74,MATCH("StudyDescription", DATOS3!$1:$1,0))=0,"",INDEX( DATOS3!$1:$19996,A74,MATCH("StudyDescription", DATOS3!$1:$1,0)))</f>
        <v>#N/A</v>
      </c>
      <c r="I74" t="e">
        <f>IF(INDEX( DATOS3!$1:$19996,A74,MATCH("Dose_Area_Product_Total", DATOS3!$1:$1,0))=0,0,INDEX( DATOS3!$1:$19996,A74,MATCH("Dose_Area_Product", DATOS3!$1:$1,0)))</f>
        <v>#N/A</v>
      </c>
      <c r="J74" t="e">
        <f>IF(INDEX( DATOS3!$1:$19996,A74,MATCH("Dose_RP_Total", DATOS3!$1:$1,0))=0,0,INDEX( DATOS3!$1:$19996,A74,MATCH("Dose_RP", DATOS3!$1:$1,0)))</f>
        <v>#N/A</v>
      </c>
      <c r="K74" t="e">
        <f>IF(INDEX( DATOS3!$1:$19996,A74,MATCH("Total_Fluoro_Time", DATOS3!$1:$1,0))=0,0,INDEX( DATOS3!$1:$19996,A74,MATCH("Total_Fluoro_Time", DATOS3!$1:$1,0)))</f>
        <v>#N/A</v>
      </c>
      <c r="L74" t="e">
        <f>IF(INDEX( DATOS3!$1:$19996,A74,MATCH("Total_Acquisition_Time", DATOS3!$1:$1,0))=0,0,INDEX( DATOS3!$1:$19996,A74,MATCH("Total_Acquisition_Time", DATOS3!$1:$1,0)))</f>
        <v>#N/A</v>
      </c>
    </row>
    <row r="75" spans="1:12" x14ac:dyDescent="0.25">
      <c r="A75">
        <v>75</v>
      </c>
      <c r="B75" t="e">
        <f t="shared" si="2"/>
        <v>#N/A</v>
      </c>
      <c r="C75" t="e">
        <f t="shared" si="3"/>
        <v>#N/A</v>
      </c>
      <c r="D75" t="e">
        <f>IF(INDEX( DATOS3!$1:$19996,A75,MATCH("PatientID", DATOS3!$1:$1,0))=0,"",INDEX( DATOS3!$1:$19996,A75,MATCH("PatientID", DATOS3!$1:$1,0)))</f>
        <v>#N/A</v>
      </c>
      <c r="F75" t="e">
        <f>IF(INDEX( DATOS3!$1:$19996,A75,MATCH("SeriesDate", DATOS3!$1:$1,0))=0,"",INDEX( DATOS3!$1:$19996,A75,MATCH("SeriesDate", DATOS3!$1:$1,0)))</f>
        <v>#N/A</v>
      </c>
      <c r="G75" t="e">
        <f>IF(INDEX( DATOS3!$1:$19996,A75,MATCH("SeriesTime", DATOS3!$1:$1,0))=0,"",INDEX( DATOS3!$1:$19996,A75,MATCH("SeriesTime", DATOS3!$1:$1,0)))</f>
        <v>#N/A</v>
      </c>
      <c r="H75" t="e">
        <f>IF(INDEX( DATOS3!$1:$19996,A75,MATCH("StudyDescription", DATOS3!$1:$1,0))=0,"",INDEX( DATOS3!$1:$19996,A75,MATCH("StudyDescription", DATOS3!$1:$1,0)))</f>
        <v>#N/A</v>
      </c>
      <c r="I75" t="e">
        <f>IF(INDEX( DATOS3!$1:$19996,A75,MATCH("Dose_Area_Product_Total", DATOS3!$1:$1,0))=0,0,INDEX( DATOS3!$1:$19996,A75,MATCH("Dose_Area_Product", DATOS3!$1:$1,0)))</f>
        <v>#N/A</v>
      </c>
      <c r="J75" t="e">
        <f>IF(INDEX( DATOS3!$1:$19996,A75,MATCH("Dose_RP_Total", DATOS3!$1:$1,0))=0,0,INDEX( DATOS3!$1:$19996,A75,MATCH("Dose_RP", DATOS3!$1:$1,0)))</f>
        <v>#N/A</v>
      </c>
      <c r="K75" t="e">
        <f>IF(INDEX( DATOS3!$1:$19996,A75,MATCH("Total_Fluoro_Time", DATOS3!$1:$1,0))=0,0,INDEX( DATOS3!$1:$19996,A75,MATCH("Total_Fluoro_Time", DATOS3!$1:$1,0)))</f>
        <v>#N/A</v>
      </c>
      <c r="L75" t="e">
        <f>IF(INDEX( DATOS3!$1:$19996,A75,MATCH("Total_Acquisition_Time", DATOS3!$1:$1,0))=0,0,INDEX( DATOS3!$1:$19996,A75,MATCH("Total_Acquisition_Time", DATOS3!$1:$1,0)))</f>
        <v>#N/A</v>
      </c>
    </row>
    <row r="76" spans="1:12" x14ac:dyDescent="0.25">
      <c r="A76">
        <v>76</v>
      </c>
      <c r="B76" t="e">
        <f t="shared" si="2"/>
        <v>#N/A</v>
      </c>
      <c r="C76" t="e">
        <f t="shared" si="3"/>
        <v>#N/A</v>
      </c>
      <c r="D76" t="e">
        <f>IF(INDEX( DATOS3!$1:$19996,A76,MATCH("PatientID", DATOS3!$1:$1,0))=0,"",INDEX( DATOS3!$1:$19996,A76,MATCH("PatientID", DATOS3!$1:$1,0)))</f>
        <v>#N/A</v>
      </c>
      <c r="F76" t="e">
        <f>IF(INDEX( DATOS3!$1:$19996,A76,MATCH("SeriesDate", DATOS3!$1:$1,0))=0,"",INDEX( DATOS3!$1:$19996,A76,MATCH("SeriesDate", DATOS3!$1:$1,0)))</f>
        <v>#N/A</v>
      </c>
      <c r="G76" t="e">
        <f>IF(INDEX( DATOS3!$1:$19996,A76,MATCH("SeriesTime", DATOS3!$1:$1,0))=0,"",INDEX( DATOS3!$1:$19996,A76,MATCH("SeriesTime", DATOS3!$1:$1,0)))</f>
        <v>#N/A</v>
      </c>
      <c r="H76" t="e">
        <f>IF(INDEX( DATOS3!$1:$19996,A76,MATCH("StudyDescription", DATOS3!$1:$1,0))=0,"",INDEX( DATOS3!$1:$19996,A76,MATCH("StudyDescription", DATOS3!$1:$1,0)))</f>
        <v>#N/A</v>
      </c>
      <c r="I76" t="e">
        <f>IF(INDEX( DATOS3!$1:$19996,A76,MATCH("Dose_Area_Product_Total", DATOS3!$1:$1,0))=0,0,INDEX( DATOS3!$1:$19996,A76,MATCH("Dose_Area_Product", DATOS3!$1:$1,0)))</f>
        <v>#N/A</v>
      </c>
      <c r="J76" t="e">
        <f>IF(INDEX( DATOS3!$1:$19996,A76,MATCH("Dose_RP_Total", DATOS3!$1:$1,0))=0,0,INDEX( DATOS3!$1:$19996,A76,MATCH("Dose_RP", DATOS3!$1:$1,0)))</f>
        <v>#N/A</v>
      </c>
      <c r="K76" t="e">
        <f>IF(INDEX( DATOS3!$1:$19996,A76,MATCH("Total_Fluoro_Time", DATOS3!$1:$1,0))=0,0,INDEX( DATOS3!$1:$19996,A76,MATCH("Total_Fluoro_Time", DATOS3!$1:$1,0)))</f>
        <v>#N/A</v>
      </c>
      <c r="L76" t="e">
        <f>IF(INDEX( DATOS3!$1:$19996,A76,MATCH("Total_Acquisition_Time", DATOS3!$1:$1,0))=0,0,INDEX( DATOS3!$1:$19996,A76,MATCH("Total_Acquisition_Time", DATOS3!$1:$1,0)))</f>
        <v>#N/A</v>
      </c>
    </row>
    <row r="77" spans="1:12" x14ac:dyDescent="0.25">
      <c r="A77">
        <v>77</v>
      </c>
      <c r="B77" t="e">
        <f t="shared" si="2"/>
        <v>#N/A</v>
      </c>
      <c r="C77" t="e">
        <f t="shared" si="3"/>
        <v>#N/A</v>
      </c>
      <c r="D77" t="e">
        <f>IF(INDEX( DATOS3!$1:$19996,A77,MATCH("PatientID", DATOS3!$1:$1,0))=0,"",INDEX( DATOS3!$1:$19996,A77,MATCH("PatientID", DATOS3!$1:$1,0)))</f>
        <v>#N/A</v>
      </c>
      <c r="F77" t="e">
        <f>IF(INDEX( DATOS3!$1:$19996,A77,MATCH("SeriesDate", DATOS3!$1:$1,0))=0,"",INDEX( DATOS3!$1:$19996,A77,MATCH("SeriesDate", DATOS3!$1:$1,0)))</f>
        <v>#N/A</v>
      </c>
      <c r="G77" t="e">
        <f>IF(INDEX( DATOS3!$1:$19996,A77,MATCH("SeriesTime", DATOS3!$1:$1,0))=0,"",INDEX( DATOS3!$1:$19996,A77,MATCH("SeriesTime", DATOS3!$1:$1,0)))</f>
        <v>#N/A</v>
      </c>
      <c r="H77" t="e">
        <f>IF(INDEX( DATOS3!$1:$19996,A77,MATCH("StudyDescription", DATOS3!$1:$1,0))=0,"",INDEX( DATOS3!$1:$19996,A77,MATCH("StudyDescription", DATOS3!$1:$1,0)))</f>
        <v>#N/A</v>
      </c>
      <c r="I77" t="e">
        <f>IF(INDEX( DATOS3!$1:$19996,A77,MATCH("Dose_Area_Product_Total", DATOS3!$1:$1,0))=0,0,INDEX( DATOS3!$1:$19996,A77,MATCH("Dose_Area_Product", DATOS3!$1:$1,0)))</f>
        <v>#N/A</v>
      </c>
      <c r="J77" t="e">
        <f>IF(INDEX( DATOS3!$1:$19996,A77,MATCH("Dose_RP_Total", DATOS3!$1:$1,0))=0,0,INDEX( DATOS3!$1:$19996,A77,MATCH("Dose_RP", DATOS3!$1:$1,0)))</f>
        <v>#N/A</v>
      </c>
      <c r="K77" t="e">
        <f>IF(INDEX( DATOS3!$1:$19996,A77,MATCH("Total_Fluoro_Time", DATOS3!$1:$1,0))=0,0,INDEX( DATOS3!$1:$19996,A77,MATCH("Total_Fluoro_Time", DATOS3!$1:$1,0)))</f>
        <v>#N/A</v>
      </c>
      <c r="L77" t="e">
        <f>IF(INDEX( DATOS3!$1:$19996,A77,MATCH("Total_Acquisition_Time", DATOS3!$1:$1,0))=0,0,INDEX( DATOS3!$1:$19996,A77,MATCH("Total_Acquisition_Time", DATOS3!$1:$1,0)))</f>
        <v>#N/A</v>
      </c>
    </row>
    <row r="78" spans="1:12" x14ac:dyDescent="0.25">
      <c r="A78">
        <v>78</v>
      </c>
      <c r="B78" t="e">
        <f t="shared" si="2"/>
        <v>#N/A</v>
      </c>
      <c r="C78" t="e">
        <f t="shared" si="3"/>
        <v>#N/A</v>
      </c>
      <c r="D78" t="e">
        <f>IF(INDEX( DATOS3!$1:$19996,A78,MATCH("PatientID", DATOS3!$1:$1,0))=0,"",INDEX( DATOS3!$1:$19996,A78,MATCH("PatientID", DATOS3!$1:$1,0)))</f>
        <v>#N/A</v>
      </c>
      <c r="F78" t="e">
        <f>IF(INDEX( DATOS3!$1:$19996,A78,MATCH("SeriesDate", DATOS3!$1:$1,0))=0,"",INDEX( DATOS3!$1:$19996,A78,MATCH("SeriesDate", DATOS3!$1:$1,0)))</f>
        <v>#N/A</v>
      </c>
      <c r="G78" t="e">
        <f>IF(INDEX( DATOS3!$1:$19996,A78,MATCH("SeriesTime", DATOS3!$1:$1,0))=0,"",INDEX( DATOS3!$1:$19996,A78,MATCH("SeriesTime", DATOS3!$1:$1,0)))</f>
        <v>#N/A</v>
      </c>
      <c r="H78" t="e">
        <f>IF(INDEX( DATOS3!$1:$19996,A78,MATCH("StudyDescription", DATOS3!$1:$1,0))=0,"",INDEX( DATOS3!$1:$19996,A78,MATCH("StudyDescription", DATOS3!$1:$1,0)))</f>
        <v>#N/A</v>
      </c>
      <c r="I78" t="e">
        <f>IF(INDEX( DATOS3!$1:$19996,A78,MATCH("Dose_Area_Product_Total", DATOS3!$1:$1,0))=0,0,INDEX( DATOS3!$1:$19996,A78,MATCH("Dose_Area_Product", DATOS3!$1:$1,0)))</f>
        <v>#N/A</v>
      </c>
      <c r="J78" t="e">
        <f>IF(INDEX( DATOS3!$1:$19996,A78,MATCH("Dose_RP_Total", DATOS3!$1:$1,0))=0,0,INDEX( DATOS3!$1:$19996,A78,MATCH("Dose_RP", DATOS3!$1:$1,0)))</f>
        <v>#N/A</v>
      </c>
      <c r="K78" t="e">
        <f>IF(INDEX( DATOS3!$1:$19996,A78,MATCH("Total_Fluoro_Time", DATOS3!$1:$1,0))=0,0,INDEX( DATOS3!$1:$19996,A78,MATCH("Total_Fluoro_Time", DATOS3!$1:$1,0)))</f>
        <v>#N/A</v>
      </c>
      <c r="L78" t="e">
        <f>IF(INDEX( DATOS3!$1:$19996,A78,MATCH("Total_Acquisition_Time", DATOS3!$1:$1,0))=0,0,INDEX( DATOS3!$1:$19996,A78,MATCH("Total_Acquisition_Time", DATOS3!$1:$1,0)))</f>
        <v>#N/A</v>
      </c>
    </row>
    <row r="79" spans="1:12" x14ac:dyDescent="0.25">
      <c r="A79">
        <v>79</v>
      </c>
      <c r="B79" t="e">
        <f t="shared" si="2"/>
        <v>#N/A</v>
      </c>
      <c r="C79" t="e">
        <f t="shared" si="3"/>
        <v>#N/A</v>
      </c>
      <c r="D79" t="e">
        <f>IF(INDEX( DATOS3!$1:$19996,A79,MATCH("PatientID", DATOS3!$1:$1,0))=0,"",INDEX( DATOS3!$1:$19996,A79,MATCH("PatientID", DATOS3!$1:$1,0)))</f>
        <v>#N/A</v>
      </c>
      <c r="F79" t="e">
        <f>IF(INDEX( DATOS3!$1:$19996,A79,MATCH("SeriesDate", DATOS3!$1:$1,0))=0,"",INDEX( DATOS3!$1:$19996,A79,MATCH("SeriesDate", DATOS3!$1:$1,0)))</f>
        <v>#N/A</v>
      </c>
      <c r="G79" t="e">
        <f>IF(INDEX( DATOS3!$1:$19996,A79,MATCH("SeriesTime", DATOS3!$1:$1,0))=0,"",INDEX( DATOS3!$1:$19996,A79,MATCH("SeriesTime", DATOS3!$1:$1,0)))</f>
        <v>#N/A</v>
      </c>
      <c r="H79" t="e">
        <f>IF(INDEX( DATOS3!$1:$19996,A79,MATCH("StudyDescription", DATOS3!$1:$1,0))=0,"",INDEX( DATOS3!$1:$19996,A79,MATCH("StudyDescription", DATOS3!$1:$1,0)))</f>
        <v>#N/A</v>
      </c>
      <c r="I79" t="e">
        <f>IF(INDEX( DATOS3!$1:$19996,A79,MATCH("Dose_Area_Product_Total", DATOS3!$1:$1,0))=0,0,INDEX( DATOS3!$1:$19996,A79,MATCH("Dose_Area_Product", DATOS3!$1:$1,0)))</f>
        <v>#N/A</v>
      </c>
      <c r="J79" t="e">
        <f>IF(INDEX( DATOS3!$1:$19996,A79,MATCH("Dose_RP_Total", DATOS3!$1:$1,0))=0,0,INDEX( DATOS3!$1:$19996,A79,MATCH("Dose_RP", DATOS3!$1:$1,0)))</f>
        <v>#N/A</v>
      </c>
      <c r="K79" t="e">
        <f>IF(INDEX( DATOS3!$1:$19996,A79,MATCH("Total_Fluoro_Time", DATOS3!$1:$1,0))=0,0,INDEX( DATOS3!$1:$19996,A79,MATCH("Total_Fluoro_Time", DATOS3!$1:$1,0)))</f>
        <v>#N/A</v>
      </c>
      <c r="L79" t="e">
        <f>IF(INDEX( DATOS3!$1:$19996,A79,MATCH("Total_Acquisition_Time", DATOS3!$1:$1,0))=0,0,INDEX( DATOS3!$1:$19996,A79,MATCH("Total_Acquisition_Time", DATOS3!$1:$1,0)))</f>
        <v>#N/A</v>
      </c>
    </row>
    <row r="80" spans="1:12" x14ac:dyDescent="0.25">
      <c r="A80">
        <v>80</v>
      </c>
      <c r="B80" t="e">
        <f t="shared" si="2"/>
        <v>#N/A</v>
      </c>
      <c r="C80" t="e">
        <f t="shared" si="3"/>
        <v>#N/A</v>
      </c>
      <c r="D80" t="e">
        <f>IF(INDEX( DATOS3!$1:$19996,A80,MATCH("PatientID", DATOS3!$1:$1,0))=0,"",INDEX( DATOS3!$1:$19996,A80,MATCH("PatientID", DATOS3!$1:$1,0)))</f>
        <v>#N/A</v>
      </c>
      <c r="F80" t="e">
        <f>IF(INDEX( DATOS3!$1:$19996,A80,MATCH("SeriesDate", DATOS3!$1:$1,0))=0,"",INDEX( DATOS3!$1:$19996,A80,MATCH("SeriesDate", DATOS3!$1:$1,0)))</f>
        <v>#N/A</v>
      </c>
      <c r="G80" t="e">
        <f>IF(INDEX( DATOS3!$1:$19996,A80,MATCH("SeriesTime", DATOS3!$1:$1,0))=0,"",INDEX( DATOS3!$1:$19996,A80,MATCH("SeriesTime", DATOS3!$1:$1,0)))</f>
        <v>#N/A</v>
      </c>
      <c r="H80" t="e">
        <f>IF(INDEX( DATOS3!$1:$19996,A80,MATCH("StudyDescription", DATOS3!$1:$1,0))=0,"",INDEX( DATOS3!$1:$19996,A80,MATCH("StudyDescription", DATOS3!$1:$1,0)))</f>
        <v>#N/A</v>
      </c>
      <c r="I80" t="e">
        <f>IF(INDEX( DATOS3!$1:$19996,A80,MATCH("Dose_Area_Product_Total", DATOS3!$1:$1,0))=0,0,INDEX( DATOS3!$1:$19996,A80,MATCH("Dose_Area_Product", DATOS3!$1:$1,0)))</f>
        <v>#N/A</v>
      </c>
      <c r="J80" t="e">
        <f>IF(INDEX( DATOS3!$1:$19996,A80,MATCH("Dose_RP_Total", DATOS3!$1:$1,0))=0,0,INDEX( DATOS3!$1:$19996,A80,MATCH("Dose_RP", DATOS3!$1:$1,0)))</f>
        <v>#N/A</v>
      </c>
      <c r="K80" t="e">
        <f>IF(INDEX( DATOS3!$1:$19996,A80,MATCH("Total_Fluoro_Time", DATOS3!$1:$1,0))=0,0,INDEX( DATOS3!$1:$19996,A80,MATCH("Total_Fluoro_Time", DATOS3!$1:$1,0)))</f>
        <v>#N/A</v>
      </c>
      <c r="L80" t="e">
        <f>IF(INDEX( DATOS3!$1:$19996,A80,MATCH("Total_Acquisition_Time", DATOS3!$1:$1,0))=0,0,INDEX( DATOS3!$1:$19996,A80,MATCH("Total_Acquisition_Time", DATOS3!$1:$1,0)))</f>
        <v>#N/A</v>
      </c>
    </row>
    <row r="81" spans="1:12" x14ac:dyDescent="0.25">
      <c r="A81">
        <v>81</v>
      </c>
      <c r="B81" t="e">
        <f t="shared" si="2"/>
        <v>#N/A</v>
      </c>
      <c r="C81" t="e">
        <f t="shared" si="3"/>
        <v>#N/A</v>
      </c>
      <c r="D81" t="e">
        <f>IF(INDEX( DATOS3!$1:$19996,A81,MATCH("PatientID", DATOS3!$1:$1,0))=0,"",INDEX( DATOS3!$1:$19996,A81,MATCH("PatientID", DATOS3!$1:$1,0)))</f>
        <v>#N/A</v>
      </c>
      <c r="F81" t="e">
        <f>IF(INDEX( DATOS3!$1:$19996,A81,MATCH("SeriesDate", DATOS3!$1:$1,0))=0,"",INDEX( DATOS3!$1:$19996,A81,MATCH("SeriesDate", DATOS3!$1:$1,0)))</f>
        <v>#N/A</v>
      </c>
      <c r="G81" t="e">
        <f>IF(INDEX( DATOS3!$1:$19996,A81,MATCH("SeriesTime", DATOS3!$1:$1,0))=0,"",INDEX( DATOS3!$1:$19996,A81,MATCH("SeriesTime", DATOS3!$1:$1,0)))</f>
        <v>#N/A</v>
      </c>
      <c r="H81" t="e">
        <f>IF(INDEX( DATOS3!$1:$19996,A81,MATCH("StudyDescription", DATOS3!$1:$1,0))=0,"",INDEX( DATOS3!$1:$19996,A81,MATCH("StudyDescription", DATOS3!$1:$1,0)))</f>
        <v>#N/A</v>
      </c>
      <c r="I81" t="e">
        <f>IF(INDEX( DATOS3!$1:$19996,A81,MATCH("Dose_Area_Product_Total", DATOS3!$1:$1,0))=0,0,INDEX( DATOS3!$1:$19996,A81,MATCH("Dose_Area_Product", DATOS3!$1:$1,0)))</f>
        <v>#N/A</v>
      </c>
      <c r="J81" t="e">
        <f>IF(INDEX( DATOS3!$1:$19996,A81,MATCH("Dose_RP_Total", DATOS3!$1:$1,0))=0,0,INDEX( DATOS3!$1:$19996,A81,MATCH("Dose_RP", DATOS3!$1:$1,0)))</f>
        <v>#N/A</v>
      </c>
      <c r="K81" t="e">
        <f>IF(INDEX( DATOS3!$1:$19996,A81,MATCH("Total_Fluoro_Time", DATOS3!$1:$1,0))=0,0,INDEX( DATOS3!$1:$19996,A81,MATCH("Total_Fluoro_Time", DATOS3!$1:$1,0)))</f>
        <v>#N/A</v>
      </c>
      <c r="L81" t="e">
        <f>IF(INDEX( DATOS3!$1:$19996,A81,MATCH("Total_Acquisition_Time", DATOS3!$1:$1,0))=0,0,INDEX( DATOS3!$1:$19996,A81,MATCH("Total_Acquisition_Time", DATOS3!$1:$1,0)))</f>
        <v>#N/A</v>
      </c>
    </row>
    <row r="82" spans="1:12" x14ac:dyDescent="0.25">
      <c r="A82">
        <v>82</v>
      </c>
      <c r="B82" t="e">
        <f t="shared" si="2"/>
        <v>#N/A</v>
      </c>
      <c r="C82" t="e">
        <f t="shared" si="3"/>
        <v>#N/A</v>
      </c>
      <c r="D82" t="e">
        <f>IF(INDEX( DATOS3!$1:$19996,A82,MATCH("PatientID", DATOS3!$1:$1,0))=0,"",INDEX( DATOS3!$1:$19996,A82,MATCH("PatientID", DATOS3!$1:$1,0)))</f>
        <v>#N/A</v>
      </c>
      <c r="F82" t="e">
        <f>IF(INDEX( DATOS3!$1:$19996,A82,MATCH("SeriesDate", DATOS3!$1:$1,0))=0,"",INDEX( DATOS3!$1:$19996,A82,MATCH("SeriesDate", DATOS3!$1:$1,0)))</f>
        <v>#N/A</v>
      </c>
      <c r="G82" t="e">
        <f>IF(INDEX( DATOS3!$1:$19996,A82,MATCH("SeriesTime", DATOS3!$1:$1,0))=0,"",INDEX( DATOS3!$1:$19996,A82,MATCH("SeriesTime", DATOS3!$1:$1,0)))</f>
        <v>#N/A</v>
      </c>
      <c r="H82" t="e">
        <f>IF(INDEX( DATOS3!$1:$19996,A82,MATCH("StudyDescription", DATOS3!$1:$1,0))=0,"",INDEX( DATOS3!$1:$19996,A82,MATCH("StudyDescription", DATOS3!$1:$1,0)))</f>
        <v>#N/A</v>
      </c>
      <c r="I82" t="e">
        <f>IF(INDEX( DATOS3!$1:$19996,A82,MATCH("Dose_Area_Product_Total", DATOS3!$1:$1,0))=0,0,INDEX( DATOS3!$1:$19996,A82,MATCH("Dose_Area_Product", DATOS3!$1:$1,0)))</f>
        <v>#N/A</v>
      </c>
      <c r="J82" t="e">
        <f>IF(INDEX( DATOS3!$1:$19996,A82,MATCH("Dose_RP_Total", DATOS3!$1:$1,0))=0,0,INDEX( DATOS3!$1:$19996,A82,MATCH("Dose_RP", DATOS3!$1:$1,0)))</f>
        <v>#N/A</v>
      </c>
      <c r="K82" t="e">
        <f>IF(INDEX( DATOS3!$1:$19996,A82,MATCH("Total_Fluoro_Time", DATOS3!$1:$1,0))=0,0,INDEX( DATOS3!$1:$19996,A82,MATCH("Total_Fluoro_Time", DATOS3!$1:$1,0)))</f>
        <v>#N/A</v>
      </c>
      <c r="L82" t="e">
        <f>IF(INDEX( DATOS3!$1:$19996,A82,MATCH("Total_Acquisition_Time", DATOS3!$1:$1,0))=0,0,INDEX( DATOS3!$1:$19996,A82,MATCH("Total_Acquisition_Time", DATOS3!$1:$1,0)))</f>
        <v>#N/A</v>
      </c>
    </row>
    <row r="83" spans="1:12" x14ac:dyDescent="0.25">
      <c r="A83">
        <v>83</v>
      </c>
      <c r="B83" t="e">
        <f t="shared" si="2"/>
        <v>#N/A</v>
      </c>
      <c r="C83" t="e">
        <f t="shared" si="3"/>
        <v>#N/A</v>
      </c>
      <c r="D83" t="e">
        <f>IF(INDEX( DATOS3!$1:$19996,A83,MATCH("PatientID", DATOS3!$1:$1,0))=0,"",INDEX( DATOS3!$1:$19996,A83,MATCH("PatientID", DATOS3!$1:$1,0)))</f>
        <v>#N/A</v>
      </c>
      <c r="F83" t="e">
        <f>IF(INDEX( DATOS3!$1:$19996,A83,MATCH("SeriesDate", DATOS3!$1:$1,0))=0,"",INDEX( DATOS3!$1:$19996,A83,MATCH("SeriesDate", DATOS3!$1:$1,0)))</f>
        <v>#N/A</v>
      </c>
      <c r="G83" t="e">
        <f>IF(INDEX( DATOS3!$1:$19996,A83,MATCH("SeriesTime", DATOS3!$1:$1,0))=0,"",INDEX( DATOS3!$1:$19996,A83,MATCH("SeriesTime", DATOS3!$1:$1,0)))</f>
        <v>#N/A</v>
      </c>
      <c r="H83" t="e">
        <f>IF(INDEX( DATOS3!$1:$19996,A83,MATCH("StudyDescription", DATOS3!$1:$1,0))=0,"",INDEX( DATOS3!$1:$19996,A83,MATCH("StudyDescription", DATOS3!$1:$1,0)))</f>
        <v>#N/A</v>
      </c>
      <c r="I83" t="e">
        <f>IF(INDEX( DATOS3!$1:$19996,A83,MATCH("Dose_Area_Product_Total", DATOS3!$1:$1,0))=0,0,INDEX( DATOS3!$1:$19996,A83,MATCH("Dose_Area_Product", DATOS3!$1:$1,0)))</f>
        <v>#N/A</v>
      </c>
      <c r="J83" t="e">
        <f>IF(INDEX( DATOS3!$1:$19996,A83,MATCH("Dose_RP_Total", DATOS3!$1:$1,0))=0,0,INDEX( DATOS3!$1:$19996,A83,MATCH("Dose_RP", DATOS3!$1:$1,0)))</f>
        <v>#N/A</v>
      </c>
      <c r="K83" t="e">
        <f>IF(INDEX( DATOS3!$1:$19996,A83,MATCH("Total_Fluoro_Time", DATOS3!$1:$1,0))=0,0,INDEX( DATOS3!$1:$19996,A83,MATCH("Total_Fluoro_Time", DATOS3!$1:$1,0)))</f>
        <v>#N/A</v>
      </c>
      <c r="L83" t="e">
        <f>IF(INDEX( DATOS3!$1:$19996,A83,MATCH("Total_Acquisition_Time", DATOS3!$1:$1,0))=0,0,INDEX( DATOS3!$1:$19996,A83,MATCH("Total_Acquisition_Time", DATOS3!$1:$1,0)))</f>
        <v>#N/A</v>
      </c>
    </row>
    <row r="84" spans="1:12" x14ac:dyDescent="0.25">
      <c r="A84">
        <v>84</v>
      </c>
      <c r="B84" t="e">
        <f t="shared" si="2"/>
        <v>#N/A</v>
      </c>
      <c r="C84" t="e">
        <f t="shared" si="3"/>
        <v>#N/A</v>
      </c>
      <c r="D84" t="e">
        <f>IF(INDEX( DATOS3!$1:$19996,A84,MATCH("PatientID", DATOS3!$1:$1,0))=0,"",INDEX( DATOS3!$1:$19996,A84,MATCH("PatientID", DATOS3!$1:$1,0)))</f>
        <v>#N/A</v>
      </c>
      <c r="F84" t="e">
        <f>IF(INDEX( DATOS3!$1:$19996,A84,MATCH("SeriesDate", DATOS3!$1:$1,0))=0,"",INDEX( DATOS3!$1:$19996,A84,MATCH("SeriesDate", DATOS3!$1:$1,0)))</f>
        <v>#N/A</v>
      </c>
      <c r="G84" t="e">
        <f>IF(INDEX( DATOS3!$1:$19996,A84,MATCH("SeriesTime", DATOS3!$1:$1,0))=0,"",INDEX( DATOS3!$1:$19996,A84,MATCH("SeriesTime", DATOS3!$1:$1,0)))</f>
        <v>#N/A</v>
      </c>
      <c r="H84" t="e">
        <f>IF(INDEX( DATOS3!$1:$19996,A84,MATCH("StudyDescription", DATOS3!$1:$1,0))=0,"",INDEX( DATOS3!$1:$19996,A84,MATCH("StudyDescription", DATOS3!$1:$1,0)))</f>
        <v>#N/A</v>
      </c>
      <c r="I84" t="e">
        <f>IF(INDEX( DATOS3!$1:$19996,A84,MATCH("Dose_Area_Product_Total", DATOS3!$1:$1,0))=0,0,INDEX( DATOS3!$1:$19996,A84,MATCH("Dose_Area_Product", DATOS3!$1:$1,0)))</f>
        <v>#N/A</v>
      </c>
      <c r="J84" t="e">
        <f>IF(INDEX( DATOS3!$1:$19996,A84,MATCH("Dose_RP_Total", DATOS3!$1:$1,0))=0,0,INDEX( DATOS3!$1:$19996,A84,MATCH("Dose_RP", DATOS3!$1:$1,0)))</f>
        <v>#N/A</v>
      </c>
      <c r="K84" t="e">
        <f>IF(INDEX( DATOS3!$1:$19996,A84,MATCH("Total_Fluoro_Time", DATOS3!$1:$1,0))=0,0,INDEX( DATOS3!$1:$19996,A84,MATCH("Total_Fluoro_Time", DATOS3!$1:$1,0)))</f>
        <v>#N/A</v>
      </c>
      <c r="L84" t="e">
        <f>IF(INDEX( DATOS3!$1:$19996,A84,MATCH("Total_Acquisition_Time", DATOS3!$1:$1,0))=0,0,INDEX( DATOS3!$1:$19996,A84,MATCH("Total_Acquisition_Time", DATOS3!$1:$1,0)))</f>
        <v>#N/A</v>
      </c>
    </row>
    <row r="85" spans="1:12" x14ac:dyDescent="0.25">
      <c r="A85">
        <v>85</v>
      </c>
      <c r="B85" t="e">
        <f t="shared" si="2"/>
        <v>#N/A</v>
      </c>
      <c r="C85" t="e">
        <f t="shared" si="3"/>
        <v>#N/A</v>
      </c>
      <c r="D85" t="e">
        <f>IF(INDEX( DATOS3!$1:$19996,A85,MATCH("PatientID", DATOS3!$1:$1,0))=0,"",INDEX( DATOS3!$1:$19996,A85,MATCH("PatientID", DATOS3!$1:$1,0)))</f>
        <v>#N/A</v>
      </c>
      <c r="F85" t="e">
        <f>IF(INDEX( DATOS3!$1:$19996,A85,MATCH("SeriesDate", DATOS3!$1:$1,0))=0,"",INDEX( DATOS3!$1:$19996,A85,MATCH("SeriesDate", DATOS3!$1:$1,0)))</f>
        <v>#N/A</v>
      </c>
      <c r="G85" t="e">
        <f>IF(INDEX( DATOS3!$1:$19996,A85,MATCH("SeriesTime", DATOS3!$1:$1,0))=0,"",INDEX( DATOS3!$1:$19996,A85,MATCH("SeriesTime", DATOS3!$1:$1,0)))</f>
        <v>#N/A</v>
      </c>
      <c r="H85" t="e">
        <f>IF(INDEX( DATOS3!$1:$19996,A85,MATCH("StudyDescription", DATOS3!$1:$1,0))=0,"",INDEX( DATOS3!$1:$19996,A85,MATCH("StudyDescription", DATOS3!$1:$1,0)))</f>
        <v>#N/A</v>
      </c>
      <c r="I85" t="e">
        <f>IF(INDEX( DATOS3!$1:$19996,A85,MATCH("Dose_Area_Product_Total", DATOS3!$1:$1,0))=0,0,INDEX( DATOS3!$1:$19996,A85,MATCH("Dose_Area_Product", DATOS3!$1:$1,0)))</f>
        <v>#N/A</v>
      </c>
      <c r="J85" t="e">
        <f>IF(INDEX( DATOS3!$1:$19996,A85,MATCH("Dose_RP_Total", DATOS3!$1:$1,0))=0,0,INDEX( DATOS3!$1:$19996,A85,MATCH("Dose_RP", DATOS3!$1:$1,0)))</f>
        <v>#N/A</v>
      </c>
      <c r="K85" t="e">
        <f>IF(INDEX( DATOS3!$1:$19996,A85,MATCH("Total_Fluoro_Time", DATOS3!$1:$1,0))=0,0,INDEX( DATOS3!$1:$19996,A85,MATCH("Total_Fluoro_Time", DATOS3!$1:$1,0)))</f>
        <v>#N/A</v>
      </c>
      <c r="L85" t="e">
        <f>IF(INDEX( DATOS3!$1:$19996,A85,MATCH("Total_Acquisition_Time", DATOS3!$1:$1,0))=0,0,INDEX( DATOS3!$1:$19996,A85,MATCH("Total_Acquisition_Time", DATOS3!$1:$1,0)))</f>
        <v>#N/A</v>
      </c>
    </row>
    <row r="86" spans="1:12" x14ac:dyDescent="0.25">
      <c r="A86">
        <v>86</v>
      </c>
      <c r="B86" t="e">
        <f t="shared" si="2"/>
        <v>#N/A</v>
      </c>
      <c r="C86" t="e">
        <f t="shared" si="3"/>
        <v>#N/A</v>
      </c>
      <c r="D86" t="e">
        <f>IF(INDEX( DATOS3!$1:$19996,A86,MATCH("PatientID", DATOS3!$1:$1,0))=0,"",INDEX( DATOS3!$1:$19996,A86,MATCH("PatientID", DATOS3!$1:$1,0)))</f>
        <v>#N/A</v>
      </c>
      <c r="F86" t="e">
        <f>IF(INDEX( DATOS3!$1:$19996,A86,MATCH("SeriesDate", DATOS3!$1:$1,0))=0,"",INDEX( DATOS3!$1:$19996,A86,MATCH("SeriesDate", DATOS3!$1:$1,0)))</f>
        <v>#N/A</v>
      </c>
      <c r="G86" t="e">
        <f>IF(INDEX( DATOS3!$1:$19996,A86,MATCH("SeriesTime", DATOS3!$1:$1,0))=0,"",INDEX( DATOS3!$1:$19996,A86,MATCH("SeriesTime", DATOS3!$1:$1,0)))</f>
        <v>#N/A</v>
      </c>
      <c r="H86" t="e">
        <f>IF(INDEX( DATOS3!$1:$19996,A86,MATCH("StudyDescription", DATOS3!$1:$1,0))=0,"",INDEX( DATOS3!$1:$19996,A86,MATCH("StudyDescription", DATOS3!$1:$1,0)))</f>
        <v>#N/A</v>
      </c>
      <c r="I86" t="e">
        <f>IF(INDEX( DATOS3!$1:$19996,A86,MATCH("Dose_Area_Product_Total", DATOS3!$1:$1,0))=0,0,INDEX( DATOS3!$1:$19996,A86,MATCH("Dose_Area_Product", DATOS3!$1:$1,0)))</f>
        <v>#N/A</v>
      </c>
      <c r="J86" t="e">
        <f>IF(INDEX( DATOS3!$1:$19996,A86,MATCH("Dose_RP_Total", DATOS3!$1:$1,0))=0,0,INDEX( DATOS3!$1:$19996,A86,MATCH("Dose_RP", DATOS3!$1:$1,0)))</f>
        <v>#N/A</v>
      </c>
      <c r="K86" t="e">
        <f>IF(INDEX( DATOS3!$1:$19996,A86,MATCH("Total_Fluoro_Time", DATOS3!$1:$1,0))=0,0,INDEX( DATOS3!$1:$19996,A86,MATCH("Total_Fluoro_Time", DATOS3!$1:$1,0)))</f>
        <v>#N/A</v>
      </c>
      <c r="L86" t="e">
        <f>IF(INDEX( DATOS3!$1:$19996,A86,MATCH("Total_Acquisition_Time", DATOS3!$1:$1,0))=0,0,INDEX( DATOS3!$1:$19996,A86,MATCH("Total_Acquisition_Time", DATOS3!$1:$1,0)))</f>
        <v>#N/A</v>
      </c>
    </row>
    <row r="87" spans="1:12" x14ac:dyDescent="0.25">
      <c r="A87">
        <v>87</v>
      </c>
      <c r="B87" t="e">
        <f t="shared" si="2"/>
        <v>#N/A</v>
      </c>
      <c r="C87" t="e">
        <f t="shared" si="3"/>
        <v>#N/A</v>
      </c>
      <c r="D87" t="e">
        <f>IF(INDEX( DATOS3!$1:$19996,A87,MATCH("PatientID", DATOS3!$1:$1,0))=0,"",INDEX( DATOS3!$1:$19996,A87,MATCH("PatientID", DATOS3!$1:$1,0)))</f>
        <v>#N/A</v>
      </c>
      <c r="F87" t="e">
        <f>IF(INDEX( DATOS3!$1:$19996,A87,MATCH("SeriesDate", DATOS3!$1:$1,0))=0,"",INDEX( DATOS3!$1:$19996,A87,MATCH("SeriesDate", DATOS3!$1:$1,0)))</f>
        <v>#N/A</v>
      </c>
      <c r="G87" t="e">
        <f>IF(INDEX( DATOS3!$1:$19996,A87,MATCH("SeriesTime", DATOS3!$1:$1,0))=0,"",INDEX( DATOS3!$1:$19996,A87,MATCH("SeriesTime", DATOS3!$1:$1,0)))</f>
        <v>#N/A</v>
      </c>
      <c r="H87" t="e">
        <f>IF(INDEX( DATOS3!$1:$19996,A87,MATCH("StudyDescription", DATOS3!$1:$1,0))=0,"",INDEX( DATOS3!$1:$19996,A87,MATCH("StudyDescription", DATOS3!$1:$1,0)))</f>
        <v>#N/A</v>
      </c>
      <c r="I87" t="e">
        <f>IF(INDEX( DATOS3!$1:$19996,A87,MATCH("Dose_Area_Product_Total", DATOS3!$1:$1,0))=0,0,INDEX( DATOS3!$1:$19996,A87,MATCH("Dose_Area_Product", DATOS3!$1:$1,0)))</f>
        <v>#N/A</v>
      </c>
      <c r="J87" t="e">
        <f>IF(INDEX( DATOS3!$1:$19996,A87,MATCH("Dose_RP_Total", DATOS3!$1:$1,0))=0,0,INDEX( DATOS3!$1:$19996,A87,MATCH("Dose_RP", DATOS3!$1:$1,0)))</f>
        <v>#N/A</v>
      </c>
      <c r="K87" t="e">
        <f>IF(INDEX( DATOS3!$1:$19996,A87,MATCH("Total_Fluoro_Time", DATOS3!$1:$1,0))=0,0,INDEX( DATOS3!$1:$19996,A87,MATCH("Total_Fluoro_Time", DATOS3!$1:$1,0)))</f>
        <v>#N/A</v>
      </c>
      <c r="L87" t="e">
        <f>IF(INDEX( DATOS3!$1:$19996,A87,MATCH("Total_Acquisition_Time", DATOS3!$1:$1,0))=0,0,INDEX( DATOS3!$1:$19996,A87,MATCH("Total_Acquisition_Time", DATOS3!$1:$1,0)))</f>
        <v>#N/A</v>
      </c>
    </row>
    <row r="88" spans="1:12" x14ac:dyDescent="0.25">
      <c r="A88">
        <v>88</v>
      </c>
      <c r="B88" t="e">
        <f t="shared" si="2"/>
        <v>#N/A</v>
      </c>
      <c r="C88" t="e">
        <f t="shared" si="3"/>
        <v>#N/A</v>
      </c>
      <c r="D88" t="e">
        <f>IF(INDEX( DATOS3!$1:$19996,A88,MATCH("PatientID", DATOS3!$1:$1,0))=0,"",INDEX( DATOS3!$1:$19996,A88,MATCH("PatientID", DATOS3!$1:$1,0)))</f>
        <v>#N/A</v>
      </c>
      <c r="F88" t="e">
        <f>IF(INDEX( DATOS3!$1:$19996,A88,MATCH("SeriesDate", DATOS3!$1:$1,0))=0,"",INDEX( DATOS3!$1:$19996,A88,MATCH("SeriesDate", DATOS3!$1:$1,0)))</f>
        <v>#N/A</v>
      </c>
      <c r="G88" t="e">
        <f>IF(INDEX( DATOS3!$1:$19996,A88,MATCH("SeriesTime", DATOS3!$1:$1,0))=0,"",INDEX( DATOS3!$1:$19996,A88,MATCH("SeriesTime", DATOS3!$1:$1,0)))</f>
        <v>#N/A</v>
      </c>
      <c r="H88" t="e">
        <f>IF(INDEX( DATOS3!$1:$19996,A88,MATCH("StudyDescription", DATOS3!$1:$1,0))=0,"",INDEX( DATOS3!$1:$19996,A88,MATCH("StudyDescription", DATOS3!$1:$1,0)))</f>
        <v>#N/A</v>
      </c>
      <c r="I88" t="e">
        <f>IF(INDEX( DATOS3!$1:$19996,A88,MATCH("Dose_Area_Product_Total", DATOS3!$1:$1,0))=0,0,INDEX( DATOS3!$1:$19996,A88,MATCH("Dose_Area_Product", DATOS3!$1:$1,0)))</f>
        <v>#N/A</v>
      </c>
      <c r="J88" t="e">
        <f>IF(INDEX( DATOS3!$1:$19996,A88,MATCH("Dose_RP_Total", DATOS3!$1:$1,0))=0,0,INDEX( DATOS3!$1:$19996,A88,MATCH("Dose_RP", DATOS3!$1:$1,0)))</f>
        <v>#N/A</v>
      </c>
      <c r="K88" t="e">
        <f>IF(INDEX( DATOS3!$1:$19996,A88,MATCH("Total_Fluoro_Time", DATOS3!$1:$1,0))=0,0,INDEX( DATOS3!$1:$19996,A88,MATCH("Total_Fluoro_Time", DATOS3!$1:$1,0)))</f>
        <v>#N/A</v>
      </c>
      <c r="L88" t="e">
        <f>IF(INDEX( DATOS3!$1:$19996,A88,MATCH("Total_Acquisition_Time", DATOS3!$1:$1,0))=0,0,INDEX( DATOS3!$1:$19996,A88,MATCH("Total_Acquisition_Time", DATOS3!$1:$1,0)))</f>
        <v>#N/A</v>
      </c>
    </row>
    <row r="89" spans="1:12" x14ac:dyDescent="0.25">
      <c r="A89">
        <v>89</v>
      </c>
      <c r="B89" t="e">
        <f t="shared" si="2"/>
        <v>#N/A</v>
      </c>
      <c r="C89" t="e">
        <f t="shared" si="3"/>
        <v>#N/A</v>
      </c>
      <c r="D89" t="e">
        <f>IF(INDEX( DATOS3!$1:$19996,A89,MATCH("PatientID", DATOS3!$1:$1,0))=0,"",INDEX( DATOS3!$1:$19996,A89,MATCH("PatientID", DATOS3!$1:$1,0)))</f>
        <v>#N/A</v>
      </c>
      <c r="F89" t="e">
        <f>IF(INDEX( DATOS3!$1:$19996,A89,MATCH("SeriesDate", DATOS3!$1:$1,0))=0,"",INDEX( DATOS3!$1:$19996,A89,MATCH("SeriesDate", DATOS3!$1:$1,0)))</f>
        <v>#N/A</v>
      </c>
      <c r="G89" t="e">
        <f>IF(INDEX( DATOS3!$1:$19996,A89,MATCH("SeriesTime", DATOS3!$1:$1,0))=0,"",INDEX( DATOS3!$1:$19996,A89,MATCH("SeriesTime", DATOS3!$1:$1,0)))</f>
        <v>#N/A</v>
      </c>
      <c r="H89" t="e">
        <f>IF(INDEX( DATOS3!$1:$19996,A89,MATCH("StudyDescription", DATOS3!$1:$1,0))=0,"",INDEX( DATOS3!$1:$19996,A89,MATCH("StudyDescription", DATOS3!$1:$1,0)))</f>
        <v>#N/A</v>
      </c>
      <c r="I89" t="e">
        <f>IF(INDEX( DATOS3!$1:$19996,A89,MATCH("Dose_Area_Product_Total", DATOS3!$1:$1,0))=0,0,INDEX( DATOS3!$1:$19996,A89,MATCH("Dose_Area_Product", DATOS3!$1:$1,0)))</f>
        <v>#N/A</v>
      </c>
      <c r="J89" t="e">
        <f>IF(INDEX( DATOS3!$1:$19996,A89,MATCH("Dose_RP_Total", DATOS3!$1:$1,0))=0,0,INDEX( DATOS3!$1:$19996,A89,MATCH("Dose_RP", DATOS3!$1:$1,0)))</f>
        <v>#N/A</v>
      </c>
      <c r="K89" t="e">
        <f>IF(INDEX( DATOS3!$1:$19996,A89,MATCH("Total_Fluoro_Time", DATOS3!$1:$1,0))=0,0,INDEX( DATOS3!$1:$19996,A89,MATCH("Total_Fluoro_Time", DATOS3!$1:$1,0)))</f>
        <v>#N/A</v>
      </c>
      <c r="L89" t="e">
        <f>IF(INDEX( DATOS3!$1:$19996,A89,MATCH("Total_Acquisition_Time", DATOS3!$1:$1,0))=0,0,INDEX( DATOS3!$1:$19996,A89,MATCH("Total_Acquisition_Time", DATOS3!$1:$1,0)))</f>
        <v>#N/A</v>
      </c>
    </row>
    <row r="90" spans="1:12" x14ac:dyDescent="0.25">
      <c r="A90">
        <v>90</v>
      </c>
      <c r="B90" t="e">
        <f t="shared" si="2"/>
        <v>#N/A</v>
      </c>
      <c r="C90" t="e">
        <f t="shared" si="3"/>
        <v>#N/A</v>
      </c>
      <c r="D90" t="e">
        <f>IF(INDEX( DATOS3!$1:$19996,A90,MATCH("PatientID", DATOS3!$1:$1,0))=0,"",INDEX( DATOS3!$1:$19996,A90,MATCH("PatientID", DATOS3!$1:$1,0)))</f>
        <v>#N/A</v>
      </c>
      <c r="F90" t="e">
        <f>IF(INDEX( DATOS3!$1:$19996,A90,MATCH("SeriesDate", DATOS3!$1:$1,0))=0,"",INDEX( DATOS3!$1:$19996,A90,MATCH("SeriesDate", DATOS3!$1:$1,0)))</f>
        <v>#N/A</v>
      </c>
      <c r="G90" t="e">
        <f>IF(INDEX( DATOS3!$1:$19996,A90,MATCH("SeriesTime", DATOS3!$1:$1,0))=0,"",INDEX( DATOS3!$1:$19996,A90,MATCH("SeriesTime", DATOS3!$1:$1,0)))</f>
        <v>#N/A</v>
      </c>
      <c r="H90" t="e">
        <f>IF(INDEX( DATOS3!$1:$19996,A90,MATCH("StudyDescription", DATOS3!$1:$1,0))=0,"",INDEX( DATOS3!$1:$19996,A90,MATCH("StudyDescription", DATOS3!$1:$1,0)))</f>
        <v>#N/A</v>
      </c>
      <c r="I90" t="e">
        <f>IF(INDEX( DATOS3!$1:$19996,A90,MATCH("Dose_Area_Product_Total", DATOS3!$1:$1,0))=0,0,INDEX( DATOS3!$1:$19996,A90,MATCH("Dose_Area_Product", DATOS3!$1:$1,0)))</f>
        <v>#N/A</v>
      </c>
      <c r="J90" t="e">
        <f>IF(INDEX( DATOS3!$1:$19996,A90,MATCH("Dose_RP_Total", DATOS3!$1:$1,0))=0,0,INDEX( DATOS3!$1:$19996,A90,MATCH("Dose_RP", DATOS3!$1:$1,0)))</f>
        <v>#N/A</v>
      </c>
      <c r="K90" t="e">
        <f>IF(INDEX( DATOS3!$1:$19996,A90,MATCH("Total_Fluoro_Time", DATOS3!$1:$1,0))=0,0,INDEX( DATOS3!$1:$19996,A90,MATCH("Total_Fluoro_Time", DATOS3!$1:$1,0)))</f>
        <v>#N/A</v>
      </c>
      <c r="L90" t="e">
        <f>IF(INDEX( DATOS3!$1:$19996,A90,MATCH("Total_Acquisition_Time", DATOS3!$1:$1,0))=0,0,INDEX( DATOS3!$1:$19996,A90,MATCH("Total_Acquisition_Time", DATOS3!$1:$1,0)))</f>
        <v>#N/A</v>
      </c>
    </row>
    <row r="91" spans="1:12" x14ac:dyDescent="0.25">
      <c r="A91">
        <v>91</v>
      </c>
      <c r="B91" t="e">
        <f t="shared" si="2"/>
        <v>#N/A</v>
      </c>
      <c r="C91" t="e">
        <f t="shared" si="3"/>
        <v>#N/A</v>
      </c>
      <c r="D91" t="e">
        <f>IF(INDEX( DATOS3!$1:$19996,A91,MATCH("PatientID", DATOS3!$1:$1,0))=0,"",INDEX( DATOS3!$1:$19996,A91,MATCH("PatientID", DATOS3!$1:$1,0)))</f>
        <v>#N/A</v>
      </c>
      <c r="F91" t="e">
        <f>IF(INDEX( DATOS3!$1:$19996,A91,MATCH("SeriesDate", DATOS3!$1:$1,0))=0,"",INDEX( DATOS3!$1:$19996,A91,MATCH("SeriesDate", DATOS3!$1:$1,0)))</f>
        <v>#N/A</v>
      </c>
      <c r="G91" t="e">
        <f>IF(INDEX( DATOS3!$1:$19996,A91,MATCH("SeriesTime", DATOS3!$1:$1,0))=0,"",INDEX( DATOS3!$1:$19996,A91,MATCH("SeriesTime", DATOS3!$1:$1,0)))</f>
        <v>#N/A</v>
      </c>
      <c r="H91" t="e">
        <f>IF(INDEX( DATOS3!$1:$19996,A91,MATCH("StudyDescription", DATOS3!$1:$1,0))=0,"",INDEX( DATOS3!$1:$19996,A91,MATCH("StudyDescription", DATOS3!$1:$1,0)))</f>
        <v>#N/A</v>
      </c>
      <c r="I91" t="e">
        <f>IF(INDEX( DATOS3!$1:$19996,A91,MATCH("Dose_Area_Product_Total", DATOS3!$1:$1,0))=0,0,INDEX( DATOS3!$1:$19996,A91,MATCH("Dose_Area_Product", DATOS3!$1:$1,0)))</f>
        <v>#N/A</v>
      </c>
      <c r="J91" t="e">
        <f>IF(INDEX( DATOS3!$1:$19996,A91,MATCH("Dose_RP_Total", DATOS3!$1:$1,0))=0,0,INDEX( DATOS3!$1:$19996,A91,MATCH("Dose_RP", DATOS3!$1:$1,0)))</f>
        <v>#N/A</v>
      </c>
      <c r="K91" t="e">
        <f>IF(INDEX( DATOS3!$1:$19996,A91,MATCH("Total_Fluoro_Time", DATOS3!$1:$1,0))=0,0,INDEX( DATOS3!$1:$19996,A91,MATCH("Total_Fluoro_Time", DATOS3!$1:$1,0)))</f>
        <v>#N/A</v>
      </c>
      <c r="L91" t="e">
        <f>IF(INDEX( DATOS3!$1:$19996,A91,MATCH("Total_Acquisition_Time", DATOS3!$1:$1,0))=0,0,INDEX( DATOS3!$1:$19996,A91,MATCH("Total_Acquisition_Time", DATOS3!$1:$1,0)))</f>
        <v>#N/A</v>
      </c>
    </row>
    <row r="92" spans="1:12" x14ac:dyDescent="0.25">
      <c r="A92">
        <v>92</v>
      </c>
      <c r="B92" t="e">
        <f t="shared" si="2"/>
        <v>#N/A</v>
      </c>
      <c r="C92" t="e">
        <f t="shared" si="3"/>
        <v>#N/A</v>
      </c>
      <c r="D92" t="e">
        <f>IF(INDEX( DATOS3!$1:$19996,A92,MATCH("PatientID", DATOS3!$1:$1,0))=0,"",INDEX( DATOS3!$1:$19996,A92,MATCH("PatientID", DATOS3!$1:$1,0)))</f>
        <v>#N/A</v>
      </c>
      <c r="F92" t="e">
        <f>IF(INDEX( DATOS3!$1:$19996,A92,MATCH("SeriesDate", DATOS3!$1:$1,0))=0,"",INDEX( DATOS3!$1:$19996,A92,MATCH("SeriesDate", DATOS3!$1:$1,0)))</f>
        <v>#N/A</v>
      </c>
      <c r="G92" t="e">
        <f>IF(INDEX( DATOS3!$1:$19996,A92,MATCH("SeriesTime", DATOS3!$1:$1,0))=0,"",INDEX( DATOS3!$1:$19996,A92,MATCH("SeriesTime", DATOS3!$1:$1,0)))</f>
        <v>#N/A</v>
      </c>
      <c r="H92" t="e">
        <f>IF(INDEX( DATOS3!$1:$19996,A92,MATCH("StudyDescription", DATOS3!$1:$1,0))=0,"",INDEX( DATOS3!$1:$19996,A92,MATCH("StudyDescription", DATOS3!$1:$1,0)))</f>
        <v>#N/A</v>
      </c>
      <c r="I92" t="e">
        <f>IF(INDEX( DATOS3!$1:$19996,A92,MATCH("Dose_Area_Product_Total", DATOS3!$1:$1,0))=0,0,INDEX( DATOS3!$1:$19996,A92,MATCH("Dose_Area_Product", DATOS3!$1:$1,0)))</f>
        <v>#N/A</v>
      </c>
      <c r="J92" t="e">
        <f>IF(INDEX( DATOS3!$1:$19996,A92,MATCH("Dose_RP_Total", DATOS3!$1:$1,0))=0,0,INDEX( DATOS3!$1:$19996,A92,MATCH("Dose_RP", DATOS3!$1:$1,0)))</f>
        <v>#N/A</v>
      </c>
      <c r="K92" t="e">
        <f>IF(INDEX( DATOS3!$1:$19996,A92,MATCH("Total_Fluoro_Time", DATOS3!$1:$1,0))=0,0,INDEX( DATOS3!$1:$19996,A92,MATCH("Total_Fluoro_Time", DATOS3!$1:$1,0)))</f>
        <v>#N/A</v>
      </c>
      <c r="L92" t="e">
        <f>IF(INDEX( DATOS3!$1:$19996,A92,MATCH("Total_Acquisition_Time", DATOS3!$1:$1,0))=0,0,INDEX( DATOS3!$1:$19996,A92,MATCH("Total_Acquisition_Time", DATOS3!$1:$1,0)))</f>
        <v>#N/A</v>
      </c>
    </row>
    <row r="93" spans="1:12" x14ac:dyDescent="0.25">
      <c r="A93">
        <v>93</v>
      </c>
      <c r="B93" t="e">
        <f t="shared" si="2"/>
        <v>#N/A</v>
      </c>
      <c r="C93" t="e">
        <f t="shared" si="3"/>
        <v>#N/A</v>
      </c>
      <c r="D93" t="e">
        <f>IF(INDEX( DATOS3!$1:$19996,A93,MATCH("PatientID", DATOS3!$1:$1,0))=0,"",INDEX( DATOS3!$1:$19996,A93,MATCH("PatientID", DATOS3!$1:$1,0)))</f>
        <v>#N/A</v>
      </c>
      <c r="F93" t="e">
        <f>IF(INDEX( DATOS3!$1:$19996,A93,MATCH("SeriesDate", DATOS3!$1:$1,0))=0,"",INDEX( DATOS3!$1:$19996,A93,MATCH("SeriesDate", DATOS3!$1:$1,0)))</f>
        <v>#N/A</v>
      </c>
      <c r="G93" t="e">
        <f>IF(INDEX( DATOS3!$1:$19996,A93,MATCH("SeriesTime", DATOS3!$1:$1,0))=0,"",INDEX( DATOS3!$1:$19996,A93,MATCH("SeriesTime", DATOS3!$1:$1,0)))</f>
        <v>#N/A</v>
      </c>
      <c r="H93" t="e">
        <f>IF(INDEX( DATOS3!$1:$19996,A93,MATCH("StudyDescription", DATOS3!$1:$1,0))=0,"",INDEX( DATOS3!$1:$19996,A93,MATCH("StudyDescription", DATOS3!$1:$1,0)))</f>
        <v>#N/A</v>
      </c>
      <c r="I93" t="e">
        <f>IF(INDEX( DATOS3!$1:$19996,A93,MATCH("Dose_Area_Product_Total", DATOS3!$1:$1,0))=0,0,INDEX( DATOS3!$1:$19996,A93,MATCH("Dose_Area_Product", DATOS3!$1:$1,0)))</f>
        <v>#N/A</v>
      </c>
      <c r="J93" t="e">
        <f>IF(INDEX( DATOS3!$1:$19996,A93,MATCH("Dose_RP_Total", DATOS3!$1:$1,0))=0,0,INDEX( DATOS3!$1:$19996,A93,MATCH("Dose_RP", DATOS3!$1:$1,0)))</f>
        <v>#N/A</v>
      </c>
      <c r="K93" t="e">
        <f>IF(INDEX( DATOS3!$1:$19996,A93,MATCH("Total_Fluoro_Time", DATOS3!$1:$1,0))=0,0,INDEX( DATOS3!$1:$19996,A93,MATCH("Total_Fluoro_Time", DATOS3!$1:$1,0)))</f>
        <v>#N/A</v>
      </c>
      <c r="L93" t="e">
        <f>IF(INDEX( DATOS3!$1:$19996,A93,MATCH("Total_Acquisition_Time", DATOS3!$1:$1,0))=0,0,INDEX( DATOS3!$1:$19996,A93,MATCH("Total_Acquisition_Time", DATOS3!$1:$1,0)))</f>
        <v>#N/A</v>
      </c>
    </row>
    <row r="94" spans="1:12" x14ac:dyDescent="0.25">
      <c r="A94">
        <v>94</v>
      </c>
      <c r="B94" t="e">
        <f t="shared" si="2"/>
        <v>#N/A</v>
      </c>
      <c r="C94" t="e">
        <f t="shared" si="3"/>
        <v>#N/A</v>
      </c>
      <c r="D94" t="e">
        <f>IF(INDEX( DATOS3!$1:$19996,A94,MATCH("PatientID", DATOS3!$1:$1,0))=0,"",INDEX( DATOS3!$1:$19996,A94,MATCH("PatientID", DATOS3!$1:$1,0)))</f>
        <v>#N/A</v>
      </c>
      <c r="F94" t="e">
        <f>IF(INDEX( DATOS3!$1:$19996,A94,MATCH("SeriesDate", DATOS3!$1:$1,0))=0,"",INDEX( DATOS3!$1:$19996,A94,MATCH("SeriesDate", DATOS3!$1:$1,0)))</f>
        <v>#N/A</v>
      </c>
      <c r="G94" t="e">
        <f>IF(INDEX( DATOS3!$1:$19996,A94,MATCH("SeriesTime", DATOS3!$1:$1,0))=0,"",INDEX( DATOS3!$1:$19996,A94,MATCH("SeriesTime", DATOS3!$1:$1,0)))</f>
        <v>#N/A</v>
      </c>
      <c r="H94" t="e">
        <f>IF(INDEX( DATOS3!$1:$19996,A94,MATCH("StudyDescription", DATOS3!$1:$1,0))=0,"",INDEX( DATOS3!$1:$19996,A94,MATCH("StudyDescription", DATOS3!$1:$1,0)))</f>
        <v>#N/A</v>
      </c>
      <c r="I94" t="e">
        <f>IF(INDEX( DATOS3!$1:$19996,A94,MATCH("Dose_Area_Product_Total", DATOS3!$1:$1,0))=0,0,INDEX( DATOS3!$1:$19996,A94,MATCH("Dose_Area_Product", DATOS3!$1:$1,0)))</f>
        <v>#N/A</v>
      </c>
      <c r="J94" t="e">
        <f>IF(INDEX( DATOS3!$1:$19996,A94,MATCH("Dose_RP_Total", DATOS3!$1:$1,0))=0,0,INDEX( DATOS3!$1:$19996,A94,MATCH("Dose_RP", DATOS3!$1:$1,0)))</f>
        <v>#N/A</v>
      </c>
      <c r="K94" t="e">
        <f>IF(INDEX( DATOS3!$1:$19996,A94,MATCH("Total_Fluoro_Time", DATOS3!$1:$1,0))=0,0,INDEX( DATOS3!$1:$19996,A94,MATCH("Total_Fluoro_Time", DATOS3!$1:$1,0)))</f>
        <v>#N/A</v>
      </c>
      <c r="L94" t="e">
        <f>IF(INDEX( DATOS3!$1:$19996,A94,MATCH("Total_Acquisition_Time", DATOS3!$1:$1,0))=0,0,INDEX( DATOS3!$1:$19996,A94,MATCH("Total_Acquisition_Time", DATOS3!$1:$1,0)))</f>
        <v>#N/A</v>
      </c>
    </row>
    <row r="95" spans="1:12" x14ac:dyDescent="0.25">
      <c r="A95">
        <v>95</v>
      </c>
      <c r="B95" t="e">
        <f t="shared" si="2"/>
        <v>#N/A</v>
      </c>
      <c r="C95" t="e">
        <f t="shared" si="3"/>
        <v>#N/A</v>
      </c>
      <c r="D95" t="e">
        <f>IF(INDEX( DATOS3!$1:$19996,A95,MATCH("PatientID", DATOS3!$1:$1,0))=0,"",INDEX( DATOS3!$1:$19996,A95,MATCH("PatientID", DATOS3!$1:$1,0)))</f>
        <v>#N/A</v>
      </c>
      <c r="F95" t="e">
        <f>IF(INDEX( DATOS3!$1:$19996,A95,MATCH("SeriesDate", DATOS3!$1:$1,0))=0,"",INDEX( DATOS3!$1:$19996,A95,MATCH("SeriesDate", DATOS3!$1:$1,0)))</f>
        <v>#N/A</v>
      </c>
      <c r="G95" t="e">
        <f>IF(INDEX( DATOS3!$1:$19996,A95,MATCH("SeriesTime", DATOS3!$1:$1,0))=0,"",INDEX( DATOS3!$1:$19996,A95,MATCH("SeriesTime", DATOS3!$1:$1,0)))</f>
        <v>#N/A</v>
      </c>
      <c r="H95" t="e">
        <f>IF(INDEX( DATOS3!$1:$19996,A95,MATCH("StudyDescription", DATOS3!$1:$1,0))=0,"",INDEX( DATOS3!$1:$19996,A95,MATCH("StudyDescription", DATOS3!$1:$1,0)))</f>
        <v>#N/A</v>
      </c>
      <c r="I95" t="e">
        <f>IF(INDEX( DATOS3!$1:$19996,A95,MATCH("Dose_Area_Product_Total", DATOS3!$1:$1,0))=0,0,INDEX( DATOS3!$1:$19996,A95,MATCH("Dose_Area_Product", DATOS3!$1:$1,0)))</f>
        <v>#N/A</v>
      </c>
      <c r="J95" t="e">
        <f>IF(INDEX( DATOS3!$1:$19996,A95,MATCH("Dose_RP_Total", DATOS3!$1:$1,0))=0,0,INDEX( DATOS3!$1:$19996,A95,MATCH("Dose_RP", DATOS3!$1:$1,0)))</f>
        <v>#N/A</v>
      </c>
      <c r="K95" t="e">
        <f>IF(INDEX( DATOS3!$1:$19996,A95,MATCH("Total_Fluoro_Time", DATOS3!$1:$1,0))=0,0,INDEX( DATOS3!$1:$19996,A95,MATCH("Total_Fluoro_Time", DATOS3!$1:$1,0)))</f>
        <v>#N/A</v>
      </c>
      <c r="L95" t="e">
        <f>IF(INDEX( DATOS3!$1:$19996,A95,MATCH("Total_Acquisition_Time", DATOS3!$1:$1,0))=0,0,INDEX( DATOS3!$1:$19996,A95,MATCH("Total_Acquisition_Time", DATOS3!$1:$1,0)))</f>
        <v>#N/A</v>
      </c>
    </row>
    <row r="96" spans="1:12" x14ac:dyDescent="0.25">
      <c r="A96">
        <v>96</v>
      </c>
      <c r="B96" t="e">
        <f t="shared" si="2"/>
        <v>#N/A</v>
      </c>
      <c r="C96" t="e">
        <f t="shared" si="3"/>
        <v>#N/A</v>
      </c>
      <c r="D96" t="e">
        <f>IF(INDEX( DATOS3!$1:$19996,A96,MATCH("PatientID", DATOS3!$1:$1,0))=0,"",INDEX( DATOS3!$1:$19996,A96,MATCH("PatientID", DATOS3!$1:$1,0)))</f>
        <v>#N/A</v>
      </c>
      <c r="F96" t="e">
        <f>IF(INDEX( DATOS3!$1:$19996,A96,MATCH("SeriesDate", DATOS3!$1:$1,0))=0,"",INDEX( DATOS3!$1:$19996,A96,MATCH("SeriesDate", DATOS3!$1:$1,0)))</f>
        <v>#N/A</v>
      </c>
      <c r="G96" t="e">
        <f>IF(INDEX( DATOS3!$1:$19996,A96,MATCH("SeriesTime", DATOS3!$1:$1,0))=0,"",INDEX( DATOS3!$1:$19996,A96,MATCH("SeriesTime", DATOS3!$1:$1,0)))</f>
        <v>#N/A</v>
      </c>
      <c r="H96" t="e">
        <f>IF(INDEX( DATOS3!$1:$19996,A96,MATCH("StudyDescription", DATOS3!$1:$1,0))=0,"",INDEX( DATOS3!$1:$19996,A96,MATCH("StudyDescription", DATOS3!$1:$1,0)))</f>
        <v>#N/A</v>
      </c>
      <c r="I96" t="e">
        <f>IF(INDEX( DATOS3!$1:$19996,A96,MATCH("Dose_Area_Product_Total", DATOS3!$1:$1,0))=0,0,INDEX( DATOS3!$1:$19996,A96,MATCH("Dose_Area_Product", DATOS3!$1:$1,0)))</f>
        <v>#N/A</v>
      </c>
      <c r="J96" t="e">
        <f>IF(INDEX( DATOS3!$1:$19996,A96,MATCH("Dose_RP_Total", DATOS3!$1:$1,0))=0,0,INDEX( DATOS3!$1:$19996,A96,MATCH("Dose_RP", DATOS3!$1:$1,0)))</f>
        <v>#N/A</v>
      </c>
      <c r="K96" t="e">
        <f>IF(INDEX( DATOS3!$1:$19996,A96,MATCH("Total_Fluoro_Time", DATOS3!$1:$1,0))=0,0,INDEX( DATOS3!$1:$19996,A96,MATCH("Total_Fluoro_Time", DATOS3!$1:$1,0)))</f>
        <v>#N/A</v>
      </c>
      <c r="L96" t="e">
        <f>IF(INDEX( DATOS3!$1:$19996,A96,MATCH("Total_Acquisition_Time", DATOS3!$1:$1,0))=0,0,INDEX( DATOS3!$1:$19996,A96,MATCH("Total_Acquisition_Time", DATOS3!$1:$1,0)))</f>
        <v>#N/A</v>
      </c>
    </row>
    <row r="97" spans="1:11" x14ac:dyDescent="0.25">
      <c r="A97">
        <v>97</v>
      </c>
      <c r="B97" t="e">
        <f t="shared" si="2"/>
        <v>#N/A</v>
      </c>
      <c r="C97" t="e">
        <f t="shared" si="3"/>
        <v>#N/A</v>
      </c>
      <c r="D97" t="e">
        <f>IF(INDEX( DATOS3!$1:$19996,A97,MATCH("PatientID", DATOS3!$1:$1,0))=0,"",INDEX( DATOS3!$1:$19996,A97,MATCH("PatientID", DATOS3!$1:$1,0)))</f>
        <v>#N/A</v>
      </c>
      <c r="F97" t="e">
        <f>IF(INDEX( DATOS3!$1:$19996,A97,MATCH("SeriesDate", DATOS3!$1:$1,0))=0,"",INDEX( DATOS3!$1:$19996,A97,MATCH("SeriesDate", DATOS3!$1:$1,0)))</f>
        <v>#N/A</v>
      </c>
      <c r="G97" t="e">
        <f>IF(INDEX( DATOS3!$1:$19996,A97,MATCH("SeriesTime", DATOS3!$1:$1,0))=0,"",INDEX( DATOS3!$1:$19996,A97,MATCH("SeriesTime", DATOS3!$1:$1,0)))</f>
        <v>#N/A</v>
      </c>
      <c r="H97" t="e">
        <f>IF(INDEX( DATOS3!$1:$19996,A97,MATCH("StudyDescription", DATOS3!$1:$1,0))=0,"",INDEX( DATOS3!$1:$19996,A97,MATCH("StudyDescription", DATOS3!$1:$1,0)))</f>
        <v>#N/A</v>
      </c>
      <c r="I97" t="e">
        <f>IF(INDEX( DATOS3!$1:$19996,A97,MATCH("Dose_Area_Product_Total", DATOS3!$1:$1,0))=0,0,INDEX( DATOS3!$1:$19996,A97,MATCH("Dose_Area_Product", DATOS3!$1:$1,0)))</f>
        <v>#N/A</v>
      </c>
      <c r="J97" t="e">
        <f>IF(INDEX( DATOS3!$1:$19996,A97,MATCH("Dose_RP_Total", DATOS3!$1:$1,0))=0,0,INDEX( DATOS3!$1:$19996,A97,MATCH("Dose_RP", DATOS3!$1:$1,0)))</f>
        <v>#N/A</v>
      </c>
      <c r="K97" t="e">
        <f>IF(INDEX( DATOS3!$1:$19996,A97,MATCH("Total_Fluoro_Time", DATOS3!$1:$1,0))=0,0,INDEX( DATOS3!$1:$19996,A97,MATCH("Total_Fluoro_Time", DATOS3!$1:$1,0)))</f>
        <v>#N/A</v>
      </c>
    </row>
    <row r="98" spans="1:11" x14ac:dyDescent="0.25">
      <c r="A98">
        <v>98</v>
      </c>
      <c r="B98" t="e">
        <f t="shared" si="2"/>
        <v>#N/A</v>
      </c>
      <c r="C98" t="e">
        <f t="shared" si="3"/>
        <v>#N/A</v>
      </c>
      <c r="D98" t="e">
        <f>IF(INDEX( DATOS3!$1:$19996,A98,MATCH("PatientID", DATOS3!$1:$1,0))=0,"",INDEX( DATOS3!$1:$19996,A98,MATCH("PatientID", DATOS3!$1:$1,0)))</f>
        <v>#N/A</v>
      </c>
      <c r="F98" t="e">
        <f>IF(INDEX( DATOS3!$1:$19996,A98,MATCH("SeriesDate", DATOS3!$1:$1,0))=0,"",INDEX( DATOS3!$1:$19996,A98,MATCH("SeriesDate", DATOS3!$1:$1,0)))</f>
        <v>#N/A</v>
      </c>
      <c r="G98" t="e">
        <f>IF(INDEX( DATOS3!$1:$19996,A98,MATCH("SeriesTime", DATOS3!$1:$1,0))=0,"",INDEX( DATOS3!$1:$19996,A98,MATCH("SeriesTime", DATOS3!$1:$1,0)))</f>
        <v>#N/A</v>
      </c>
      <c r="H98" t="e">
        <f>IF(INDEX( DATOS3!$1:$19996,A98,MATCH("StudyDescription", DATOS3!$1:$1,0))=0,"",INDEX( DATOS3!$1:$19996,A98,MATCH("StudyDescription", DATOS3!$1:$1,0)))</f>
        <v>#N/A</v>
      </c>
      <c r="I98" t="e">
        <f>IF(INDEX( DATOS3!$1:$19996,A98,MATCH("Dose_Area_Product_Total", DATOS3!$1:$1,0))=0,0,INDEX( DATOS3!$1:$19996,A98,MATCH("Dose_Area_Product", DATOS3!$1:$1,0)))</f>
        <v>#N/A</v>
      </c>
      <c r="J98" t="e">
        <f>IF(INDEX( DATOS3!$1:$19996,A98,MATCH("Dose_RP_Total", DATOS3!$1:$1,0))=0,0,INDEX( DATOS3!$1:$19996,A98,MATCH("Dose_RP", DATOS3!$1:$1,0)))</f>
        <v>#N/A</v>
      </c>
      <c r="K98" t="e">
        <f>IF(INDEX( DATOS3!$1:$19996,A98,MATCH("Total_Fluoro_Time", DATOS3!$1:$1,0))=0,0,INDEX( DATOS3!$1:$19996,A98,MATCH("Total_Fluoro_Time", DATOS3!$1:$1,0)))</f>
        <v>#N/A</v>
      </c>
    </row>
    <row r="99" spans="1:11" x14ac:dyDescent="0.25">
      <c r="A99">
        <v>99</v>
      </c>
      <c r="B99" t="e">
        <f t="shared" si="2"/>
        <v>#N/A</v>
      </c>
      <c r="C99" t="e">
        <f t="shared" si="3"/>
        <v>#N/A</v>
      </c>
      <c r="D99" t="e">
        <f>IF(INDEX( DATOS3!$1:$19996,A99,MATCH("PatientID", DATOS3!$1:$1,0))=0,"",INDEX( DATOS3!$1:$19996,A99,MATCH("PatientID", DATOS3!$1:$1,0)))</f>
        <v>#N/A</v>
      </c>
      <c r="F99" t="e">
        <f>IF(INDEX( DATOS3!$1:$19996,A99,MATCH("SeriesDate", DATOS3!$1:$1,0))=0,"",INDEX( DATOS3!$1:$19996,A99,MATCH("SeriesDate", DATOS3!$1:$1,0)))</f>
        <v>#N/A</v>
      </c>
      <c r="G99" t="e">
        <f>IF(INDEX( DATOS3!$1:$19996,A99,MATCH("SeriesTime", DATOS3!$1:$1,0))=0,"",INDEX( DATOS3!$1:$19996,A99,MATCH("SeriesTime", DATOS3!$1:$1,0)))</f>
        <v>#N/A</v>
      </c>
      <c r="H99" t="e">
        <f>IF(INDEX( DATOS3!$1:$19996,A99,MATCH("StudyDescription", DATOS3!$1:$1,0))=0,"",INDEX( DATOS3!$1:$19996,A99,MATCH("StudyDescription", DATOS3!$1:$1,0)))</f>
        <v>#N/A</v>
      </c>
      <c r="I99" t="e">
        <f>IF(INDEX( DATOS3!$1:$19996,A99,MATCH("Dose_Area_Product_Total", DATOS3!$1:$1,0))=0,0,INDEX( DATOS3!$1:$19996,A99,MATCH("Dose_Area_Product", DATOS3!$1:$1,0)))</f>
        <v>#N/A</v>
      </c>
      <c r="J99" t="e">
        <f>IF(INDEX( DATOS3!$1:$19996,A99,MATCH("Dose_RP_Total", DATOS3!$1:$1,0))=0,0,INDEX( DATOS3!$1:$19996,A99,MATCH("Dose_RP", DATOS3!$1:$1,0)))</f>
        <v>#N/A</v>
      </c>
      <c r="K99" t="e">
        <f>IF(INDEX( DATOS3!$1:$19996,A99,MATCH("Total_Fluoro_Time", DATOS3!$1:$1,0))=0,0,INDEX( DATOS3!$1:$19996,A99,MATCH("Total_Fluoro_Time", DATOS3!$1:$1,0)))</f>
        <v>#N/A</v>
      </c>
    </row>
    <row r="100" spans="1:11" x14ac:dyDescent="0.25">
      <c r="A100">
        <v>100</v>
      </c>
      <c r="B100" t="e">
        <f t="shared" si="2"/>
        <v>#N/A</v>
      </c>
      <c r="C100" t="e">
        <f t="shared" si="3"/>
        <v>#N/A</v>
      </c>
      <c r="D100" t="e">
        <f>IF(INDEX( DATOS3!$1:$19996,A100,MATCH("PatientID", DATOS3!$1:$1,0))=0,"",INDEX( DATOS3!$1:$19996,A100,MATCH("PatientID", DATOS3!$1:$1,0)))</f>
        <v>#N/A</v>
      </c>
      <c r="F100" t="e">
        <f>IF(INDEX( DATOS3!$1:$19996,A100,MATCH("SeriesDate", DATOS3!$1:$1,0))=0,"",INDEX( DATOS3!$1:$19996,A100,MATCH("SeriesDate", DATOS3!$1:$1,0)))</f>
        <v>#N/A</v>
      </c>
      <c r="G100" t="e">
        <f>IF(INDEX( DATOS3!$1:$19996,A100,MATCH("SeriesTime", DATOS3!$1:$1,0))=0,"",INDEX( DATOS3!$1:$19996,A100,MATCH("SeriesTime", DATOS3!$1:$1,0)))</f>
        <v>#N/A</v>
      </c>
      <c r="H100" t="e">
        <f>IF(INDEX( DATOS3!$1:$19996,A100,MATCH("StudyDescription", DATOS3!$1:$1,0))=0,"",INDEX( DATOS3!$1:$19996,A100,MATCH("StudyDescription", DATOS3!$1:$1,0)))</f>
        <v>#N/A</v>
      </c>
      <c r="I100" t="e">
        <f>IF(INDEX( DATOS3!$1:$19996,A100,MATCH("Dose_Area_Product_Total", DATOS3!$1:$1,0))=0,0,INDEX( DATOS3!$1:$19996,A100,MATCH("Dose_Area_Product", DATOS3!$1:$1,0)))</f>
        <v>#N/A</v>
      </c>
      <c r="J100" t="e">
        <f>IF(INDEX( DATOS3!$1:$19996,A100,MATCH("Dose_RP_Total", DATOS3!$1:$1,0))=0,0,INDEX( DATOS3!$1:$19996,A100,MATCH("Dose_RP", DATOS3!$1:$1,0)))</f>
        <v>#N/A</v>
      </c>
      <c r="K100" t="e">
        <f>IF(INDEX( DATOS3!$1:$19996,A100,MATCH("Total_Fluoro_Time", DATOS3!$1:$1,0))=0,0,INDEX( DATOS3!$1:$19996,A100,MATCH("Total_Fluoro_Time", DATOS3!$1:$1,0)))</f>
        <v>#N/A</v>
      </c>
    </row>
    <row r="101" spans="1:11" x14ac:dyDescent="0.25">
      <c r="A101">
        <v>101</v>
      </c>
      <c r="B101" t="e">
        <f t="shared" si="2"/>
        <v>#N/A</v>
      </c>
      <c r="C101" t="e">
        <f t="shared" si="3"/>
        <v>#N/A</v>
      </c>
      <c r="D101" t="e">
        <f>IF(INDEX( DATOS3!$1:$19996,A101,MATCH("PatientID", DATOS3!$1:$1,0))=0,"",INDEX( DATOS3!$1:$19996,A101,MATCH("PatientID", DATOS3!$1:$1,0)))</f>
        <v>#N/A</v>
      </c>
      <c r="F101" t="e">
        <f>IF(INDEX( DATOS3!$1:$19996,A101,MATCH("SeriesDate", DATOS3!$1:$1,0))=0,"",INDEX( DATOS3!$1:$19996,A101,MATCH("SeriesDate", DATOS3!$1:$1,0)))</f>
        <v>#N/A</v>
      </c>
      <c r="G101" t="e">
        <f>IF(INDEX( DATOS3!$1:$19996,A101,MATCH("SeriesTime", DATOS3!$1:$1,0))=0,"",INDEX( DATOS3!$1:$19996,A101,MATCH("SeriesTime", DATOS3!$1:$1,0)))</f>
        <v>#N/A</v>
      </c>
      <c r="H101" t="e">
        <f>IF(INDEX( DATOS3!$1:$19996,A101,MATCH("StudyDescription", DATOS3!$1:$1,0))=0,"",INDEX( DATOS3!$1:$19996,A101,MATCH("StudyDescription", DATOS3!$1:$1,0)))</f>
        <v>#N/A</v>
      </c>
      <c r="I101" t="e">
        <f>IF(INDEX( DATOS3!$1:$19996,A101,MATCH("Dose_Area_Product_Total", DATOS3!$1:$1,0))=0,0,INDEX( DATOS3!$1:$19996,A101,MATCH("Dose_Area_Product", DATOS3!$1:$1,0)))</f>
        <v>#N/A</v>
      </c>
      <c r="J101" t="e">
        <f>IF(INDEX( DATOS3!$1:$19996,A101,MATCH("Dose_RP_Total", DATOS3!$1:$1,0))=0,0,INDEX( DATOS3!$1:$19996,A101,MATCH("Dose_RP", DATOS3!$1:$1,0)))</f>
        <v>#N/A</v>
      </c>
      <c r="K101" t="e">
        <f>IF(INDEX( DATOS3!$1:$19996,A101,MATCH("Total_Fluoro_Time", DATOS3!$1:$1,0))=0,0,INDEX( DATOS3!$1:$19996,A101,MATCH("Total_Fluoro_Time", DATOS3!$1:$1,0)))</f>
        <v>#N/A</v>
      </c>
    </row>
    <row r="102" spans="1:11" x14ac:dyDescent="0.25">
      <c r="A102">
        <v>102</v>
      </c>
      <c r="B102" t="e">
        <f t="shared" si="2"/>
        <v>#N/A</v>
      </c>
      <c r="C102" t="e">
        <f t="shared" si="3"/>
        <v>#N/A</v>
      </c>
      <c r="D102" t="e">
        <f>IF(INDEX( DATOS3!$1:$19996,A102,MATCH("PatientID", DATOS3!$1:$1,0))=0,"",INDEX( DATOS3!$1:$19996,A102,MATCH("PatientID", DATOS3!$1:$1,0)))</f>
        <v>#N/A</v>
      </c>
      <c r="F102" t="e">
        <f>IF(INDEX( DATOS3!$1:$19996,A102,MATCH("SeriesDate", DATOS3!$1:$1,0))=0,"",INDEX( DATOS3!$1:$19996,A102,MATCH("SeriesDate", DATOS3!$1:$1,0)))</f>
        <v>#N/A</v>
      </c>
      <c r="G102" t="e">
        <f>IF(INDEX( DATOS3!$1:$19996,A102,MATCH("SeriesTime", DATOS3!$1:$1,0))=0,"",INDEX( DATOS3!$1:$19996,A102,MATCH("SeriesTime", DATOS3!$1:$1,0)))</f>
        <v>#N/A</v>
      </c>
      <c r="H102" t="e">
        <f>IF(INDEX( DATOS3!$1:$19996,A102,MATCH("StudyDescription", DATOS3!$1:$1,0))=0,"",INDEX( DATOS3!$1:$19996,A102,MATCH("StudyDescription", DATOS3!$1:$1,0)))</f>
        <v>#N/A</v>
      </c>
      <c r="I102" t="e">
        <f>IF(INDEX( DATOS3!$1:$19996,A102,MATCH("Dose_Area_Product_Total", DATOS3!$1:$1,0))=0,0,INDEX( DATOS3!$1:$19996,A102,MATCH("Dose_Area_Product", DATOS3!$1:$1,0)))</f>
        <v>#N/A</v>
      </c>
      <c r="J102" t="e">
        <f>IF(INDEX( DATOS3!$1:$19996,A102,MATCH("Dose_RP_Total", DATOS3!$1:$1,0))=0,0,INDEX( DATOS3!$1:$19996,A102,MATCH("Dose_RP", DATOS3!$1:$1,0)))</f>
        <v>#N/A</v>
      </c>
      <c r="K102" t="e">
        <f>IF(INDEX( DATOS3!$1:$19996,A102,MATCH("Total_Fluoro_Time", DATOS3!$1:$1,0))=0,0,INDEX( DATOS3!$1:$19996,A102,MATCH("Total_Fluoro_Time", DATOS3!$1:$1,0)))</f>
        <v>#N/A</v>
      </c>
    </row>
    <row r="103" spans="1:11" x14ac:dyDescent="0.25">
      <c r="A103">
        <v>103</v>
      </c>
      <c r="B103" t="e">
        <f t="shared" si="2"/>
        <v>#N/A</v>
      </c>
      <c r="C103" t="e">
        <f t="shared" si="3"/>
        <v>#N/A</v>
      </c>
      <c r="D103" t="e">
        <f>IF(INDEX( DATOS3!$1:$19996,A103,MATCH("PatientID", DATOS3!$1:$1,0))=0,"",INDEX( DATOS3!$1:$19996,A103,MATCH("PatientID", DATOS3!$1:$1,0)))</f>
        <v>#N/A</v>
      </c>
      <c r="F103" t="e">
        <f>IF(INDEX( DATOS3!$1:$19996,A103,MATCH("SeriesDate", DATOS3!$1:$1,0))=0,"",INDEX( DATOS3!$1:$19996,A103,MATCH("SeriesDate", DATOS3!$1:$1,0)))</f>
        <v>#N/A</v>
      </c>
      <c r="G103" t="e">
        <f>IF(INDEX( DATOS3!$1:$19996,A103,MATCH("SeriesTime", DATOS3!$1:$1,0))=0,"",INDEX( DATOS3!$1:$19996,A103,MATCH("SeriesTime", DATOS3!$1:$1,0)))</f>
        <v>#N/A</v>
      </c>
      <c r="H103" t="e">
        <f>IF(INDEX( DATOS3!$1:$19996,A103,MATCH("StudyDescription", DATOS3!$1:$1,0))=0,"",INDEX( DATOS3!$1:$19996,A103,MATCH("StudyDescription", DATOS3!$1:$1,0)))</f>
        <v>#N/A</v>
      </c>
      <c r="I103" t="e">
        <f>IF(INDEX( DATOS3!$1:$19996,A103,MATCH("Dose_Area_Product_Total", DATOS3!$1:$1,0))=0,0,INDEX( DATOS3!$1:$19996,A103,MATCH("Dose_Area_Product", DATOS3!$1:$1,0)))</f>
        <v>#N/A</v>
      </c>
      <c r="J103" t="e">
        <f>IF(INDEX( DATOS3!$1:$19996,A103,MATCH("Dose_RP_Total", DATOS3!$1:$1,0))=0,0,INDEX( DATOS3!$1:$19996,A103,MATCH("Dose_RP", DATOS3!$1:$1,0)))</f>
        <v>#N/A</v>
      </c>
      <c r="K103" t="e">
        <f>IF(INDEX( DATOS3!$1:$19996,A103,MATCH("Total_Fluoro_Time", DATOS3!$1:$1,0))=0,0,INDEX( DATOS3!$1:$19996,A103,MATCH("Total_Fluoro_Time", DATOS3!$1:$1,0)))</f>
        <v>#N/A</v>
      </c>
    </row>
    <row r="104" spans="1:11" x14ac:dyDescent="0.25">
      <c r="A104">
        <v>104</v>
      </c>
      <c r="B104" t="e">
        <f t="shared" si="2"/>
        <v>#N/A</v>
      </c>
      <c r="C104" t="e">
        <f t="shared" si="3"/>
        <v>#N/A</v>
      </c>
      <c r="D104" t="e">
        <f>IF(INDEX( DATOS3!$1:$19996,A104,MATCH("PatientID", DATOS3!$1:$1,0))=0,"",INDEX( DATOS3!$1:$19996,A104,MATCH("PatientID", DATOS3!$1:$1,0)))</f>
        <v>#N/A</v>
      </c>
      <c r="F104" t="e">
        <f>IF(INDEX( DATOS3!$1:$19996,A104,MATCH("SeriesDate", DATOS3!$1:$1,0))=0,"",INDEX( DATOS3!$1:$19996,A104,MATCH("SeriesDate", DATOS3!$1:$1,0)))</f>
        <v>#N/A</v>
      </c>
      <c r="G104" t="e">
        <f>IF(INDEX( DATOS3!$1:$19996,A104,MATCH("SeriesTime", DATOS3!$1:$1,0))=0,"",INDEX( DATOS3!$1:$19996,A104,MATCH("SeriesTime", DATOS3!$1:$1,0)))</f>
        <v>#N/A</v>
      </c>
      <c r="H104" t="e">
        <f>IF(INDEX( DATOS3!$1:$19996,A104,MATCH("StudyDescription", DATOS3!$1:$1,0))=0,"",INDEX( DATOS3!$1:$19996,A104,MATCH("StudyDescription", DATOS3!$1:$1,0)))</f>
        <v>#N/A</v>
      </c>
      <c r="I104" t="e">
        <f>IF(INDEX( DATOS3!$1:$19996,A104,MATCH("Dose_Area_Product_Total", DATOS3!$1:$1,0))=0,0,INDEX( DATOS3!$1:$19996,A104,MATCH("Dose_Area_Product", DATOS3!$1:$1,0)))</f>
        <v>#N/A</v>
      </c>
      <c r="J104" t="e">
        <f>IF(INDEX( DATOS3!$1:$19996,A104,MATCH("Dose_RP_Total", DATOS3!$1:$1,0))=0,0,INDEX( DATOS3!$1:$19996,A104,MATCH("Dose_RP", DATOS3!$1:$1,0)))</f>
        <v>#N/A</v>
      </c>
      <c r="K104" t="e">
        <f>IF(INDEX( DATOS3!$1:$19996,A104,MATCH("Total_Fluoro_Time", DATOS3!$1:$1,0))=0,0,INDEX( DATOS3!$1:$19996,A104,MATCH("Total_Fluoro_Time", DATOS3!$1:$1,0)))</f>
        <v>#N/A</v>
      </c>
    </row>
    <row r="105" spans="1:11" x14ac:dyDescent="0.25">
      <c r="A105">
        <v>105</v>
      </c>
      <c r="B105" t="e">
        <f t="shared" si="2"/>
        <v>#N/A</v>
      </c>
      <c r="C105" t="e">
        <f t="shared" si="3"/>
        <v>#N/A</v>
      </c>
      <c r="D105" t="e">
        <f>IF(INDEX( DATOS3!$1:$19996,A105,MATCH("PatientID", DATOS3!$1:$1,0))=0,"",INDEX( DATOS3!$1:$19996,A105,MATCH("PatientID", DATOS3!$1:$1,0)))</f>
        <v>#N/A</v>
      </c>
      <c r="F105" t="e">
        <f>IF(INDEX( DATOS3!$1:$19996,A105,MATCH("SeriesDate", DATOS3!$1:$1,0))=0,"",INDEX( DATOS3!$1:$19996,A105,MATCH("SeriesDate", DATOS3!$1:$1,0)))</f>
        <v>#N/A</v>
      </c>
      <c r="G105" t="e">
        <f>IF(INDEX( DATOS3!$1:$19996,A105,MATCH("SeriesTime", DATOS3!$1:$1,0))=0,"",INDEX( DATOS3!$1:$19996,A105,MATCH("SeriesTime", DATOS3!$1:$1,0)))</f>
        <v>#N/A</v>
      </c>
      <c r="H105" t="e">
        <f>IF(INDEX( DATOS3!$1:$19996,A105,MATCH("StudyDescription", DATOS3!$1:$1,0))=0,"",INDEX( DATOS3!$1:$19996,A105,MATCH("StudyDescription", DATOS3!$1:$1,0)))</f>
        <v>#N/A</v>
      </c>
      <c r="I105" t="e">
        <f>IF(INDEX( DATOS3!$1:$19996,A105,MATCH("Dose_Area_Product_Total", DATOS3!$1:$1,0))=0,0,INDEX( DATOS3!$1:$19996,A105,MATCH("Dose_Area_Product", DATOS3!$1:$1,0)))</f>
        <v>#N/A</v>
      </c>
      <c r="J105" t="e">
        <f>IF(INDEX( DATOS3!$1:$19996,A105,MATCH("Dose_RP_Total", DATOS3!$1:$1,0))=0,0,INDEX( DATOS3!$1:$19996,A105,MATCH("Dose_RP", DATOS3!$1:$1,0)))</f>
        <v>#N/A</v>
      </c>
      <c r="K105" t="e">
        <f>IF(INDEX( DATOS3!$1:$19996,A105,MATCH("Total_Fluoro_Time", DATOS3!$1:$1,0))=0,0,INDEX( DATOS3!$1:$19996,A105,MATCH("Total_Fluoro_Time", DATOS3!$1:$1,0)))</f>
        <v>#N/A</v>
      </c>
    </row>
    <row r="106" spans="1:11" x14ac:dyDescent="0.25">
      <c r="A106">
        <v>106</v>
      </c>
      <c r="B106" t="e">
        <f t="shared" si="2"/>
        <v>#N/A</v>
      </c>
      <c r="C106" t="e">
        <f t="shared" si="3"/>
        <v>#N/A</v>
      </c>
      <c r="D106" t="e">
        <f>IF(INDEX( DATOS3!$1:$19996,A106,MATCH("PatientID", DATOS3!$1:$1,0))=0,"",INDEX( DATOS3!$1:$19996,A106,MATCH("PatientID", DATOS3!$1:$1,0)))</f>
        <v>#N/A</v>
      </c>
      <c r="F106" t="e">
        <f>IF(INDEX( DATOS3!$1:$19996,A106,MATCH("SeriesDate", DATOS3!$1:$1,0))=0,"",INDEX( DATOS3!$1:$19996,A106,MATCH("SeriesDate", DATOS3!$1:$1,0)))</f>
        <v>#N/A</v>
      </c>
      <c r="G106" t="e">
        <f>IF(INDEX( DATOS3!$1:$19996,A106,MATCH("SeriesTime", DATOS3!$1:$1,0))=0,"",INDEX( DATOS3!$1:$19996,A106,MATCH("SeriesTime", DATOS3!$1:$1,0)))</f>
        <v>#N/A</v>
      </c>
      <c r="H106" t="e">
        <f>IF(INDEX( DATOS3!$1:$19996,A106,MATCH("StudyDescription", DATOS3!$1:$1,0))=0,"",INDEX( DATOS3!$1:$19996,A106,MATCH("StudyDescription", DATOS3!$1:$1,0)))</f>
        <v>#N/A</v>
      </c>
      <c r="I106" t="e">
        <f>IF(INDEX( DATOS3!$1:$19996,A106,MATCH("Dose_Area_Product_Total", DATOS3!$1:$1,0))=0,0,INDEX( DATOS3!$1:$19996,A106,MATCH("Dose_Area_Product", DATOS3!$1:$1,0)))</f>
        <v>#N/A</v>
      </c>
      <c r="J106" t="e">
        <f>IF(INDEX( DATOS3!$1:$19996,A106,MATCH("Dose_RP_Total", DATOS3!$1:$1,0))=0,0,INDEX( DATOS3!$1:$19996,A106,MATCH("Dose_RP", DATOS3!$1:$1,0)))</f>
        <v>#N/A</v>
      </c>
      <c r="K106" t="e">
        <f>IF(INDEX( DATOS3!$1:$19996,A106,MATCH("Total_Fluoro_Time", DATOS3!$1:$1,0))=0,0,INDEX( DATOS3!$1:$19996,A106,MATCH("Total_Fluoro_Time", DATOS3!$1:$1,0)))</f>
        <v>#N/A</v>
      </c>
    </row>
    <row r="107" spans="1:11" x14ac:dyDescent="0.25">
      <c r="A107">
        <v>107</v>
      </c>
      <c r="B107" t="e">
        <f t="shared" si="2"/>
        <v>#N/A</v>
      </c>
      <c r="C107" t="e">
        <f t="shared" si="3"/>
        <v>#N/A</v>
      </c>
      <c r="D107" t="e">
        <f>IF(INDEX( DATOS3!$1:$19996,A107,MATCH("PatientID", DATOS3!$1:$1,0))=0,"",INDEX( DATOS3!$1:$19996,A107,MATCH("PatientID", DATOS3!$1:$1,0)))</f>
        <v>#N/A</v>
      </c>
      <c r="F107" t="e">
        <f>IF(INDEX( DATOS3!$1:$19996,A107,MATCH("SeriesDate", DATOS3!$1:$1,0))=0,"",INDEX( DATOS3!$1:$19996,A107,MATCH("SeriesDate", DATOS3!$1:$1,0)))</f>
        <v>#N/A</v>
      </c>
      <c r="G107" t="e">
        <f>IF(INDEX( DATOS3!$1:$19996,A107,MATCH("SeriesTime", DATOS3!$1:$1,0))=0,"",INDEX( DATOS3!$1:$19996,A107,MATCH("SeriesTime", DATOS3!$1:$1,0)))</f>
        <v>#N/A</v>
      </c>
      <c r="H107" t="e">
        <f>IF(INDEX( DATOS3!$1:$19996,A107,MATCH("StudyDescription", DATOS3!$1:$1,0))=0,"",INDEX( DATOS3!$1:$19996,A107,MATCH("StudyDescription", DATOS3!$1:$1,0)))</f>
        <v>#N/A</v>
      </c>
      <c r="I107" t="e">
        <f>IF(INDEX( DATOS3!$1:$19996,A107,MATCH("Dose_Area_Product_Total", DATOS3!$1:$1,0))=0,0,INDEX( DATOS3!$1:$19996,A107,MATCH("Dose_Area_Product", DATOS3!$1:$1,0)))</f>
        <v>#N/A</v>
      </c>
      <c r="J107" t="e">
        <f>IF(INDEX( DATOS3!$1:$19996,A107,MATCH("Dose_RP_Total", DATOS3!$1:$1,0))=0,0,INDEX( DATOS3!$1:$19996,A107,MATCH("Dose_RP", DATOS3!$1:$1,0)))</f>
        <v>#N/A</v>
      </c>
      <c r="K107" t="e">
        <f>IF(INDEX( DATOS3!$1:$19996,A107,MATCH("Total_Fluoro_Time", DATOS3!$1:$1,0))=0,0,INDEX( DATOS3!$1:$19996,A107,MATCH("Total_Fluoro_Time", DATOS3!$1:$1,0)))</f>
        <v>#N/A</v>
      </c>
    </row>
    <row r="108" spans="1:11" x14ac:dyDescent="0.25">
      <c r="A108">
        <v>108</v>
      </c>
      <c r="B108" t="e">
        <f t="shared" si="2"/>
        <v>#N/A</v>
      </c>
      <c r="C108" t="e">
        <f t="shared" si="3"/>
        <v>#N/A</v>
      </c>
      <c r="D108" t="e">
        <f>IF(INDEX( DATOS3!$1:$19996,A108,MATCH("PatientID", DATOS3!$1:$1,0))=0,"",INDEX( DATOS3!$1:$19996,A108,MATCH("PatientID", DATOS3!$1:$1,0)))</f>
        <v>#N/A</v>
      </c>
      <c r="F108" t="e">
        <f>IF(INDEX( DATOS3!$1:$19996,A108,MATCH("SeriesDate", DATOS3!$1:$1,0))=0,"",INDEX( DATOS3!$1:$19996,A108,MATCH("SeriesDate", DATOS3!$1:$1,0)))</f>
        <v>#N/A</v>
      </c>
      <c r="G108" t="e">
        <f>IF(INDEX( DATOS3!$1:$19996,A108,MATCH("SeriesTime", DATOS3!$1:$1,0))=0,"",INDEX( DATOS3!$1:$19996,A108,MATCH("SeriesTime", DATOS3!$1:$1,0)))</f>
        <v>#N/A</v>
      </c>
      <c r="H108" t="e">
        <f>IF(INDEX( DATOS3!$1:$19996,A108,MATCH("StudyDescription", DATOS3!$1:$1,0))=0,"",INDEX( DATOS3!$1:$19996,A108,MATCH("StudyDescription", DATOS3!$1:$1,0)))</f>
        <v>#N/A</v>
      </c>
      <c r="I108" t="e">
        <f>IF(INDEX( DATOS3!$1:$19996,A108,MATCH("Dose_Area_Product_Total", DATOS3!$1:$1,0))=0,0,INDEX( DATOS3!$1:$19996,A108,MATCH("Dose_Area_Product", DATOS3!$1:$1,0)))</f>
        <v>#N/A</v>
      </c>
      <c r="J108" t="e">
        <f>IF(INDEX( DATOS3!$1:$19996,A108,MATCH("Dose_RP_Total", DATOS3!$1:$1,0))=0,0,INDEX( DATOS3!$1:$19996,A108,MATCH("Dose_RP", DATOS3!$1:$1,0)))</f>
        <v>#N/A</v>
      </c>
      <c r="K108" t="e">
        <f>IF(INDEX( DATOS3!$1:$19996,A108,MATCH("Total_Fluoro_Time", DATOS3!$1:$1,0))=0,0,INDEX( DATOS3!$1:$19996,A108,MATCH("Total_Fluoro_Time", DATOS3!$1:$1,0)))</f>
        <v>#N/A</v>
      </c>
    </row>
    <row r="109" spans="1:11" x14ac:dyDescent="0.25">
      <c r="A109">
        <v>109</v>
      </c>
      <c r="B109" t="e">
        <f t="shared" si="2"/>
        <v>#N/A</v>
      </c>
      <c r="C109" t="e">
        <f t="shared" si="3"/>
        <v>#N/A</v>
      </c>
      <c r="D109" t="e">
        <f>IF(INDEX( DATOS3!$1:$19996,A109,MATCH("PatientID", DATOS3!$1:$1,0))=0,"",INDEX( DATOS3!$1:$19996,A109,MATCH("PatientID", DATOS3!$1:$1,0)))</f>
        <v>#N/A</v>
      </c>
      <c r="F109" t="e">
        <f>IF(INDEX( DATOS3!$1:$19996,A109,MATCH("SeriesDate", DATOS3!$1:$1,0))=0,"",INDEX( DATOS3!$1:$19996,A109,MATCH("SeriesDate", DATOS3!$1:$1,0)))</f>
        <v>#N/A</v>
      </c>
      <c r="G109" t="e">
        <f>IF(INDEX( DATOS3!$1:$19996,A109,MATCH("SeriesTime", DATOS3!$1:$1,0))=0,"",INDEX( DATOS3!$1:$19996,A109,MATCH("SeriesTime", DATOS3!$1:$1,0)))</f>
        <v>#N/A</v>
      </c>
      <c r="H109" t="e">
        <f>IF(INDEX( DATOS3!$1:$19996,A109,MATCH("StudyDescription", DATOS3!$1:$1,0))=0,"",INDEX( DATOS3!$1:$19996,A109,MATCH("StudyDescription", DATOS3!$1:$1,0)))</f>
        <v>#N/A</v>
      </c>
      <c r="I109" t="e">
        <f>IF(INDEX( DATOS3!$1:$19996,A109,MATCH("Dose_Area_Product_Total", DATOS3!$1:$1,0))=0,0,INDEX( DATOS3!$1:$19996,A109,MATCH("Dose_Area_Product", DATOS3!$1:$1,0)))</f>
        <v>#N/A</v>
      </c>
      <c r="J109" t="e">
        <f>IF(INDEX( DATOS3!$1:$19996,A109,MATCH("Dose_RP_Total", DATOS3!$1:$1,0))=0,0,INDEX( DATOS3!$1:$19996,A109,MATCH("Dose_RP", DATOS3!$1:$1,0)))</f>
        <v>#N/A</v>
      </c>
      <c r="K109" t="e">
        <f>IF(INDEX( DATOS3!$1:$19996,A109,MATCH("Total_Fluoro_Time", DATOS3!$1:$1,0))=0,0,INDEX( DATOS3!$1:$19996,A109,MATCH("Total_Fluoro_Time", DATOS3!$1:$1,0)))</f>
        <v>#N/A</v>
      </c>
    </row>
    <row r="110" spans="1:11" x14ac:dyDescent="0.25">
      <c r="A110">
        <v>110</v>
      </c>
      <c r="B110" t="e">
        <f t="shared" si="2"/>
        <v>#N/A</v>
      </c>
      <c r="C110" t="e">
        <f t="shared" si="3"/>
        <v>#N/A</v>
      </c>
      <c r="D110" t="e">
        <f>IF(INDEX( DATOS3!$1:$19996,A110,MATCH("PatientID", DATOS3!$1:$1,0))=0,"",INDEX( DATOS3!$1:$19996,A110,MATCH("PatientID", DATOS3!$1:$1,0)))</f>
        <v>#N/A</v>
      </c>
      <c r="F110" t="e">
        <f>IF(INDEX( DATOS3!$1:$19996,A110,MATCH("SeriesDate", DATOS3!$1:$1,0))=0,"",INDEX( DATOS3!$1:$19996,A110,MATCH("SeriesDate", DATOS3!$1:$1,0)))</f>
        <v>#N/A</v>
      </c>
      <c r="G110" t="e">
        <f>IF(INDEX( DATOS3!$1:$19996,A110,MATCH("SeriesTime", DATOS3!$1:$1,0))=0,"",INDEX( DATOS3!$1:$19996,A110,MATCH("SeriesTime", DATOS3!$1:$1,0)))</f>
        <v>#N/A</v>
      </c>
      <c r="H110" t="e">
        <f>IF(INDEX( DATOS3!$1:$19996,A110,MATCH("StudyDescription", DATOS3!$1:$1,0))=0,"",INDEX( DATOS3!$1:$19996,A110,MATCH("StudyDescription", DATOS3!$1:$1,0)))</f>
        <v>#N/A</v>
      </c>
      <c r="I110" t="e">
        <f>IF(INDEX( DATOS3!$1:$19996,A110,MATCH("Dose_Area_Product_Total", DATOS3!$1:$1,0))=0,0,INDEX( DATOS3!$1:$19996,A110,MATCH("Dose_Area_Product", DATOS3!$1:$1,0)))</f>
        <v>#N/A</v>
      </c>
      <c r="J110" t="e">
        <f>IF(INDEX( DATOS3!$1:$19996,A110,MATCH("Dose_RP_Total", DATOS3!$1:$1,0))=0,0,INDEX( DATOS3!$1:$19996,A110,MATCH("Dose_RP", DATOS3!$1:$1,0)))</f>
        <v>#N/A</v>
      </c>
      <c r="K110" t="e">
        <f>IF(INDEX( DATOS3!$1:$19996,A110,MATCH("Total_Fluoro_Time", DATOS3!$1:$1,0))=0,0,INDEX( DATOS3!$1:$19996,A110,MATCH("Total_Fluoro_Time", DATOS3!$1:$1,0)))</f>
        <v>#N/A</v>
      </c>
    </row>
    <row r="111" spans="1:11" x14ac:dyDescent="0.25">
      <c r="A111">
        <v>111</v>
      </c>
      <c r="B111" t="e">
        <f t="shared" si="2"/>
        <v>#N/A</v>
      </c>
      <c r="C111" t="e">
        <f t="shared" si="3"/>
        <v>#N/A</v>
      </c>
      <c r="D111" t="e">
        <f>IF(INDEX( DATOS3!$1:$19996,A111,MATCH("PatientID", DATOS3!$1:$1,0))=0,"",INDEX( DATOS3!$1:$19996,A111,MATCH("PatientID", DATOS3!$1:$1,0)))</f>
        <v>#N/A</v>
      </c>
      <c r="F111" t="e">
        <f>IF(INDEX( DATOS3!$1:$19996,A111,MATCH("SeriesDate", DATOS3!$1:$1,0))=0,"",INDEX( DATOS3!$1:$19996,A111,MATCH("SeriesDate", DATOS3!$1:$1,0)))</f>
        <v>#N/A</v>
      </c>
      <c r="G111" t="e">
        <f>IF(INDEX( DATOS3!$1:$19996,A111,MATCH("SeriesTime", DATOS3!$1:$1,0))=0,"",INDEX( DATOS3!$1:$19996,A111,MATCH("SeriesTime", DATOS3!$1:$1,0)))</f>
        <v>#N/A</v>
      </c>
      <c r="H111" t="e">
        <f>IF(INDEX( DATOS3!$1:$19996,A111,MATCH("StudyDescription", DATOS3!$1:$1,0))=0,"",INDEX( DATOS3!$1:$19996,A111,MATCH("StudyDescription", DATOS3!$1:$1,0)))</f>
        <v>#N/A</v>
      </c>
      <c r="I111" t="e">
        <f>IF(INDEX( DATOS3!$1:$19996,A111,MATCH("Dose_Area_Product_Total", DATOS3!$1:$1,0))=0,0,INDEX( DATOS3!$1:$19996,A111,MATCH("Dose_Area_Product", DATOS3!$1:$1,0)))</f>
        <v>#N/A</v>
      </c>
      <c r="J111" t="e">
        <f>IF(INDEX( DATOS3!$1:$19996,A111,MATCH("Dose_RP_Total", DATOS3!$1:$1,0))=0,0,INDEX( DATOS3!$1:$19996,A111,MATCH("Dose_RP", DATOS3!$1:$1,0)))</f>
        <v>#N/A</v>
      </c>
      <c r="K111" t="e">
        <f>IF(INDEX( DATOS3!$1:$19996,A111,MATCH("Total_Fluoro_Time", DATOS3!$1:$1,0))=0,0,INDEX( DATOS3!$1:$19996,A111,MATCH("Total_Fluoro_Time", DATOS3!$1:$1,0)))</f>
        <v>#N/A</v>
      </c>
    </row>
    <row r="112" spans="1:11" x14ac:dyDescent="0.25">
      <c r="A112">
        <v>112</v>
      </c>
      <c r="B112" t="e">
        <f t="shared" si="2"/>
        <v>#N/A</v>
      </c>
      <c r="C112" t="e">
        <f t="shared" si="3"/>
        <v>#N/A</v>
      </c>
      <c r="D112" t="e">
        <f>IF(INDEX( DATOS3!$1:$19996,A112,MATCH("PatientID", DATOS3!$1:$1,0))=0,"",INDEX( DATOS3!$1:$19996,A112,MATCH("PatientID", DATOS3!$1:$1,0)))</f>
        <v>#N/A</v>
      </c>
      <c r="F112" t="e">
        <f>IF(INDEX( DATOS3!$1:$19996,A112,MATCH("SeriesDate", DATOS3!$1:$1,0))=0,"",INDEX( DATOS3!$1:$19996,A112,MATCH("SeriesDate", DATOS3!$1:$1,0)))</f>
        <v>#N/A</v>
      </c>
      <c r="G112" t="e">
        <f>IF(INDEX( DATOS3!$1:$19996,A112,MATCH("SeriesTime", DATOS3!$1:$1,0))=0,"",INDEX( DATOS3!$1:$19996,A112,MATCH("SeriesTime", DATOS3!$1:$1,0)))</f>
        <v>#N/A</v>
      </c>
      <c r="H112" t="e">
        <f>IF(INDEX( DATOS3!$1:$19996,A112,MATCH("StudyDescription", DATOS3!$1:$1,0))=0,"",INDEX( DATOS3!$1:$19996,A112,MATCH("StudyDescription", DATOS3!$1:$1,0)))</f>
        <v>#N/A</v>
      </c>
      <c r="I112" t="e">
        <f>IF(INDEX( DATOS3!$1:$19996,A112,MATCH("Dose_Area_Product_Total", DATOS3!$1:$1,0))=0,0,INDEX( DATOS3!$1:$19996,A112,MATCH("Dose_Area_Product", DATOS3!$1:$1,0)))</f>
        <v>#N/A</v>
      </c>
      <c r="J112" t="e">
        <f>IF(INDEX( DATOS3!$1:$19996,A112,MATCH("Dose_RP_Total", DATOS3!$1:$1,0))=0,0,INDEX( DATOS3!$1:$19996,A112,MATCH("Dose_RP", DATOS3!$1:$1,0)))</f>
        <v>#N/A</v>
      </c>
      <c r="K112" t="e">
        <f>IF(INDEX( DATOS3!$1:$19996,A112,MATCH("Total_Fluoro_Time", DATOS3!$1:$1,0))=0,0,INDEX( DATOS3!$1:$19996,A112,MATCH("Total_Fluoro_Time", DATOS3!$1:$1,0)))</f>
        <v>#N/A</v>
      </c>
    </row>
    <row r="113" spans="1:11" x14ac:dyDescent="0.25">
      <c r="A113">
        <v>113</v>
      </c>
      <c r="B113" t="e">
        <f t="shared" si="2"/>
        <v>#N/A</v>
      </c>
      <c r="C113" t="e">
        <f t="shared" si="3"/>
        <v>#N/A</v>
      </c>
      <c r="D113" t="e">
        <f>IF(INDEX( DATOS3!$1:$19996,A113,MATCH("PatientID", DATOS3!$1:$1,0))=0,"",INDEX( DATOS3!$1:$19996,A113,MATCH("PatientID", DATOS3!$1:$1,0)))</f>
        <v>#N/A</v>
      </c>
      <c r="F113" t="e">
        <f>IF(INDEX( DATOS3!$1:$19996,A113,MATCH("SeriesDate", DATOS3!$1:$1,0))=0,"",INDEX( DATOS3!$1:$19996,A113,MATCH("SeriesDate", DATOS3!$1:$1,0)))</f>
        <v>#N/A</v>
      </c>
      <c r="G113" t="e">
        <f>IF(INDEX( DATOS3!$1:$19996,A113,MATCH("SeriesTime", DATOS3!$1:$1,0))=0,"",INDEX( DATOS3!$1:$19996,A113,MATCH("SeriesTime", DATOS3!$1:$1,0)))</f>
        <v>#N/A</v>
      </c>
      <c r="H113" t="e">
        <f>IF(INDEX( DATOS3!$1:$19996,A113,MATCH("StudyDescription", DATOS3!$1:$1,0))=0,"",INDEX( DATOS3!$1:$19996,A113,MATCH("StudyDescription", DATOS3!$1:$1,0)))</f>
        <v>#N/A</v>
      </c>
      <c r="I113" t="e">
        <f>IF(INDEX( DATOS3!$1:$19996,A113,MATCH("Dose_Area_Product_Total", DATOS3!$1:$1,0))=0,0,INDEX( DATOS3!$1:$19996,A113,MATCH("Dose_Area_Product", DATOS3!$1:$1,0)))</f>
        <v>#N/A</v>
      </c>
      <c r="J113" t="e">
        <f>IF(INDEX( DATOS3!$1:$19996,A113,MATCH("Dose_RP_Total", DATOS3!$1:$1,0))=0,0,INDEX( DATOS3!$1:$19996,A113,MATCH("Dose_RP", DATOS3!$1:$1,0)))</f>
        <v>#N/A</v>
      </c>
      <c r="K113" t="e">
        <f>IF(INDEX( DATOS3!$1:$19996,A113,MATCH("Total_Fluoro_Time", DATOS3!$1:$1,0))=0,0,INDEX( DATOS3!$1:$19996,A113,MATCH("Total_Fluoro_Time", DATOS3!$1:$1,0)))</f>
        <v>#N/A</v>
      </c>
    </row>
    <row r="114" spans="1:11" x14ac:dyDescent="0.25">
      <c r="A114">
        <v>114</v>
      </c>
      <c r="B114" t="e">
        <f t="shared" si="2"/>
        <v>#N/A</v>
      </c>
      <c r="C114" t="e">
        <f t="shared" si="3"/>
        <v>#N/A</v>
      </c>
      <c r="D114" t="e">
        <f>IF(INDEX( DATOS3!$1:$19996,A114,MATCH("PatientID", DATOS3!$1:$1,0))=0,"",INDEX( DATOS3!$1:$19996,A114,MATCH("PatientID", DATOS3!$1:$1,0)))</f>
        <v>#N/A</v>
      </c>
      <c r="F114" t="e">
        <f>IF(INDEX( DATOS3!$1:$19996,A114,MATCH("SeriesDate", DATOS3!$1:$1,0))=0,"",INDEX( DATOS3!$1:$19996,A114,MATCH("SeriesDate", DATOS3!$1:$1,0)))</f>
        <v>#N/A</v>
      </c>
      <c r="G114" t="e">
        <f>IF(INDEX( DATOS3!$1:$19996,A114,MATCH("SeriesTime", DATOS3!$1:$1,0))=0,"",INDEX( DATOS3!$1:$19996,A114,MATCH("SeriesTime", DATOS3!$1:$1,0)))</f>
        <v>#N/A</v>
      </c>
      <c r="H114" t="e">
        <f>IF(INDEX( DATOS3!$1:$19996,A114,MATCH("StudyDescription", DATOS3!$1:$1,0))=0,"",INDEX( DATOS3!$1:$19996,A114,MATCH("StudyDescription", DATOS3!$1:$1,0)))</f>
        <v>#N/A</v>
      </c>
      <c r="I114" t="e">
        <f>IF(INDEX( DATOS3!$1:$19996,A114,MATCH("Dose_Area_Product_Total", DATOS3!$1:$1,0))=0,0,INDEX( DATOS3!$1:$19996,A114,MATCH("Dose_Area_Product", DATOS3!$1:$1,0)))</f>
        <v>#N/A</v>
      </c>
      <c r="J114" t="e">
        <f>IF(INDEX( DATOS3!$1:$19996,A114,MATCH("Dose_RP_Total", DATOS3!$1:$1,0))=0,0,INDEX( DATOS3!$1:$19996,A114,MATCH("Dose_RP", DATOS3!$1:$1,0)))</f>
        <v>#N/A</v>
      </c>
      <c r="K114" t="e">
        <f>IF(INDEX( DATOS3!$1:$19996,A114,MATCH("Total_Fluoro_Time", DATOS3!$1:$1,0))=0,0,INDEX( DATOS3!$1:$19996,A114,MATCH("Total_Fluoro_Time", DATOS3!$1:$1,0)))</f>
        <v>#N/A</v>
      </c>
    </row>
    <row r="115" spans="1:11" x14ac:dyDescent="0.25">
      <c r="A115">
        <v>115</v>
      </c>
      <c r="B115" t="e">
        <f t="shared" si="2"/>
        <v>#N/A</v>
      </c>
      <c r="C115" t="e">
        <f t="shared" si="3"/>
        <v>#N/A</v>
      </c>
      <c r="D115" t="e">
        <f>IF(INDEX( DATOS3!$1:$19996,A115,MATCH("PatientID", DATOS3!$1:$1,0))=0,"",INDEX( DATOS3!$1:$19996,A115,MATCH("PatientID", DATOS3!$1:$1,0)))</f>
        <v>#N/A</v>
      </c>
      <c r="F115" t="e">
        <f>IF(INDEX( DATOS3!$1:$19996,A115,MATCH("SeriesDate", DATOS3!$1:$1,0))=0,"",INDEX( DATOS3!$1:$19996,A115,MATCH("SeriesDate", DATOS3!$1:$1,0)))</f>
        <v>#N/A</v>
      </c>
      <c r="G115" t="e">
        <f>IF(INDEX( DATOS3!$1:$19996,A115,MATCH("SeriesTime", DATOS3!$1:$1,0))=0,"",INDEX( DATOS3!$1:$19996,A115,MATCH("SeriesTime", DATOS3!$1:$1,0)))</f>
        <v>#N/A</v>
      </c>
      <c r="H115" t="e">
        <f>IF(INDEX( DATOS3!$1:$19996,A115,MATCH("StudyDescription", DATOS3!$1:$1,0))=0,"",INDEX( DATOS3!$1:$19996,A115,MATCH("StudyDescription", DATOS3!$1:$1,0)))</f>
        <v>#N/A</v>
      </c>
      <c r="I115" t="e">
        <f>IF(INDEX( DATOS3!$1:$19996,A115,MATCH("Dose_Area_Product_Total", DATOS3!$1:$1,0))=0,0,INDEX( DATOS3!$1:$19996,A115,MATCH("Dose_Area_Product", DATOS3!$1:$1,0)))</f>
        <v>#N/A</v>
      </c>
      <c r="J115" t="e">
        <f>IF(INDEX( DATOS3!$1:$19996,A115,MATCH("Dose_RP_Total", DATOS3!$1:$1,0))=0,0,INDEX( DATOS3!$1:$19996,A115,MATCH("Dose_RP", DATOS3!$1:$1,0)))</f>
        <v>#N/A</v>
      </c>
      <c r="K115" t="e">
        <f>IF(INDEX( DATOS3!$1:$19996,A115,MATCH("Total_Fluoro_Time", DATOS3!$1:$1,0))=0,0,INDEX( DATOS3!$1:$19996,A115,MATCH("Total_Fluoro_Time", DATOS3!$1:$1,0)))</f>
        <v>#N/A</v>
      </c>
    </row>
    <row r="116" spans="1:11" x14ac:dyDescent="0.25">
      <c r="A116">
        <v>116</v>
      </c>
      <c r="B116" t="e">
        <f t="shared" si="2"/>
        <v>#N/A</v>
      </c>
      <c r="C116" t="e">
        <f t="shared" si="3"/>
        <v>#N/A</v>
      </c>
      <c r="D116" t="e">
        <f>IF(INDEX( DATOS3!$1:$19996,A116,MATCH("PatientID", DATOS3!$1:$1,0))=0,"",INDEX( DATOS3!$1:$19996,A116,MATCH("PatientID", DATOS3!$1:$1,0)))</f>
        <v>#N/A</v>
      </c>
      <c r="F116" t="e">
        <f>IF(INDEX( DATOS3!$1:$19996,A116,MATCH("SeriesDate", DATOS3!$1:$1,0))=0,"",INDEX( DATOS3!$1:$19996,A116,MATCH("SeriesDate", DATOS3!$1:$1,0)))</f>
        <v>#N/A</v>
      </c>
      <c r="G116" t="e">
        <f>IF(INDEX( DATOS3!$1:$19996,A116,MATCH("SeriesTime", DATOS3!$1:$1,0))=0,"",INDEX( DATOS3!$1:$19996,A116,MATCH("SeriesTime", DATOS3!$1:$1,0)))</f>
        <v>#N/A</v>
      </c>
      <c r="H116" t="e">
        <f>IF(INDEX( DATOS3!$1:$19996,A116,MATCH("StudyDescription", DATOS3!$1:$1,0))=0,"",INDEX( DATOS3!$1:$19996,A116,MATCH("StudyDescription", DATOS3!$1:$1,0)))</f>
        <v>#N/A</v>
      </c>
      <c r="I116" t="e">
        <f>IF(INDEX( DATOS3!$1:$19996,A116,MATCH("Dose_Area_Product_Total", DATOS3!$1:$1,0))=0,0,INDEX( DATOS3!$1:$19996,A116,MATCH("Dose_Area_Product", DATOS3!$1:$1,0)))</f>
        <v>#N/A</v>
      </c>
      <c r="J116" t="e">
        <f>IF(INDEX( DATOS3!$1:$19996,A116,MATCH("Dose_RP_Total", DATOS3!$1:$1,0))=0,0,INDEX( DATOS3!$1:$19996,A116,MATCH("Dose_RP", DATOS3!$1:$1,0)))</f>
        <v>#N/A</v>
      </c>
      <c r="K116" t="e">
        <f>IF(INDEX( DATOS3!$1:$19996,A116,MATCH("Total_Fluoro_Time", DATOS3!$1:$1,0))=0,0,INDEX( DATOS3!$1:$19996,A116,MATCH("Total_Fluoro_Time", DATOS3!$1:$1,0)))</f>
        <v>#N/A</v>
      </c>
    </row>
    <row r="117" spans="1:11" x14ac:dyDescent="0.25">
      <c r="A117">
        <v>117</v>
      </c>
      <c r="B117" t="e">
        <f t="shared" si="2"/>
        <v>#N/A</v>
      </c>
      <c r="C117" t="e">
        <f t="shared" si="3"/>
        <v>#N/A</v>
      </c>
      <c r="D117" t="e">
        <f>IF(INDEX( DATOS3!$1:$19996,A117,MATCH("PatientID", DATOS3!$1:$1,0))=0,"",INDEX( DATOS3!$1:$19996,A117,MATCH("PatientID", DATOS3!$1:$1,0)))</f>
        <v>#N/A</v>
      </c>
      <c r="F117" t="e">
        <f>IF(INDEX( DATOS3!$1:$19996,A117,MATCH("SeriesDate", DATOS3!$1:$1,0))=0,"",INDEX( DATOS3!$1:$19996,A117,MATCH("SeriesDate", DATOS3!$1:$1,0)))</f>
        <v>#N/A</v>
      </c>
      <c r="G117" t="e">
        <f>IF(INDEX( DATOS3!$1:$19996,A117,MATCH("SeriesTime", DATOS3!$1:$1,0))=0,"",INDEX( DATOS3!$1:$19996,A117,MATCH("SeriesTime", DATOS3!$1:$1,0)))</f>
        <v>#N/A</v>
      </c>
      <c r="H117" t="e">
        <f>IF(INDEX( DATOS3!$1:$19996,A117,MATCH("StudyDescription", DATOS3!$1:$1,0))=0,"",INDEX( DATOS3!$1:$19996,A117,MATCH("StudyDescription", DATOS3!$1:$1,0)))</f>
        <v>#N/A</v>
      </c>
      <c r="I117" t="e">
        <f>IF(INDEX( DATOS3!$1:$19996,A117,MATCH("Dose_Area_Product_Total", DATOS3!$1:$1,0))=0,0,INDEX( DATOS3!$1:$19996,A117,MATCH("Dose_Area_Product", DATOS3!$1:$1,0)))</f>
        <v>#N/A</v>
      </c>
      <c r="J117" t="e">
        <f>IF(INDEX( DATOS3!$1:$19996,A117,MATCH("Dose_RP_Total", DATOS3!$1:$1,0))=0,0,INDEX( DATOS3!$1:$19996,A117,MATCH("Dose_RP", DATOS3!$1:$1,0)))</f>
        <v>#N/A</v>
      </c>
      <c r="K117" t="e">
        <f>IF(INDEX( DATOS3!$1:$19996,A117,MATCH("Total_Fluoro_Time", DATOS3!$1:$1,0))=0,0,INDEX( DATOS3!$1:$19996,A117,MATCH("Total_Fluoro_Time", DATOS3!$1:$1,0)))</f>
        <v>#N/A</v>
      </c>
    </row>
    <row r="118" spans="1:11" x14ac:dyDescent="0.25">
      <c r="A118">
        <v>118</v>
      </c>
      <c r="B118" t="e">
        <f t="shared" si="2"/>
        <v>#N/A</v>
      </c>
      <c r="C118" t="e">
        <f t="shared" si="3"/>
        <v>#N/A</v>
      </c>
      <c r="D118" t="e">
        <f>IF(INDEX( DATOS3!$1:$19996,A118,MATCH("PatientID", DATOS3!$1:$1,0))=0,"",INDEX( DATOS3!$1:$19996,A118,MATCH("PatientID", DATOS3!$1:$1,0)))</f>
        <v>#N/A</v>
      </c>
      <c r="F118" t="e">
        <f>IF(INDEX( DATOS3!$1:$19996,A118,MATCH("SeriesDate", DATOS3!$1:$1,0))=0,"",INDEX( DATOS3!$1:$19996,A118,MATCH("SeriesDate", DATOS3!$1:$1,0)))</f>
        <v>#N/A</v>
      </c>
      <c r="G118" t="e">
        <f>IF(INDEX( DATOS3!$1:$19996,A118,MATCH("SeriesTime", DATOS3!$1:$1,0))=0,"",INDEX( DATOS3!$1:$19996,A118,MATCH("SeriesTime", DATOS3!$1:$1,0)))</f>
        <v>#N/A</v>
      </c>
      <c r="H118" t="e">
        <f>IF(INDEX( DATOS3!$1:$19996,A118,MATCH("StudyDescription", DATOS3!$1:$1,0))=0,"",INDEX( DATOS3!$1:$19996,A118,MATCH("StudyDescription", DATOS3!$1:$1,0)))</f>
        <v>#N/A</v>
      </c>
      <c r="I118" t="e">
        <f>IF(INDEX( DATOS3!$1:$19996,A118,MATCH("Dose_Area_Product_Total", DATOS3!$1:$1,0))=0,0,INDEX( DATOS3!$1:$19996,A118,MATCH("Dose_Area_Product", DATOS3!$1:$1,0)))</f>
        <v>#N/A</v>
      </c>
      <c r="J118" t="e">
        <f>IF(INDEX( DATOS3!$1:$19996,A118,MATCH("Dose_RP_Total", DATOS3!$1:$1,0))=0,0,INDEX( DATOS3!$1:$19996,A118,MATCH("Dose_RP", DATOS3!$1:$1,0)))</f>
        <v>#N/A</v>
      </c>
      <c r="K118" t="e">
        <f>IF(INDEX( DATOS3!$1:$19996,A118,MATCH("Total_Fluoro_Time", DATOS3!$1:$1,0))=0,0,INDEX( DATOS3!$1:$19996,A118,MATCH("Total_Fluoro_Time", DATOS3!$1:$1,0)))</f>
        <v>#N/A</v>
      </c>
    </row>
    <row r="119" spans="1:11" x14ac:dyDescent="0.25">
      <c r="A119">
        <v>119</v>
      </c>
      <c r="B119" t="e">
        <f t="shared" si="2"/>
        <v>#N/A</v>
      </c>
      <c r="C119" t="e">
        <f t="shared" si="3"/>
        <v>#N/A</v>
      </c>
      <c r="D119" t="e">
        <f>IF(INDEX( DATOS3!$1:$19996,A119,MATCH("PatientID", DATOS3!$1:$1,0))=0,"",INDEX( DATOS3!$1:$19996,A119,MATCH("PatientID", DATOS3!$1:$1,0)))</f>
        <v>#N/A</v>
      </c>
      <c r="F119" t="e">
        <f>IF(INDEX( DATOS3!$1:$19996,A119,MATCH("SeriesDate", DATOS3!$1:$1,0))=0,"",INDEX( DATOS3!$1:$19996,A119,MATCH("SeriesDate", DATOS3!$1:$1,0)))</f>
        <v>#N/A</v>
      </c>
      <c r="G119" t="e">
        <f>IF(INDEX( DATOS3!$1:$19996,A119,MATCH("SeriesTime", DATOS3!$1:$1,0))=0,"",INDEX( DATOS3!$1:$19996,A119,MATCH("SeriesTime", DATOS3!$1:$1,0)))</f>
        <v>#N/A</v>
      </c>
      <c r="H119" t="e">
        <f>IF(INDEX( DATOS3!$1:$19996,A119,MATCH("StudyDescription", DATOS3!$1:$1,0))=0,"",INDEX( DATOS3!$1:$19996,A119,MATCH("StudyDescription", DATOS3!$1:$1,0)))</f>
        <v>#N/A</v>
      </c>
      <c r="I119" t="e">
        <f>IF(INDEX( DATOS3!$1:$19996,A119,MATCH("Dose_Area_Product_Total", DATOS3!$1:$1,0))=0,0,INDEX( DATOS3!$1:$19996,A119,MATCH("Dose_Area_Product", DATOS3!$1:$1,0)))</f>
        <v>#N/A</v>
      </c>
      <c r="J119" t="e">
        <f>IF(INDEX( DATOS3!$1:$19996,A119,MATCH("Dose_RP_Total", DATOS3!$1:$1,0))=0,0,INDEX( DATOS3!$1:$19996,A119,MATCH("Dose_RP", DATOS3!$1:$1,0)))</f>
        <v>#N/A</v>
      </c>
      <c r="K119" t="e">
        <f>IF(INDEX( DATOS3!$1:$19996,A119,MATCH("Total_Fluoro_Time", DATOS3!$1:$1,0))=0,0,INDEX( DATOS3!$1:$19996,A119,MATCH("Total_Fluoro_Time", DATOS3!$1:$1,0)))</f>
        <v>#N/A</v>
      </c>
    </row>
    <row r="120" spans="1:11" x14ac:dyDescent="0.25">
      <c r="A120">
        <v>120</v>
      </c>
      <c r="B120" t="e">
        <f t="shared" si="2"/>
        <v>#N/A</v>
      </c>
      <c r="C120" t="e">
        <f t="shared" si="3"/>
        <v>#N/A</v>
      </c>
      <c r="D120" t="e">
        <f>IF(INDEX( DATOS3!$1:$19996,A120,MATCH("PatientID", DATOS3!$1:$1,0))=0,"",INDEX( DATOS3!$1:$19996,A120,MATCH("PatientID", DATOS3!$1:$1,0)))</f>
        <v>#N/A</v>
      </c>
      <c r="F120" t="e">
        <f>IF(INDEX( DATOS3!$1:$19996,A120,MATCH("SeriesDate", DATOS3!$1:$1,0))=0,"",INDEX( DATOS3!$1:$19996,A120,MATCH("SeriesDate", DATOS3!$1:$1,0)))</f>
        <v>#N/A</v>
      </c>
      <c r="G120" t="e">
        <f>IF(INDEX( DATOS3!$1:$19996,A120,MATCH("SeriesTime", DATOS3!$1:$1,0))=0,"",INDEX( DATOS3!$1:$19996,A120,MATCH("SeriesTime", DATOS3!$1:$1,0)))</f>
        <v>#N/A</v>
      </c>
      <c r="H120" t="e">
        <f>IF(INDEX( DATOS3!$1:$19996,A120,MATCH("StudyDescription", DATOS3!$1:$1,0))=0,"",INDEX( DATOS3!$1:$19996,A120,MATCH("StudyDescription", DATOS3!$1:$1,0)))</f>
        <v>#N/A</v>
      </c>
      <c r="I120" t="e">
        <f>IF(INDEX( DATOS3!$1:$19996,A120,MATCH("Dose_Area_Product_Total", DATOS3!$1:$1,0))=0,0,INDEX( DATOS3!$1:$19996,A120,MATCH("Dose_Area_Product", DATOS3!$1:$1,0)))</f>
        <v>#N/A</v>
      </c>
      <c r="J120" t="e">
        <f>IF(INDEX( DATOS3!$1:$19996,A120,MATCH("Dose_RP_Total", DATOS3!$1:$1,0))=0,0,INDEX( DATOS3!$1:$19996,A120,MATCH("Dose_RP", DATOS3!$1:$1,0)))</f>
        <v>#N/A</v>
      </c>
      <c r="K120" t="e">
        <f>IF(INDEX( DATOS3!$1:$19996,A120,MATCH("Total_Fluoro_Time", DATOS3!$1:$1,0))=0,0,INDEX( DATOS3!$1:$19996,A120,MATCH("Total_Fluoro_Time", DATOS3!$1:$1,0)))</f>
        <v>#N/A</v>
      </c>
    </row>
    <row r="121" spans="1:11" x14ac:dyDescent="0.25">
      <c r="A121">
        <v>121</v>
      </c>
      <c r="B121" t="e">
        <f t="shared" si="2"/>
        <v>#N/A</v>
      </c>
      <c r="C121" t="e">
        <f t="shared" si="3"/>
        <v>#N/A</v>
      </c>
      <c r="D121" t="e">
        <f>IF(INDEX( DATOS3!$1:$19996,A121,MATCH("PatientID", DATOS3!$1:$1,0))=0,"",INDEX( DATOS3!$1:$19996,A121,MATCH("PatientID", DATOS3!$1:$1,0)))</f>
        <v>#N/A</v>
      </c>
      <c r="F121" t="e">
        <f>IF(INDEX( DATOS3!$1:$19996,A121,MATCH("SeriesDate", DATOS3!$1:$1,0))=0,"",INDEX( DATOS3!$1:$19996,A121,MATCH("SeriesDate", DATOS3!$1:$1,0)))</f>
        <v>#N/A</v>
      </c>
      <c r="G121" t="e">
        <f>IF(INDEX( DATOS3!$1:$19996,A121,MATCH("SeriesTime", DATOS3!$1:$1,0))=0,"",INDEX( DATOS3!$1:$19996,A121,MATCH("SeriesTime", DATOS3!$1:$1,0)))</f>
        <v>#N/A</v>
      </c>
      <c r="H121" t="e">
        <f>IF(INDEX( DATOS3!$1:$19996,A121,MATCH("StudyDescription", DATOS3!$1:$1,0))=0,"",INDEX( DATOS3!$1:$19996,A121,MATCH("StudyDescription", DATOS3!$1:$1,0)))</f>
        <v>#N/A</v>
      </c>
      <c r="I121" t="e">
        <f>IF(INDEX( DATOS3!$1:$19996,A121,MATCH("Dose_Area_Product_Total", DATOS3!$1:$1,0))=0,0,INDEX( DATOS3!$1:$19996,A121,MATCH("Dose_Area_Product", DATOS3!$1:$1,0)))</f>
        <v>#N/A</v>
      </c>
      <c r="J121" t="e">
        <f>IF(INDEX( DATOS3!$1:$19996,A121,MATCH("Dose_RP_Total", DATOS3!$1:$1,0))=0,0,INDEX( DATOS3!$1:$19996,A121,MATCH("Dose_RP", DATOS3!$1:$1,0)))</f>
        <v>#N/A</v>
      </c>
      <c r="K121" t="e">
        <f>IF(INDEX( DATOS3!$1:$19996,A121,MATCH("Total_Fluoro_Time", DATOS3!$1:$1,0))=0,0,INDEX( DATOS3!$1:$19996,A121,MATCH("Total_Fluoro_Time", DATOS3!$1:$1,0)))</f>
        <v>#N/A</v>
      </c>
    </row>
    <row r="122" spans="1:11" x14ac:dyDescent="0.25">
      <c r="A122">
        <v>122</v>
      </c>
      <c r="B122" t="e">
        <f t="shared" si="2"/>
        <v>#N/A</v>
      </c>
      <c r="C122" t="e">
        <f t="shared" si="3"/>
        <v>#N/A</v>
      </c>
      <c r="D122" t="e">
        <f>IF(INDEX( DATOS3!$1:$19996,A122,MATCH("PatientID", DATOS3!$1:$1,0))=0,"",INDEX( DATOS3!$1:$19996,A122,MATCH("PatientID", DATOS3!$1:$1,0)))</f>
        <v>#N/A</v>
      </c>
      <c r="F122" t="e">
        <f>IF(INDEX( DATOS3!$1:$19996,A122,MATCH("SeriesDate", DATOS3!$1:$1,0))=0,"",INDEX( DATOS3!$1:$19996,A122,MATCH("SeriesDate", DATOS3!$1:$1,0)))</f>
        <v>#N/A</v>
      </c>
      <c r="G122" t="e">
        <f>IF(INDEX( DATOS3!$1:$19996,A122,MATCH("SeriesTime", DATOS3!$1:$1,0))=0,"",INDEX( DATOS3!$1:$19996,A122,MATCH("SeriesTime", DATOS3!$1:$1,0)))</f>
        <v>#N/A</v>
      </c>
      <c r="H122" t="e">
        <f>IF(INDEX( DATOS3!$1:$19996,A122,MATCH("StudyDescription", DATOS3!$1:$1,0))=0,"",INDEX( DATOS3!$1:$19996,A122,MATCH("StudyDescription", DATOS3!$1:$1,0)))</f>
        <v>#N/A</v>
      </c>
      <c r="I122" t="e">
        <f>IF(INDEX( DATOS3!$1:$19996,A122,MATCH("Dose_Area_Product_Total", DATOS3!$1:$1,0))=0,0,INDEX( DATOS3!$1:$19996,A122,MATCH("Dose_Area_Product", DATOS3!$1:$1,0)))</f>
        <v>#N/A</v>
      </c>
      <c r="J122" t="e">
        <f>IF(INDEX( DATOS3!$1:$19996,A122,MATCH("Dose_RP_Total", DATOS3!$1:$1,0))=0,0,INDEX( DATOS3!$1:$19996,A122,MATCH("Dose_RP", DATOS3!$1:$1,0)))</f>
        <v>#N/A</v>
      </c>
      <c r="K122" t="e">
        <f>IF(INDEX( DATOS3!$1:$19996,A122,MATCH("Total_Fluoro_Time", DATOS3!$1:$1,0))=0,0,INDEX( DATOS3!$1:$19996,A122,MATCH("Total_Fluoro_Time", DATOS3!$1:$1,0)))</f>
        <v>#N/A</v>
      </c>
    </row>
    <row r="123" spans="1:11" x14ac:dyDescent="0.25">
      <c r="A123">
        <v>123</v>
      </c>
      <c r="B123" t="e">
        <f t="shared" si="2"/>
        <v>#N/A</v>
      </c>
      <c r="C123" t="e">
        <f t="shared" si="3"/>
        <v>#N/A</v>
      </c>
      <c r="D123" t="e">
        <f>IF(INDEX( DATOS3!$1:$19996,A123,MATCH("PatientID", DATOS3!$1:$1,0))=0,"",INDEX( DATOS3!$1:$19996,A123,MATCH("PatientID", DATOS3!$1:$1,0)))</f>
        <v>#N/A</v>
      </c>
      <c r="F123" t="e">
        <f>IF(INDEX( DATOS3!$1:$19996,A123,MATCH("SeriesDate", DATOS3!$1:$1,0))=0,"",INDEX( DATOS3!$1:$19996,A123,MATCH("SeriesDate", DATOS3!$1:$1,0)))</f>
        <v>#N/A</v>
      </c>
      <c r="G123" t="e">
        <f>IF(INDEX( DATOS3!$1:$19996,A123,MATCH("SeriesTime", DATOS3!$1:$1,0))=0,"",INDEX( DATOS3!$1:$19996,A123,MATCH("SeriesTime", DATOS3!$1:$1,0)))</f>
        <v>#N/A</v>
      </c>
      <c r="H123" t="e">
        <f>IF(INDEX( DATOS3!$1:$19996,A123,MATCH("StudyDescription", DATOS3!$1:$1,0))=0,"",INDEX( DATOS3!$1:$19996,A123,MATCH("StudyDescription", DATOS3!$1:$1,0)))</f>
        <v>#N/A</v>
      </c>
      <c r="I123" t="e">
        <f>IF(INDEX( DATOS3!$1:$19996,A123,MATCH("Dose_Area_Product_Total", DATOS3!$1:$1,0))=0,0,INDEX( DATOS3!$1:$19996,A123,MATCH("Dose_Area_Product", DATOS3!$1:$1,0)))</f>
        <v>#N/A</v>
      </c>
      <c r="J123" t="e">
        <f>IF(INDEX( DATOS3!$1:$19996,A123,MATCH("Dose_RP_Total", DATOS3!$1:$1,0))=0,0,INDEX( DATOS3!$1:$19996,A123,MATCH("Dose_RP", DATOS3!$1:$1,0)))</f>
        <v>#N/A</v>
      </c>
      <c r="K123" t="e">
        <f>IF(INDEX( DATOS3!$1:$19996,A123,MATCH("Total_Fluoro_Time", DATOS3!$1:$1,0))=0,0,INDEX( DATOS3!$1:$19996,A123,MATCH("Total_Fluoro_Time", DATOS3!$1:$1,0)))</f>
        <v>#N/A</v>
      </c>
    </row>
    <row r="124" spans="1:11" x14ac:dyDescent="0.25">
      <c r="A124">
        <v>124</v>
      </c>
      <c r="B124" t="e">
        <f t="shared" si="2"/>
        <v>#N/A</v>
      </c>
      <c r="C124" t="e">
        <f t="shared" si="3"/>
        <v>#N/A</v>
      </c>
      <c r="D124" t="e">
        <f>IF(INDEX( DATOS3!$1:$19996,A124,MATCH("PatientID", DATOS3!$1:$1,0))=0,"",INDEX( DATOS3!$1:$19996,A124,MATCH("PatientID", DATOS3!$1:$1,0)))</f>
        <v>#N/A</v>
      </c>
      <c r="F124" t="e">
        <f>IF(INDEX( DATOS3!$1:$19996,A124,MATCH("SeriesDate", DATOS3!$1:$1,0))=0,"",INDEX( DATOS3!$1:$19996,A124,MATCH("SeriesDate", DATOS3!$1:$1,0)))</f>
        <v>#N/A</v>
      </c>
      <c r="G124" t="e">
        <f>IF(INDEX( DATOS3!$1:$19996,A124,MATCH("SeriesTime", DATOS3!$1:$1,0))=0,"",INDEX( DATOS3!$1:$19996,A124,MATCH("SeriesTime", DATOS3!$1:$1,0)))</f>
        <v>#N/A</v>
      </c>
      <c r="H124" t="e">
        <f>IF(INDEX( DATOS3!$1:$19996,A124,MATCH("StudyDescription", DATOS3!$1:$1,0))=0,"",INDEX( DATOS3!$1:$19996,A124,MATCH("StudyDescription", DATOS3!$1:$1,0)))</f>
        <v>#N/A</v>
      </c>
      <c r="I124" t="e">
        <f>IF(INDEX( DATOS3!$1:$19996,A124,MATCH("Dose_Area_Product_Total", DATOS3!$1:$1,0))=0,0,INDEX( DATOS3!$1:$19996,A124,MATCH("Dose_Area_Product", DATOS3!$1:$1,0)))</f>
        <v>#N/A</v>
      </c>
      <c r="J124" t="e">
        <f>IF(INDEX( DATOS3!$1:$19996,A124,MATCH("Dose_RP_Total", DATOS3!$1:$1,0))=0,0,INDEX( DATOS3!$1:$19996,A124,MATCH("Dose_RP", DATOS3!$1:$1,0)))</f>
        <v>#N/A</v>
      </c>
      <c r="K124" t="e">
        <f>IF(INDEX( DATOS3!$1:$19996,A124,MATCH("Total_Fluoro_Time", DATOS3!$1:$1,0))=0,0,INDEX( DATOS3!$1:$19996,A124,MATCH("Total_Fluoro_Time", DATOS3!$1:$1,0)))</f>
        <v>#N/A</v>
      </c>
    </row>
    <row r="125" spans="1:11" x14ac:dyDescent="0.25">
      <c r="A125">
        <v>125</v>
      </c>
      <c r="B125" t="e">
        <f t="shared" si="2"/>
        <v>#N/A</v>
      </c>
      <c r="C125" t="e">
        <f t="shared" si="3"/>
        <v>#N/A</v>
      </c>
      <c r="D125" t="e">
        <f>IF(INDEX( DATOS3!$1:$19996,A125,MATCH("PatientID", DATOS3!$1:$1,0))=0,"",INDEX( DATOS3!$1:$19996,A125,MATCH("PatientID", DATOS3!$1:$1,0)))</f>
        <v>#N/A</v>
      </c>
      <c r="F125" t="e">
        <f>IF(INDEX( DATOS3!$1:$19996,A125,MATCH("SeriesDate", DATOS3!$1:$1,0))=0,"",INDEX( DATOS3!$1:$19996,A125,MATCH("SeriesDate", DATOS3!$1:$1,0)))</f>
        <v>#N/A</v>
      </c>
      <c r="G125" t="e">
        <f>IF(INDEX( DATOS3!$1:$19996,A125,MATCH("SeriesTime", DATOS3!$1:$1,0))=0,"",INDEX( DATOS3!$1:$19996,A125,MATCH("SeriesTime", DATOS3!$1:$1,0)))</f>
        <v>#N/A</v>
      </c>
      <c r="H125" t="e">
        <f>IF(INDEX( DATOS3!$1:$19996,A125,MATCH("StudyDescription", DATOS3!$1:$1,0))=0,"",INDEX( DATOS3!$1:$19996,A125,MATCH("StudyDescription", DATOS3!$1:$1,0)))</f>
        <v>#N/A</v>
      </c>
      <c r="I125" t="e">
        <f>IF(INDEX( DATOS3!$1:$19996,A125,MATCH("Dose_Area_Product_Total", DATOS3!$1:$1,0))=0,0,INDEX( DATOS3!$1:$19996,A125,MATCH("Dose_Area_Product", DATOS3!$1:$1,0)))</f>
        <v>#N/A</v>
      </c>
      <c r="J125" t="e">
        <f>IF(INDEX( DATOS3!$1:$19996,A125,MATCH("Dose_RP_Total", DATOS3!$1:$1,0))=0,0,INDEX( DATOS3!$1:$19996,A125,MATCH("Dose_RP", DATOS3!$1:$1,0)))</f>
        <v>#N/A</v>
      </c>
      <c r="K125" t="e">
        <f>IF(INDEX( DATOS3!$1:$19996,A125,MATCH("Total_Fluoro_Time", DATOS3!$1:$1,0))=0,0,INDEX( DATOS3!$1:$19996,A125,MATCH("Total_Fluoro_Time", DATOS3!$1:$1,0)))</f>
        <v>#N/A</v>
      </c>
    </row>
    <row r="126" spans="1:11" hidden="1" x14ac:dyDescent="0.25">
      <c r="A126">
        <v>126</v>
      </c>
      <c r="B126" t="e">
        <f t="shared" si="2"/>
        <v>#N/A</v>
      </c>
      <c r="C126" t="e">
        <f t="shared" si="3"/>
        <v>#N/A</v>
      </c>
      <c r="D126" t="e">
        <f>IF(INDEX( DATOS3!$1:$19996,A126,MATCH("PatientID", DATOS3!$1:$1,0))=0,"",INDEX( DATOS3!$1:$19996,A126,MATCH("PatientID", DATOS3!$1:$1,0)))</f>
        <v>#N/A</v>
      </c>
      <c r="F126" t="e">
        <f>IF(INDEX( DATOS3!$1:$19996,A126,MATCH("SeriesDate", DATOS3!$1:$1,0))=0,"",INDEX( DATOS3!$1:$19996,A126,MATCH("SeriesDate", DATOS3!$1:$1,0)))</f>
        <v>#N/A</v>
      </c>
      <c r="G126" t="e">
        <f>IF(INDEX( DATOS3!$1:$19996,A126,MATCH("SeriesTime", DATOS3!$1:$1,0))=0,"",INDEX( DATOS3!$1:$19996,A126,MATCH("SeriesTime", DATOS3!$1:$1,0)))</f>
        <v>#N/A</v>
      </c>
      <c r="H126" t="e">
        <f>IF(INDEX( DATOS3!$1:$19996,A126,MATCH("StudyDescription", DATOS3!$1:$1,0))=0,"",INDEX( DATOS3!$1:$19996,A126,MATCH("StudyDescription", DATOS3!$1:$1,0)))</f>
        <v>#N/A</v>
      </c>
      <c r="I126" t="e">
        <f>IF(INDEX( DATOS3!$1:$19996,A126,MATCH("Dose_Area_Product_Total", DATOS3!$1:$1,0))=0,0,INDEX( DATOS3!$1:$19996,A126,MATCH("Dose_Area_Product", DATOS3!$1:$1,0)))</f>
        <v>#N/A</v>
      </c>
      <c r="J126" t="e">
        <f>IF(INDEX( DATOS3!$1:$19996,A126,MATCH("Dose_RP_Total", DATOS3!$1:$1,0))=0,0,INDEX( DATOS3!$1:$19996,A126,MATCH("Dose_RP", DATOS3!$1:$1,0)))</f>
        <v>#N/A</v>
      </c>
      <c r="K126" t="e">
        <f>IF(INDEX( DATOS3!$1:$19996,A126,MATCH("Total_Fluoro_Time", DATOS3!$1:$1,0))=0,0,INDEX( DATOS3!$1:$19996,A126,MATCH("Total_Fluoro_Time", DATOS3!$1:$1,0)))</f>
        <v>#N/A</v>
      </c>
    </row>
    <row r="127" spans="1:11" hidden="1" x14ac:dyDescent="0.25">
      <c r="A127">
        <v>127</v>
      </c>
      <c r="B127" t="e">
        <f t="shared" si="2"/>
        <v>#N/A</v>
      </c>
      <c r="C127" t="e">
        <f t="shared" si="3"/>
        <v>#N/A</v>
      </c>
      <c r="D127" t="e">
        <f>IF(INDEX( DATOS3!$1:$19996,A127,MATCH("PatientID", DATOS3!$1:$1,0))=0,"",INDEX( DATOS3!$1:$19996,A127,MATCH("PatientID", DATOS3!$1:$1,0)))</f>
        <v>#N/A</v>
      </c>
      <c r="F127" t="e">
        <f>IF(INDEX( DATOS3!$1:$19996,A127,MATCH("SeriesDate", DATOS3!$1:$1,0))=0,"",INDEX( DATOS3!$1:$19996,A127,MATCH("SeriesDate", DATOS3!$1:$1,0)))</f>
        <v>#N/A</v>
      </c>
      <c r="G127" t="e">
        <f>IF(INDEX( DATOS3!$1:$19996,A127,MATCH("SeriesTime", DATOS3!$1:$1,0))=0,"",INDEX( DATOS3!$1:$19996,A127,MATCH("SeriesTime", DATOS3!$1:$1,0)))</f>
        <v>#N/A</v>
      </c>
      <c r="H127" t="e">
        <f>IF(INDEX( DATOS3!$1:$19996,A127,MATCH("StudyDescription", DATOS3!$1:$1,0))=0,"",INDEX( DATOS3!$1:$19996,A127,MATCH("StudyDescription", DATOS3!$1:$1,0)))</f>
        <v>#N/A</v>
      </c>
      <c r="I127" t="e">
        <f>IF(INDEX( DATOS3!$1:$19996,A127,MATCH("Dose_Area_Product_Total", DATOS3!$1:$1,0))=0,0,INDEX( DATOS3!$1:$19996,A127,MATCH("Dose_Area_Product", DATOS3!$1:$1,0)))</f>
        <v>#N/A</v>
      </c>
      <c r="J127" t="e">
        <f>IF(INDEX( DATOS3!$1:$19996,A127,MATCH("Dose_RP_Total", DATOS3!$1:$1,0))=0,0,INDEX( DATOS3!$1:$19996,A127,MATCH("Dose_RP", DATOS3!$1:$1,0)))</f>
        <v>#N/A</v>
      </c>
      <c r="K127" t="e">
        <f>IF(INDEX( DATOS3!$1:$19996,A127,MATCH("Total_Fluoro_Time", DATOS3!$1:$1,0))=0,0,INDEX( DATOS3!$1:$19996,A127,MATCH("Total_Fluoro_Time", DATOS3!$1:$1,0)))</f>
        <v>#N/A</v>
      </c>
    </row>
    <row r="128" spans="1:11" hidden="1" x14ac:dyDescent="0.25">
      <c r="A128">
        <v>128</v>
      </c>
      <c r="B128" t="e">
        <f t="shared" si="2"/>
        <v>#N/A</v>
      </c>
      <c r="C128" t="e">
        <f t="shared" si="3"/>
        <v>#N/A</v>
      </c>
      <c r="D128" t="e">
        <f>IF(INDEX( DATOS3!$1:$19996,A128,MATCH("PatientID", DATOS3!$1:$1,0))=0,"",INDEX( DATOS3!$1:$19996,A128,MATCH("PatientID", DATOS3!$1:$1,0)))</f>
        <v>#N/A</v>
      </c>
      <c r="F128" t="e">
        <f>IF(INDEX( DATOS3!$1:$19996,A128,MATCH("SeriesDate", DATOS3!$1:$1,0))=0,"",INDEX( DATOS3!$1:$19996,A128,MATCH("SeriesDate", DATOS3!$1:$1,0)))</f>
        <v>#N/A</v>
      </c>
      <c r="G128" t="e">
        <f>IF(INDEX( DATOS3!$1:$19996,A128,MATCH("SeriesTime", DATOS3!$1:$1,0))=0,"",INDEX( DATOS3!$1:$19996,A128,MATCH("SeriesTime", DATOS3!$1:$1,0)))</f>
        <v>#N/A</v>
      </c>
      <c r="H128" t="e">
        <f>IF(INDEX( DATOS3!$1:$19996,A128,MATCH("StudyDescription", DATOS3!$1:$1,0))=0,"",INDEX( DATOS3!$1:$19996,A128,MATCH("StudyDescription", DATOS3!$1:$1,0)))</f>
        <v>#N/A</v>
      </c>
      <c r="I128" t="e">
        <f>IF(INDEX( DATOS3!$1:$19996,A128,MATCH("Dose_Area_Product_Total", DATOS3!$1:$1,0))=0,0,INDEX( DATOS3!$1:$19996,A128,MATCH("Dose_Area_Product", DATOS3!$1:$1,0)))</f>
        <v>#N/A</v>
      </c>
      <c r="J128" t="e">
        <f>IF(INDEX( DATOS3!$1:$19996,A128,MATCH("Dose_RP_Total", DATOS3!$1:$1,0))=0,0,INDEX( DATOS3!$1:$19996,A128,MATCH("Dose_RP", DATOS3!$1:$1,0)))</f>
        <v>#N/A</v>
      </c>
      <c r="K128" t="e">
        <f>IF(INDEX( DATOS3!$1:$19996,A128,MATCH("Total_Fluoro_Time", DATOS3!$1:$1,0))=0,0,INDEX( DATOS3!$1:$19996,A128,MATCH("Total_Fluoro_Time", DATOS3!$1:$1,0)))</f>
        <v>#N/A</v>
      </c>
    </row>
    <row r="129" spans="1:11" hidden="1" x14ac:dyDescent="0.25">
      <c r="A129">
        <v>129</v>
      </c>
      <c r="B129" t="e">
        <f t="shared" si="2"/>
        <v>#N/A</v>
      </c>
      <c r="C129" t="e">
        <f t="shared" si="3"/>
        <v>#N/A</v>
      </c>
      <c r="D129" t="e">
        <f>IF(INDEX( DATOS3!$1:$19996,A129,MATCH("PatientID", DATOS3!$1:$1,0))=0,"",INDEX( DATOS3!$1:$19996,A129,MATCH("PatientID", DATOS3!$1:$1,0)))</f>
        <v>#N/A</v>
      </c>
      <c r="F129" t="e">
        <f>IF(INDEX( DATOS3!$1:$19996,A129,MATCH("SeriesDate", DATOS3!$1:$1,0))=0,"",INDEX( DATOS3!$1:$19996,A129,MATCH("SeriesDate", DATOS3!$1:$1,0)))</f>
        <v>#N/A</v>
      </c>
      <c r="G129" t="e">
        <f>IF(INDEX( DATOS3!$1:$19996,A129,MATCH("SeriesTime", DATOS3!$1:$1,0))=0,"",INDEX( DATOS3!$1:$19996,A129,MATCH("SeriesTime", DATOS3!$1:$1,0)))</f>
        <v>#N/A</v>
      </c>
      <c r="H129" t="e">
        <f>IF(INDEX( DATOS3!$1:$19996,A129,MATCH("StudyDescription", DATOS3!$1:$1,0))=0,"",INDEX( DATOS3!$1:$19996,A129,MATCH("StudyDescription", DATOS3!$1:$1,0)))</f>
        <v>#N/A</v>
      </c>
      <c r="I129" t="e">
        <f>IF(INDEX( DATOS3!$1:$19996,A129,MATCH("Dose_Area_Product_Total", DATOS3!$1:$1,0))=0,0,INDEX( DATOS3!$1:$19996,A129,MATCH("Dose_Area_Product", DATOS3!$1:$1,0)))</f>
        <v>#N/A</v>
      </c>
      <c r="J129" t="e">
        <f>IF(INDEX( DATOS3!$1:$19996,A129,MATCH("Dose_RP_Total", DATOS3!$1:$1,0))=0,0,INDEX( DATOS3!$1:$19996,A129,MATCH("Dose_RP", DATOS3!$1:$1,0)))</f>
        <v>#N/A</v>
      </c>
      <c r="K129" t="e">
        <f>IF(INDEX( DATOS3!$1:$19996,A129,MATCH("Total_Fluoro_Time", DATOS3!$1:$1,0))=0,0,INDEX( DATOS3!$1:$19996,A129,MATCH("Total_Fluoro_Time", DATOS3!$1:$1,0)))</f>
        <v>#N/A</v>
      </c>
    </row>
    <row r="130" spans="1:11" hidden="1" x14ac:dyDescent="0.25">
      <c r="A130">
        <v>130</v>
      </c>
      <c r="B130" t="e">
        <f t="shared" si="2"/>
        <v>#N/A</v>
      </c>
      <c r="C130" t="e">
        <f t="shared" si="3"/>
        <v>#N/A</v>
      </c>
      <c r="D130" t="e">
        <f>IF(INDEX( DATOS3!$1:$19996,A130,MATCH("PatientID", DATOS3!$1:$1,0))=0,"",INDEX( DATOS3!$1:$19996,A130,MATCH("PatientID", DATOS3!$1:$1,0)))</f>
        <v>#N/A</v>
      </c>
      <c r="F130" t="e">
        <f>IF(INDEX( DATOS3!$1:$19996,A130,MATCH("SeriesDate", DATOS3!$1:$1,0))=0,"",INDEX( DATOS3!$1:$19996,A130,MATCH("SeriesDate", DATOS3!$1:$1,0)))</f>
        <v>#N/A</v>
      </c>
      <c r="G130" t="e">
        <f>IF(INDEX( DATOS3!$1:$19996,A130,MATCH("SeriesTime", DATOS3!$1:$1,0))=0,"",INDEX( DATOS3!$1:$19996,A130,MATCH("SeriesTime", DATOS3!$1:$1,0)))</f>
        <v>#N/A</v>
      </c>
      <c r="H130" t="e">
        <f>IF(INDEX( DATOS3!$1:$19996,A130,MATCH("StudyDescription", DATOS3!$1:$1,0))=0,"",INDEX( DATOS3!$1:$19996,A130,MATCH("StudyDescription", DATOS3!$1:$1,0)))</f>
        <v>#N/A</v>
      </c>
      <c r="I130" t="e">
        <f>IF(INDEX( DATOS3!$1:$19996,A130,MATCH("Dose_Area_Product_Total", DATOS3!$1:$1,0))=0,0,INDEX( DATOS3!$1:$19996,A130,MATCH("Dose_Area_Product", DATOS3!$1:$1,0)))</f>
        <v>#N/A</v>
      </c>
      <c r="J130" t="e">
        <f>IF(INDEX( DATOS3!$1:$19996,A130,MATCH("Dose_RP_Total", DATOS3!$1:$1,0))=0,0,INDEX( DATOS3!$1:$19996,A130,MATCH("Dose_RP", DATOS3!$1:$1,0)))</f>
        <v>#N/A</v>
      </c>
      <c r="K130" t="e">
        <f>IF(INDEX( DATOS3!$1:$19996,A130,MATCH("Total_Fluoro_Time", DATOS3!$1:$1,0))=0,0,INDEX( DATOS3!$1:$19996,A130,MATCH("Total_Fluoro_Time", DATOS3!$1:$1,0)))</f>
        <v>#N/A</v>
      </c>
    </row>
    <row r="131" spans="1:11" hidden="1" x14ac:dyDescent="0.25">
      <c r="A131">
        <v>131</v>
      </c>
      <c r="B131" t="e">
        <f t="shared" ref="B131:B194" si="4">IF(D131="","","ARTISZEE")</f>
        <v>#N/A</v>
      </c>
      <c r="C131" t="e">
        <f t="shared" ref="C131:C194" si="5">IF(B131="ARTISZEE","Cardiología","")</f>
        <v>#N/A</v>
      </c>
      <c r="D131" t="e">
        <f>IF(INDEX( DATOS3!$1:$19996,A131,MATCH("PatientID", DATOS3!$1:$1,0))=0,"",INDEX( DATOS3!$1:$19996,A131,MATCH("PatientID", DATOS3!$1:$1,0)))</f>
        <v>#N/A</v>
      </c>
      <c r="F131" t="e">
        <f>IF(INDEX( DATOS3!$1:$19996,A131,MATCH("SeriesDate", DATOS3!$1:$1,0))=0,"",INDEX( DATOS3!$1:$19996,A131,MATCH("SeriesDate", DATOS3!$1:$1,0)))</f>
        <v>#N/A</v>
      </c>
      <c r="G131" t="e">
        <f>IF(INDEX( DATOS3!$1:$19996,A131,MATCH("SeriesTime", DATOS3!$1:$1,0))=0,"",INDEX( DATOS3!$1:$19996,A131,MATCH("SeriesTime", DATOS3!$1:$1,0)))</f>
        <v>#N/A</v>
      </c>
      <c r="H131" t="e">
        <f>IF(INDEX( DATOS3!$1:$19996,A131,MATCH("StudyDescription", DATOS3!$1:$1,0))=0,"",INDEX( DATOS3!$1:$19996,A131,MATCH("StudyDescription", DATOS3!$1:$1,0)))</f>
        <v>#N/A</v>
      </c>
      <c r="I131" t="e">
        <f>IF(INDEX( DATOS3!$1:$19996,A131,MATCH("Dose_Area_Product_Total", DATOS3!$1:$1,0))=0,0,INDEX( DATOS3!$1:$19996,A131,MATCH("Dose_Area_Product", DATOS3!$1:$1,0)))</f>
        <v>#N/A</v>
      </c>
      <c r="J131" t="e">
        <f>IF(INDEX( DATOS3!$1:$19996,A131,MATCH("Dose_RP_Total", DATOS3!$1:$1,0))=0,0,INDEX( DATOS3!$1:$19996,A131,MATCH("Dose_RP", DATOS3!$1:$1,0)))</f>
        <v>#N/A</v>
      </c>
      <c r="K131" t="e">
        <f>IF(INDEX( DATOS3!$1:$19996,A131,MATCH("Total_Fluoro_Time", DATOS3!$1:$1,0))=0,0,INDEX( DATOS3!$1:$19996,A131,MATCH("Total_Fluoro_Time", DATOS3!$1:$1,0)))</f>
        <v>#N/A</v>
      </c>
    </row>
    <row r="132" spans="1:11" hidden="1" x14ac:dyDescent="0.25">
      <c r="A132">
        <v>132</v>
      </c>
      <c r="B132" t="e">
        <f t="shared" si="4"/>
        <v>#N/A</v>
      </c>
      <c r="C132" t="e">
        <f t="shared" si="5"/>
        <v>#N/A</v>
      </c>
      <c r="D132" t="e">
        <f>IF(INDEX( DATOS3!$1:$19996,A132,MATCH("PatientID", DATOS3!$1:$1,0))=0,"",INDEX( DATOS3!$1:$19996,A132,MATCH("PatientID", DATOS3!$1:$1,0)))</f>
        <v>#N/A</v>
      </c>
      <c r="F132" t="e">
        <f>IF(INDEX( DATOS3!$1:$19996,A132,MATCH("SeriesDate", DATOS3!$1:$1,0))=0,"",INDEX( DATOS3!$1:$19996,A132,MATCH("SeriesDate", DATOS3!$1:$1,0)))</f>
        <v>#N/A</v>
      </c>
      <c r="G132" t="e">
        <f>IF(INDEX( DATOS3!$1:$19996,A132,MATCH("SeriesTime", DATOS3!$1:$1,0))=0,"",INDEX( DATOS3!$1:$19996,A132,MATCH("SeriesTime", DATOS3!$1:$1,0)))</f>
        <v>#N/A</v>
      </c>
      <c r="H132" t="e">
        <f>IF(INDEX( DATOS3!$1:$19996,A132,MATCH("StudyDescription", DATOS3!$1:$1,0))=0,"",INDEX( DATOS3!$1:$19996,A132,MATCH("StudyDescription", DATOS3!$1:$1,0)))</f>
        <v>#N/A</v>
      </c>
      <c r="I132" t="e">
        <f>IF(INDEX( DATOS3!$1:$19996,A132,MATCH("Dose_Area_Product_Total", DATOS3!$1:$1,0))=0,0,INDEX( DATOS3!$1:$19996,A132,MATCH("Dose_Area_Product", DATOS3!$1:$1,0)))</f>
        <v>#N/A</v>
      </c>
      <c r="J132" t="e">
        <f>IF(INDEX( DATOS3!$1:$19996,A132,MATCH("Dose_RP_Total", DATOS3!$1:$1,0))=0,0,INDEX( DATOS3!$1:$19996,A132,MATCH("Dose_RP", DATOS3!$1:$1,0)))</f>
        <v>#N/A</v>
      </c>
      <c r="K132" t="e">
        <f>IF(INDEX( DATOS3!$1:$19996,A132,MATCH("Total_Fluoro_Time", DATOS3!$1:$1,0))=0,0,INDEX( DATOS3!$1:$19996,A132,MATCH("Total_Fluoro_Time", DATOS3!$1:$1,0)))</f>
        <v>#N/A</v>
      </c>
    </row>
    <row r="133" spans="1:11" hidden="1" x14ac:dyDescent="0.25">
      <c r="A133">
        <v>133</v>
      </c>
      <c r="B133" t="e">
        <f t="shared" si="4"/>
        <v>#N/A</v>
      </c>
      <c r="C133" t="e">
        <f t="shared" si="5"/>
        <v>#N/A</v>
      </c>
      <c r="D133" t="e">
        <f>IF(INDEX( DATOS3!$1:$19996,A133,MATCH("PatientID", DATOS3!$1:$1,0))=0,"",INDEX( DATOS3!$1:$19996,A133,MATCH("PatientID", DATOS3!$1:$1,0)))</f>
        <v>#N/A</v>
      </c>
      <c r="F133" t="e">
        <f>IF(INDEX( DATOS3!$1:$19996,A133,MATCH("SeriesDate", DATOS3!$1:$1,0))=0,"",INDEX( DATOS3!$1:$19996,A133,MATCH("SeriesDate", DATOS3!$1:$1,0)))</f>
        <v>#N/A</v>
      </c>
      <c r="G133" t="e">
        <f>IF(INDEX( DATOS3!$1:$19996,A133,MATCH("SeriesTime", DATOS3!$1:$1,0))=0,"",INDEX( DATOS3!$1:$19996,A133,MATCH("SeriesTime", DATOS3!$1:$1,0)))</f>
        <v>#N/A</v>
      </c>
      <c r="H133" t="e">
        <f>IF(INDEX( DATOS3!$1:$19996,A133,MATCH("StudyDescription", DATOS3!$1:$1,0))=0,"",INDEX( DATOS3!$1:$19996,A133,MATCH("StudyDescription", DATOS3!$1:$1,0)))</f>
        <v>#N/A</v>
      </c>
      <c r="I133" t="e">
        <f>IF(INDEX( DATOS3!$1:$19996,A133,MATCH("Dose_Area_Product_Total", DATOS3!$1:$1,0))=0,0,INDEX( DATOS3!$1:$19996,A133,MATCH("Dose_Area_Product", DATOS3!$1:$1,0)))</f>
        <v>#N/A</v>
      </c>
      <c r="J133" t="e">
        <f>IF(INDEX( DATOS3!$1:$19996,A133,MATCH("Dose_RP_Total", DATOS3!$1:$1,0))=0,0,INDEX( DATOS3!$1:$19996,A133,MATCH("Dose_RP", DATOS3!$1:$1,0)))</f>
        <v>#N/A</v>
      </c>
      <c r="K133" t="e">
        <f>IF(INDEX( DATOS3!$1:$19996,A133,MATCH("Total_Fluoro_Time", DATOS3!$1:$1,0))=0,0,INDEX( DATOS3!$1:$19996,A133,MATCH("Total_Fluoro_Time", DATOS3!$1:$1,0)))</f>
        <v>#N/A</v>
      </c>
    </row>
    <row r="134" spans="1:11" hidden="1" x14ac:dyDescent="0.25">
      <c r="A134">
        <v>134</v>
      </c>
      <c r="B134" t="e">
        <f t="shared" si="4"/>
        <v>#N/A</v>
      </c>
      <c r="C134" t="e">
        <f t="shared" si="5"/>
        <v>#N/A</v>
      </c>
      <c r="D134" t="e">
        <f>IF(INDEX( DATOS3!$1:$19996,A134,MATCH("PatientID", DATOS3!$1:$1,0))=0,"",INDEX( DATOS3!$1:$19996,A134,MATCH("PatientID", DATOS3!$1:$1,0)))</f>
        <v>#N/A</v>
      </c>
      <c r="F134" t="e">
        <f>IF(INDEX( DATOS3!$1:$19996,A134,MATCH("SeriesDate", DATOS3!$1:$1,0))=0,"",INDEX( DATOS3!$1:$19996,A134,MATCH("SeriesDate", DATOS3!$1:$1,0)))</f>
        <v>#N/A</v>
      </c>
      <c r="G134" t="e">
        <f>IF(INDEX( DATOS3!$1:$19996,A134,MATCH("SeriesTime", DATOS3!$1:$1,0))=0,"",INDEX( DATOS3!$1:$19996,A134,MATCH("SeriesTime", DATOS3!$1:$1,0)))</f>
        <v>#N/A</v>
      </c>
      <c r="H134" t="e">
        <f>IF(INDEX( DATOS3!$1:$19996,A134,MATCH("StudyDescription", DATOS3!$1:$1,0))=0,"",INDEX( DATOS3!$1:$19996,A134,MATCH("StudyDescription", DATOS3!$1:$1,0)))</f>
        <v>#N/A</v>
      </c>
      <c r="I134" t="e">
        <f>IF(INDEX( DATOS3!$1:$19996,A134,MATCH("Dose_Area_Product_Total", DATOS3!$1:$1,0))=0,0,INDEX( DATOS3!$1:$19996,A134,MATCH("Dose_Area_Product", DATOS3!$1:$1,0)))</f>
        <v>#N/A</v>
      </c>
      <c r="J134" t="e">
        <f>IF(INDEX( DATOS3!$1:$19996,A134,MATCH("Dose_RP_Total", DATOS3!$1:$1,0))=0,0,INDEX( DATOS3!$1:$19996,A134,MATCH("Dose_RP", DATOS3!$1:$1,0)))</f>
        <v>#N/A</v>
      </c>
      <c r="K134" t="e">
        <f>IF(INDEX( DATOS3!$1:$19996,A134,MATCH("Total_Fluoro_Time", DATOS3!$1:$1,0))=0,0,INDEX( DATOS3!$1:$19996,A134,MATCH("Total_Fluoro_Time", DATOS3!$1:$1,0)))</f>
        <v>#N/A</v>
      </c>
    </row>
    <row r="135" spans="1:11" hidden="1" x14ac:dyDescent="0.25">
      <c r="A135">
        <v>135</v>
      </c>
      <c r="B135" t="e">
        <f t="shared" si="4"/>
        <v>#N/A</v>
      </c>
      <c r="C135" t="e">
        <f t="shared" si="5"/>
        <v>#N/A</v>
      </c>
      <c r="D135" t="e">
        <f>IF(INDEX( DATOS3!$1:$19996,A135,MATCH("PatientID", DATOS3!$1:$1,0))=0,"",INDEX( DATOS3!$1:$19996,A135,MATCH("PatientID", DATOS3!$1:$1,0)))</f>
        <v>#N/A</v>
      </c>
      <c r="F135" t="e">
        <f>IF(INDEX( DATOS3!$1:$19996,A135,MATCH("SeriesDate", DATOS3!$1:$1,0))=0,"",INDEX( DATOS3!$1:$19996,A135,MATCH("SeriesDate", DATOS3!$1:$1,0)))</f>
        <v>#N/A</v>
      </c>
      <c r="G135" t="e">
        <f>IF(INDEX( DATOS3!$1:$19996,A135,MATCH("SeriesTime", DATOS3!$1:$1,0))=0,"",INDEX( DATOS3!$1:$19996,A135,MATCH("SeriesTime", DATOS3!$1:$1,0)))</f>
        <v>#N/A</v>
      </c>
      <c r="H135" t="e">
        <f>IF(INDEX( DATOS3!$1:$19996,A135,MATCH("StudyDescription", DATOS3!$1:$1,0))=0,"",INDEX( DATOS3!$1:$19996,A135,MATCH("StudyDescription", DATOS3!$1:$1,0)))</f>
        <v>#N/A</v>
      </c>
      <c r="I135" t="e">
        <f>IF(INDEX( DATOS3!$1:$19996,A135,MATCH("Dose_Area_Product_Total", DATOS3!$1:$1,0))=0,0,INDEX( DATOS3!$1:$19996,A135,MATCH("Dose_Area_Product", DATOS3!$1:$1,0)))</f>
        <v>#N/A</v>
      </c>
      <c r="J135" t="e">
        <f>IF(INDEX( DATOS3!$1:$19996,A135,MATCH("Dose_RP_Total", DATOS3!$1:$1,0))=0,0,INDEX( DATOS3!$1:$19996,A135,MATCH("Dose_RP", DATOS3!$1:$1,0)))</f>
        <v>#N/A</v>
      </c>
      <c r="K135" t="e">
        <f>IF(INDEX( DATOS3!$1:$19996,A135,MATCH("Total_Fluoro_Time", DATOS3!$1:$1,0))=0,0,INDEX( DATOS3!$1:$19996,A135,MATCH("Total_Fluoro_Time", DATOS3!$1:$1,0)))</f>
        <v>#N/A</v>
      </c>
    </row>
    <row r="136" spans="1:11" hidden="1" x14ac:dyDescent="0.25">
      <c r="A136">
        <v>136</v>
      </c>
      <c r="B136" t="e">
        <f t="shared" si="4"/>
        <v>#N/A</v>
      </c>
      <c r="C136" t="e">
        <f t="shared" si="5"/>
        <v>#N/A</v>
      </c>
      <c r="D136" t="e">
        <f>IF(INDEX( DATOS3!$1:$19996,A136,MATCH("PatientID", DATOS3!$1:$1,0))=0,"",INDEX( DATOS3!$1:$19996,A136,MATCH("PatientID", DATOS3!$1:$1,0)))</f>
        <v>#N/A</v>
      </c>
      <c r="F136" t="e">
        <f>IF(INDEX( DATOS3!$1:$19996,A136,MATCH("SeriesDate", DATOS3!$1:$1,0))=0,"",INDEX( DATOS3!$1:$19996,A136,MATCH("SeriesDate", DATOS3!$1:$1,0)))</f>
        <v>#N/A</v>
      </c>
      <c r="G136" t="e">
        <f>IF(INDEX( DATOS3!$1:$19996,A136,MATCH("SeriesTime", DATOS3!$1:$1,0))=0,"",INDEX( DATOS3!$1:$19996,A136,MATCH("SeriesTime", DATOS3!$1:$1,0)))</f>
        <v>#N/A</v>
      </c>
      <c r="H136" t="e">
        <f>IF(INDEX( DATOS3!$1:$19996,A136,MATCH("StudyDescription", DATOS3!$1:$1,0))=0,"",INDEX( DATOS3!$1:$19996,A136,MATCH("StudyDescription", DATOS3!$1:$1,0)))</f>
        <v>#N/A</v>
      </c>
      <c r="I136" t="e">
        <f>IF(INDEX( DATOS3!$1:$19996,A136,MATCH("Dose_Area_Product_Total", DATOS3!$1:$1,0))=0,0,INDEX( DATOS3!$1:$19996,A136,MATCH("Dose_Area_Product", DATOS3!$1:$1,0)))</f>
        <v>#N/A</v>
      </c>
      <c r="J136" t="e">
        <f>IF(INDEX( DATOS3!$1:$19996,A136,MATCH("Dose_RP_Total", DATOS3!$1:$1,0))=0,0,INDEX( DATOS3!$1:$19996,A136,MATCH("Dose_RP", DATOS3!$1:$1,0)))</f>
        <v>#N/A</v>
      </c>
      <c r="K136" t="e">
        <f>IF(INDEX( DATOS3!$1:$19996,A136,MATCH("Total_Fluoro_Time", DATOS3!$1:$1,0))=0,0,INDEX( DATOS3!$1:$19996,A136,MATCH("Total_Fluoro_Time", DATOS3!$1:$1,0)))</f>
        <v>#N/A</v>
      </c>
    </row>
    <row r="137" spans="1:11" hidden="1" x14ac:dyDescent="0.25">
      <c r="A137">
        <v>137</v>
      </c>
      <c r="B137" t="e">
        <f t="shared" si="4"/>
        <v>#N/A</v>
      </c>
      <c r="C137" t="e">
        <f t="shared" si="5"/>
        <v>#N/A</v>
      </c>
      <c r="D137" t="e">
        <f>IF(INDEX( DATOS3!$1:$19996,A137,MATCH("PatientID", DATOS3!$1:$1,0))=0,"",INDEX( DATOS3!$1:$19996,A137,MATCH("PatientID", DATOS3!$1:$1,0)))</f>
        <v>#N/A</v>
      </c>
      <c r="F137" t="e">
        <f>IF(INDEX( DATOS3!$1:$19996,A137,MATCH("SeriesDate", DATOS3!$1:$1,0))=0,"",INDEX( DATOS3!$1:$19996,A137,MATCH("SeriesDate", DATOS3!$1:$1,0)))</f>
        <v>#N/A</v>
      </c>
      <c r="G137" t="e">
        <f>IF(INDEX( DATOS3!$1:$19996,A137,MATCH("SeriesTime", DATOS3!$1:$1,0))=0,"",INDEX( DATOS3!$1:$19996,A137,MATCH("SeriesTime", DATOS3!$1:$1,0)))</f>
        <v>#N/A</v>
      </c>
      <c r="H137" t="e">
        <f>IF(INDEX( DATOS3!$1:$19996,A137,MATCH("StudyDescription", DATOS3!$1:$1,0))=0,"",INDEX( DATOS3!$1:$19996,A137,MATCH("StudyDescription", DATOS3!$1:$1,0)))</f>
        <v>#N/A</v>
      </c>
      <c r="I137" t="e">
        <f>IF(INDEX( DATOS3!$1:$19996,A137,MATCH("Dose_Area_Product_Total", DATOS3!$1:$1,0))=0,0,INDEX( DATOS3!$1:$19996,A137,MATCH("Dose_Area_Product", DATOS3!$1:$1,0)))</f>
        <v>#N/A</v>
      </c>
      <c r="J137" t="e">
        <f>IF(INDEX( DATOS3!$1:$19996,A137,MATCH("Dose_RP_Total", DATOS3!$1:$1,0))=0,0,INDEX( DATOS3!$1:$19996,A137,MATCH("Dose_RP", DATOS3!$1:$1,0)))</f>
        <v>#N/A</v>
      </c>
      <c r="K137" t="e">
        <f>IF(INDEX( DATOS3!$1:$19996,A137,MATCH("Total_Fluoro_Time", DATOS3!$1:$1,0))=0,0,INDEX( DATOS3!$1:$19996,A137,MATCH("Total_Fluoro_Time", DATOS3!$1:$1,0)))</f>
        <v>#N/A</v>
      </c>
    </row>
    <row r="138" spans="1:11" hidden="1" x14ac:dyDescent="0.25">
      <c r="A138">
        <v>138</v>
      </c>
      <c r="B138" t="e">
        <f t="shared" si="4"/>
        <v>#N/A</v>
      </c>
      <c r="C138" t="e">
        <f t="shared" si="5"/>
        <v>#N/A</v>
      </c>
      <c r="D138" t="e">
        <f>IF(INDEX( DATOS3!$1:$19996,A138,MATCH("PatientID", DATOS3!$1:$1,0))=0,"",INDEX( DATOS3!$1:$19996,A138,MATCH("PatientID", DATOS3!$1:$1,0)))</f>
        <v>#N/A</v>
      </c>
      <c r="F138" t="e">
        <f>IF(INDEX( DATOS3!$1:$19996,A138,MATCH("SeriesDate", DATOS3!$1:$1,0))=0,"",INDEX( DATOS3!$1:$19996,A138,MATCH("SeriesDate", DATOS3!$1:$1,0)))</f>
        <v>#N/A</v>
      </c>
      <c r="G138" t="e">
        <f>IF(INDEX( DATOS3!$1:$19996,A138,MATCH("SeriesTime", DATOS3!$1:$1,0))=0,"",INDEX( DATOS3!$1:$19996,A138,MATCH("SeriesTime", DATOS3!$1:$1,0)))</f>
        <v>#N/A</v>
      </c>
      <c r="H138" t="e">
        <f>IF(INDEX( DATOS3!$1:$19996,A138,MATCH("StudyDescription", DATOS3!$1:$1,0))=0,"",INDEX( DATOS3!$1:$19996,A138,MATCH("StudyDescription", DATOS3!$1:$1,0)))</f>
        <v>#N/A</v>
      </c>
      <c r="I138" t="e">
        <f>IF(INDEX( DATOS3!$1:$19996,A138,MATCH("Dose_Area_Product_Total", DATOS3!$1:$1,0))=0,0,INDEX( DATOS3!$1:$19996,A138,MATCH("Dose_Area_Product", DATOS3!$1:$1,0)))</f>
        <v>#N/A</v>
      </c>
      <c r="J138" t="e">
        <f>IF(INDEX( DATOS3!$1:$19996,A138,MATCH("Dose_RP_Total", DATOS3!$1:$1,0))=0,0,INDEX( DATOS3!$1:$19996,A138,MATCH("Dose_RP", DATOS3!$1:$1,0)))</f>
        <v>#N/A</v>
      </c>
      <c r="K138" t="e">
        <f>IF(INDEX( DATOS3!$1:$19996,A138,MATCH("Total_Fluoro_Time", DATOS3!$1:$1,0))=0,0,INDEX( DATOS3!$1:$19996,A138,MATCH("Total_Fluoro_Time", DATOS3!$1:$1,0)))</f>
        <v>#N/A</v>
      </c>
    </row>
    <row r="139" spans="1:11" hidden="1" x14ac:dyDescent="0.25">
      <c r="A139">
        <v>139</v>
      </c>
      <c r="B139" t="e">
        <f t="shared" si="4"/>
        <v>#N/A</v>
      </c>
      <c r="C139" t="e">
        <f t="shared" si="5"/>
        <v>#N/A</v>
      </c>
      <c r="D139" t="e">
        <f>IF(INDEX( DATOS3!$1:$19996,A139,MATCH("PatientID", DATOS3!$1:$1,0))=0,"",INDEX( DATOS3!$1:$19996,A139,MATCH("PatientID", DATOS3!$1:$1,0)))</f>
        <v>#N/A</v>
      </c>
      <c r="F139" t="e">
        <f>IF(INDEX( DATOS3!$1:$19996,A139,MATCH("SeriesDate", DATOS3!$1:$1,0))=0,"",INDEX( DATOS3!$1:$19996,A139,MATCH("SeriesDate", DATOS3!$1:$1,0)))</f>
        <v>#N/A</v>
      </c>
      <c r="G139" t="e">
        <f>IF(INDEX( DATOS3!$1:$19996,A139,MATCH("SeriesTime", DATOS3!$1:$1,0))=0,"",INDEX( DATOS3!$1:$19996,A139,MATCH("SeriesTime", DATOS3!$1:$1,0)))</f>
        <v>#N/A</v>
      </c>
      <c r="H139" t="e">
        <f>IF(INDEX( DATOS3!$1:$19996,A139,MATCH("StudyDescription", DATOS3!$1:$1,0))=0,"",INDEX( DATOS3!$1:$19996,A139,MATCH("StudyDescription", DATOS3!$1:$1,0)))</f>
        <v>#N/A</v>
      </c>
      <c r="I139" t="e">
        <f>IF(INDEX( DATOS3!$1:$19996,A139,MATCH("Dose_Area_Product_Total", DATOS3!$1:$1,0))=0,0,INDEX( DATOS3!$1:$19996,A139,MATCH("Dose_Area_Product", DATOS3!$1:$1,0)))</f>
        <v>#N/A</v>
      </c>
      <c r="J139" t="e">
        <f>IF(INDEX( DATOS3!$1:$19996,A139,MATCH("Dose_RP_Total", DATOS3!$1:$1,0))=0,0,INDEX( DATOS3!$1:$19996,A139,MATCH("Dose_RP", DATOS3!$1:$1,0)))</f>
        <v>#N/A</v>
      </c>
      <c r="K139" t="e">
        <f>IF(INDEX( DATOS3!$1:$19996,A139,MATCH("Total_Fluoro_Time", DATOS3!$1:$1,0))=0,0,INDEX( DATOS3!$1:$19996,A139,MATCH("Total_Fluoro_Time", DATOS3!$1:$1,0)))</f>
        <v>#N/A</v>
      </c>
    </row>
    <row r="140" spans="1:11" hidden="1" x14ac:dyDescent="0.25">
      <c r="A140">
        <v>140</v>
      </c>
      <c r="B140" t="e">
        <f t="shared" si="4"/>
        <v>#N/A</v>
      </c>
      <c r="C140" t="e">
        <f t="shared" si="5"/>
        <v>#N/A</v>
      </c>
      <c r="D140" t="e">
        <f>IF(INDEX( DATOS3!$1:$19996,A140,MATCH("PatientID", DATOS3!$1:$1,0))=0,"",INDEX( DATOS3!$1:$19996,A140,MATCH("PatientID", DATOS3!$1:$1,0)))</f>
        <v>#N/A</v>
      </c>
      <c r="F140" t="e">
        <f>IF(INDEX( DATOS3!$1:$19996,A140,MATCH("SeriesDate", DATOS3!$1:$1,0))=0,"",INDEX( DATOS3!$1:$19996,A140,MATCH("SeriesDate", DATOS3!$1:$1,0)))</f>
        <v>#N/A</v>
      </c>
      <c r="G140" t="e">
        <f>IF(INDEX( DATOS3!$1:$19996,A140,MATCH("SeriesTime", DATOS3!$1:$1,0))=0,"",INDEX( DATOS3!$1:$19996,A140,MATCH("SeriesTime", DATOS3!$1:$1,0)))</f>
        <v>#N/A</v>
      </c>
      <c r="H140" t="e">
        <f>IF(INDEX( DATOS3!$1:$19996,A140,MATCH("StudyDescription", DATOS3!$1:$1,0))=0,"",INDEX( DATOS3!$1:$19996,A140,MATCH("StudyDescription", DATOS3!$1:$1,0)))</f>
        <v>#N/A</v>
      </c>
      <c r="I140" t="e">
        <f>IF(INDEX( DATOS3!$1:$19996,A140,MATCH("Dose_Area_Product_Total", DATOS3!$1:$1,0))=0,0,INDEX( DATOS3!$1:$19996,A140,MATCH("Dose_Area_Product", DATOS3!$1:$1,0)))</f>
        <v>#N/A</v>
      </c>
      <c r="J140" t="e">
        <f>IF(INDEX( DATOS3!$1:$19996,A140,MATCH("Dose_RP_Total", DATOS3!$1:$1,0))=0,0,INDEX( DATOS3!$1:$19996,A140,MATCH("Dose_RP", DATOS3!$1:$1,0)))</f>
        <v>#N/A</v>
      </c>
      <c r="K140" t="e">
        <f>IF(INDEX( DATOS3!$1:$19996,A140,MATCH("Total_Fluoro_Time", DATOS3!$1:$1,0))=0,0,INDEX( DATOS3!$1:$19996,A140,MATCH("Total_Fluoro_Time", DATOS3!$1:$1,0)))</f>
        <v>#N/A</v>
      </c>
    </row>
    <row r="141" spans="1:11" hidden="1" x14ac:dyDescent="0.25">
      <c r="A141">
        <v>141</v>
      </c>
      <c r="B141" t="e">
        <f t="shared" si="4"/>
        <v>#N/A</v>
      </c>
      <c r="C141" t="e">
        <f t="shared" si="5"/>
        <v>#N/A</v>
      </c>
      <c r="D141" t="e">
        <f>IF(INDEX( DATOS3!$1:$19996,A141,MATCH("PatientID", DATOS3!$1:$1,0))=0,"",INDEX( DATOS3!$1:$19996,A141,MATCH("PatientID", DATOS3!$1:$1,0)))</f>
        <v>#N/A</v>
      </c>
      <c r="F141" t="e">
        <f>IF(INDEX( DATOS3!$1:$19996,A141,MATCH("SeriesDate", DATOS3!$1:$1,0))=0,"",INDEX( DATOS3!$1:$19996,A141,MATCH("SeriesDate", DATOS3!$1:$1,0)))</f>
        <v>#N/A</v>
      </c>
      <c r="G141" t="e">
        <f>IF(INDEX( DATOS3!$1:$19996,A141,MATCH("SeriesTime", DATOS3!$1:$1,0))=0,"",INDEX( DATOS3!$1:$19996,A141,MATCH("SeriesTime", DATOS3!$1:$1,0)))</f>
        <v>#N/A</v>
      </c>
      <c r="H141" t="e">
        <f>IF(INDEX( DATOS3!$1:$19996,A141,MATCH("StudyDescription", DATOS3!$1:$1,0))=0,"",INDEX( DATOS3!$1:$19996,A141,MATCH("StudyDescription", DATOS3!$1:$1,0)))</f>
        <v>#N/A</v>
      </c>
      <c r="I141" t="e">
        <f>IF(INDEX( DATOS3!$1:$19996,A141,MATCH("Dose_Area_Product_Total", DATOS3!$1:$1,0))=0,0,INDEX( DATOS3!$1:$19996,A141,MATCH("Dose_Area_Product", DATOS3!$1:$1,0)))</f>
        <v>#N/A</v>
      </c>
      <c r="J141" t="e">
        <f>IF(INDEX( DATOS3!$1:$19996,A141,MATCH("Dose_RP_Total", DATOS3!$1:$1,0))=0,0,INDEX( DATOS3!$1:$19996,A141,MATCH("Dose_RP", DATOS3!$1:$1,0)))</f>
        <v>#N/A</v>
      </c>
      <c r="K141" t="e">
        <f>IF(INDEX( DATOS3!$1:$19996,A141,MATCH("Total_Fluoro_Time", DATOS3!$1:$1,0))=0,0,INDEX( DATOS3!$1:$19996,A141,MATCH("Total_Fluoro_Time", DATOS3!$1:$1,0)))</f>
        <v>#N/A</v>
      </c>
    </row>
    <row r="142" spans="1:11" hidden="1" x14ac:dyDescent="0.25">
      <c r="A142">
        <v>142</v>
      </c>
      <c r="B142" t="e">
        <f t="shared" si="4"/>
        <v>#N/A</v>
      </c>
      <c r="C142" t="e">
        <f t="shared" si="5"/>
        <v>#N/A</v>
      </c>
      <c r="D142" t="e">
        <f>IF(INDEX( DATOS3!$1:$19996,A142,MATCH("PatientID", DATOS3!$1:$1,0))=0,"",INDEX( DATOS3!$1:$19996,A142,MATCH("PatientID", DATOS3!$1:$1,0)))</f>
        <v>#N/A</v>
      </c>
      <c r="F142" t="e">
        <f>IF(INDEX( DATOS3!$1:$19996,A142,MATCH("SeriesDate", DATOS3!$1:$1,0))=0,"",INDEX( DATOS3!$1:$19996,A142,MATCH("SeriesDate", DATOS3!$1:$1,0)))</f>
        <v>#N/A</v>
      </c>
      <c r="G142" t="e">
        <f>IF(INDEX( DATOS3!$1:$19996,A142,MATCH("SeriesTime", DATOS3!$1:$1,0))=0,"",INDEX( DATOS3!$1:$19996,A142,MATCH("SeriesTime", DATOS3!$1:$1,0)))</f>
        <v>#N/A</v>
      </c>
      <c r="H142" t="e">
        <f>IF(INDEX( DATOS3!$1:$19996,A142,MATCH("StudyDescription", DATOS3!$1:$1,0))=0,"",INDEX( DATOS3!$1:$19996,A142,MATCH("StudyDescription", DATOS3!$1:$1,0)))</f>
        <v>#N/A</v>
      </c>
      <c r="I142" t="e">
        <f>IF(INDEX( DATOS3!$1:$19996,A142,MATCH("Dose_Area_Product_Total", DATOS3!$1:$1,0))=0,0,INDEX( DATOS3!$1:$19996,A142,MATCH("Dose_Area_Product", DATOS3!$1:$1,0)))</f>
        <v>#N/A</v>
      </c>
      <c r="J142" t="e">
        <f>IF(INDEX( DATOS3!$1:$19996,A142,MATCH("Dose_RP_Total", DATOS3!$1:$1,0))=0,0,INDEX( DATOS3!$1:$19996,A142,MATCH("Dose_RP", DATOS3!$1:$1,0)))</f>
        <v>#N/A</v>
      </c>
      <c r="K142" t="e">
        <f>IF(INDEX( DATOS3!$1:$19996,A142,MATCH("Total_Fluoro_Time", DATOS3!$1:$1,0))=0,0,INDEX( DATOS3!$1:$19996,A142,MATCH("Total_Fluoro_Time", DATOS3!$1:$1,0)))</f>
        <v>#N/A</v>
      </c>
    </row>
    <row r="143" spans="1:11" hidden="1" x14ac:dyDescent="0.25">
      <c r="A143">
        <v>143</v>
      </c>
      <c r="B143" t="e">
        <f t="shared" si="4"/>
        <v>#N/A</v>
      </c>
      <c r="C143" t="e">
        <f t="shared" si="5"/>
        <v>#N/A</v>
      </c>
      <c r="D143" t="e">
        <f>IF(INDEX( DATOS3!$1:$19996,A143,MATCH("PatientID", DATOS3!$1:$1,0))=0,"",INDEX( DATOS3!$1:$19996,A143,MATCH("PatientID", DATOS3!$1:$1,0)))</f>
        <v>#N/A</v>
      </c>
      <c r="F143" t="e">
        <f>IF(INDEX( DATOS3!$1:$19996,A143,MATCH("SeriesDate", DATOS3!$1:$1,0))=0,"",INDEX( DATOS3!$1:$19996,A143,MATCH("SeriesDate", DATOS3!$1:$1,0)))</f>
        <v>#N/A</v>
      </c>
      <c r="G143" t="e">
        <f>IF(INDEX( DATOS3!$1:$19996,A143,MATCH("SeriesTime", DATOS3!$1:$1,0))=0,"",INDEX( DATOS3!$1:$19996,A143,MATCH("SeriesTime", DATOS3!$1:$1,0)))</f>
        <v>#N/A</v>
      </c>
      <c r="H143" t="e">
        <f>IF(INDEX( DATOS3!$1:$19996,A143,MATCH("StudyDescription", DATOS3!$1:$1,0))=0,"",INDEX( DATOS3!$1:$19996,A143,MATCH("StudyDescription", DATOS3!$1:$1,0)))</f>
        <v>#N/A</v>
      </c>
      <c r="I143" t="e">
        <f>IF(INDEX( DATOS3!$1:$19996,A143,MATCH("Dose_Area_Product_Total", DATOS3!$1:$1,0))=0,0,INDEX( DATOS3!$1:$19996,A143,MATCH("Dose_Area_Product", DATOS3!$1:$1,0)))</f>
        <v>#N/A</v>
      </c>
      <c r="J143" t="e">
        <f>IF(INDEX( DATOS3!$1:$19996,A143,MATCH("Dose_RP_Total", DATOS3!$1:$1,0))=0,0,INDEX( DATOS3!$1:$19996,A143,MATCH("Dose_RP", DATOS3!$1:$1,0)))</f>
        <v>#N/A</v>
      </c>
      <c r="K143" t="e">
        <f>IF(INDEX( DATOS3!$1:$19996,A143,MATCH("Total_Fluoro_Time", DATOS3!$1:$1,0))=0,0,INDEX( DATOS3!$1:$19996,A143,MATCH("Total_Fluoro_Time", DATOS3!$1:$1,0)))</f>
        <v>#N/A</v>
      </c>
    </row>
    <row r="144" spans="1:11" hidden="1" x14ac:dyDescent="0.25">
      <c r="A144">
        <v>144</v>
      </c>
      <c r="B144" t="e">
        <f t="shared" si="4"/>
        <v>#N/A</v>
      </c>
      <c r="C144" t="e">
        <f t="shared" si="5"/>
        <v>#N/A</v>
      </c>
      <c r="D144" t="e">
        <f>IF(INDEX( DATOS3!$1:$19996,A144,MATCH("PatientID", DATOS3!$1:$1,0))=0,"",INDEX( DATOS3!$1:$19996,A144,MATCH("PatientID", DATOS3!$1:$1,0)))</f>
        <v>#N/A</v>
      </c>
      <c r="F144" t="e">
        <f>IF(INDEX( DATOS3!$1:$19996,A144,MATCH("SeriesDate", DATOS3!$1:$1,0))=0,"",INDEX( DATOS3!$1:$19996,A144,MATCH("SeriesDate", DATOS3!$1:$1,0)))</f>
        <v>#N/A</v>
      </c>
      <c r="G144" t="e">
        <f>IF(INDEX( DATOS3!$1:$19996,A144,MATCH("SeriesTime", DATOS3!$1:$1,0))=0,"",INDEX( DATOS3!$1:$19996,A144,MATCH("SeriesTime", DATOS3!$1:$1,0)))</f>
        <v>#N/A</v>
      </c>
      <c r="H144" t="e">
        <f>IF(INDEX( DATOS3!$1:$19996,A144,MATCH("StudyDescription", DATOS3!$1:$1,0))=0,"",INDEX( DATOS3!$1:$19996,A144,MATCH("StudyDescription", DATOS3!$1:$1,0)))</f>
        <v>#N/A</v>
      </c>
      <c r="I144" t="e">
        <f>IF(INDEX( DATOS3!$1:$19996,A144,MATCH("Dose_Area_Product_Total", DATOS3!$1:$1,0))=0,0,INDEX( DATOS3!$1:$19996,A144,MATCH("Dose_Area_Product", DATOS3!$1:$1,0)))</f>
        <v>#N/A</v>
      </c>
      <c r="J144" t="e">
        <f>IF(INDEX( DATOS3!$1:$19996,A144,MATCH("Dose_RP_Total", DATOS3!$1:$1,0))=0,0,INDEX( DATOS3!$1:$19996,A144,MATCH("Dose_RP", DATOS3!$1:$1,0)))</f>
        <v>#N/A</v>
      </c>
      <c r="K144" t="e">
        <f>IF(INDEX( DATOS3!$1:$19996,A144,MATCH("Total_Fluoro_Time", DATOS3!$1:$1,0))=0,0,INDEX( DATOS3!$1:$19996,A144,MATCH("Total_Fluoro_Time", DATOS3!$1:$1,0)))</f>
        <v>#N/A</v>
      </c>
    </row>
    <row r="145" spans="1:11" hidden="1" x14ac:dyDescent="0.25">
      <c r="A145">
        <v>145</v>
      </c>
      <c r="B145" t="e">
        <f t="shared" si="4"/>
        <v>#N/A</v>
      </c>
      <c r="C145" t="e">
        <f t="shared" si="5"/>
        <v>#N/A</v>
      </c>
      <c r="D145" t="e">
        <f>IF(INDEX( DATOS3!$1:$19996,A145,MATCH("PatientID", DATOS3!$1:$1,0))=0,"",INDEX( DATOS3!$1:$19996,A145,MATCH("PatientID", DATOS3!$1:$1,0)))</f>
        <v>#N/A</v>
      </c>
      <c r="F145" t="e">
        <f>IF(INDEX( DATOS3!$1:$19996,A145,MATCH("SeriesDate", DATOS3!$1:$1,0))=0,"",INDEX( DATOS3!$1:$19996,A145,MATCH("SeriesDate", DATOS3!$1:$1,0)))</f>
        <v>#N/A</v>
      </c>
      <c r="G145" t="e">
        <f>IF(INDEX( DATOS3!$1:$19996,A145,MATCH("SeriesTime", DATOS3!$1:$1,0))=0,"",INDEX( DATOS3!$1:$19996,A145,MATCH("SeriesTime", DATOS3!$1:$1,0)))</f>
        <v>#N/A</v>
      </c>
      <c r="H145" t="e">
        <f>IF(INDEX( DATOS3!$1:$19996,A145,MATCH("StudyDescription", DATOS3!$1:$1,0))=0,"",INDEX( DATOS3!$1:$19996,A145,MATCH("StudyDescription", DATOS3!$1:$1,0)))</f>
        <v>#N/A</v>
      </c>
      <c r="I145" t="e">
        <f>IF(INDEX( DATOS3!$1:$19996,A145,MATCH("Dose_Area_Product_Total", DATOS3!$1:$1,0))=0,0,INDEX( DATOS3!$1:$19996,A145,MATCH("Dose_Area_Product", DATOS3!$1:$1,0)))</f>
        <v>#N/A</v>
      </c>
      <c r="J145" t="e">
        <f>IF(INDEX( DATOS3!$1:$19996,A145,MATCH("Dose_RP_Total", DATOS3!$1:$1,0))=0,0,INDEX( DATOS3!$1:$19996,A145,MATCH("Dose_RP", DATOS3!$1:$1,0)))</f>
        <v>#N/A</v>
      </c>
      <c r="K145" t="e">
        <f>IF(INDEX( DATOS3!$1:$19996,A145,MATCH("Total_Fluoro_Time", DATOS3!$1:$1,0))=0,0,INDEX( DATOS3!$1:$19996,A145,MATCH("Total_Fluoro_Time", DATOS3!$1:$1,0)))</f>
        <v>#N/A</v>
      </c>
    </row>
    <row r="146" spans="1:11" hidden="1" x14ac:dyDescent="0.25">
      <c r="A146">
        <v>146</v>
      </c>
      <c r="B146" t="e">
        <f t="shared" si="4"/>
        <v>#N/A</v>
      </c>
      <c r="C146" t="e">
        <f t="shared" si="5"/>
        <v>#N/A</v>
      </c>
      <c r="D146" t="e">
        <f>IF(INDEX( DATOS3!$1:$19996,A146,MATCH("PatientID", DATOS3!$1:$1,0))=0,"",INDEX( DATOS3!$1:$19996,A146,MATCH("PatientID", DATOS3!$1:$1,0)))</f>
        <v>#N/A</v>
      </c>
      <c r="F146" t="e">
        <f>IF(INDEX( DATOS3!$1:$19996,A146,MATCH("SeriesDate", DATOS3!$1:$1,0))=0,"",INDEX( DATOS3!$1:$19996,A146,MATCH("SeriesDate", DATOS3!$1:$1,0)))</f>
        <v>#N/A</v>
      </c>
      <c r="G146" t="e">
        <f>IF(INDEX( DATOS3!$1:$19996,A146,MATCH("SeriesTime", DATOS3!$1:$1,0))=0,"",INDEX( DATOS3!$1:$19996,A146,MATCH("SeriesTime", DATOS3!$1:$1,0)))</f>
        <v>#N/A</v>
      </c>
      <c r="H146" t="e">
        <f>IF(INDEX( DATOS3!$1:$19996,A146,MATCH("StudyDescription", DATOS3!$1:$1,0))=0,"",INDEX( DATOS3!$1:$19996,A146,MATCH("StudyDescription", DATOS3!$1:$1,0)))</f>
        <v>#N/A</v>
      </c>
      <c r="I146" t="e">
        <f>IF(INDEX( DATOS3!$1:$19996,A146,MATCH("Dose_Area_Product_Total", DATOS3!$1:$1,0))=0,0,INDEX( DATOS3!$1:$19996,A146,MATCH("Dose_Area_Product", DATOS3!$1:$1,0)))</f>
        <v>#N/A</v>
      </c>
      <c r="J146" t="e">
        <f>IF(INDEX( DATOS3!$1:$19996,A146,MATCH("Dose_RP_Total", DATOS3!$1:$1,0))=0,0,INDEX( DATOS3!$1:$19996,A146,MATCH("Dose_RP", DATOS3!$1:$1,0)))</f>
        <v>#N/A</v>
      </c>
      <c r="K146" t="e">
        <f>IF(INDEX( DATOS3!$1:$19996,A146,MATCH("Total_Fluoro_Time", DATOS3!$1:$1,0))=0,0,INDEX( DATOS3!$1:$19996,A146,MATCH("Total_Fluoro_Time", DATOS3!$1:$1,0)))</f>
        <v>#N/A</v>
      </c>
    </row>
    <row r="147" spans="1:11" hidden="1" x14ac:dyDescent="0.25">
      <c r="A147">
        <v>147</v>
      </c>
      <c r="B147" t="e">
        <f t="shared" si="4"/>
        <v>#N/A</v>
      </c>
      <c r="C147" t="e">
        <f t="shared" si="5"/>
        <v>#N/A</v>
      </c>
      <c r="D147" t="e">
        <f>IF(INDEX( DATOS3!$1:$19996,A147,MATCH("PatientID", DATOS3!$1:$1,0))=0,"",INDEX( DATOS3!$1:$19996,A147,MATCH("PatientID", DATOS3!$1:$1,0)))</f>
        <v>#N/A</v>
      </c>
      <c r="F147" t="e">
        <f>IF(INDEX( DATOS3!$1:$19996,A147,MATCH("SeriesDate", DATOS3!$1:$1,0))=0,"",INDEX( DATOS3!$1:$19996,A147,MATCH("SeriesDate", DATOS3!$1:$1,0)))</f>
        <v>#N/A</v>
      </c>
      <c r="G147" t="e">
        <f>IF(INDEX( DATOS3!$1:$19996,A147,MATCH("SeriesTime", DATOS3!$1:$1,0))=0,"",INDEX( DATOS3!$1:$19996,A147,MATCH("SeriesTime", DATOS3!$1:$1,0)))</f>
        <v>#N/A</v>
      </c>
      <c r="H147" t="e">
        <f>IF(INDEX( DATOS3!$1:$19996,A147,MATCH("StudyDescription", DATOS3!$1:$1,0))=0,"",INDEX( DATOS3!$1:$19996,A147,MATCH("StudyDescription", DATOS3!$1:$1,0)))</f>
        <v>#N/A</v>
      </c>
      <c r="I147" t="e">
        <f>IF(INDEX( DATOS3!$1:$19996,A147,MATCH("Dose_Area_Product_Total", DATOS3!$1:$1,0))=0,0,INDEX( DATOS3!$1:$19996,A147,MATCH("Dose_Area_Product", DATOS3!$1:$1,0)))</f>
        <v>#N/A</v>
      </c>
      <c r="J147" t="e">
        <f>IF(INDEX( DATOS3!$1:$19996,A147,MATCH("Dose_RP_Total", DATOS3!$1:$1,0))=0,0,INDEX( DATOS3!$1:$19996,A147,MATCH("Dose_RP", DATOS3!$1:$1,0)))</f>
        <v>#N/A</v>
      </c>
      <c r="K147" t="e">
        <f>IF(INDEX( DATOS3!$1:$19996,A147,MATCH("Total_Fluoro_Time", DATOS3!$1:$1,0))=0,0,INDEX( DATOS3!$1:$19996,A147,MATCH("Total_Fluoro_Time", DATOS3!$1:$1,0)))</f>
        <v>#N/A</v>
      </c>
    </row>
    <row r="148" spans="1:11" hidden="1" x14ac:dyDescent="0.25">
      <c r="A148">
        <v>148</v>
      </c>
      <c r="B148" t="e">
        <f t="shared" si="4"/>
        <v>#N/A</v>
      </c>
      <c r="C148" t="e">
        <f t="shared" si="5"/>
        <v>#N/A</v>
      </c>
      <c r="D148" t="e">
        <f>IF(INDEX( DATOS3!$1:$19996,A148,MATCH("PatientID", DATOS3!$1:$1,0))=0,"",INDEX( DATOS3!$1:$19996,A148,MATCH("PatientID", DATOS3!$1:$1,0)))</f>
        <v>#N/A</v>
      </c>
      <c r="F148" t="e">
        <f>IF(INDEX( DATOS3!$1:$19996,A148,MATCH("SeriesDate", DATOS3!$1:$1,0))=0,"",INDEX( DATOS3!$1:$19996,A148,MATCH("SeriesDate", DATOS3!$1:$1,0)))</f>
        <v>#N/A</v>
      </c>
      <c r="G148" t="e">
        <f>IF(INDEX( DATOS3!$1:$19996,A148,MATCH("SeriesTime", DATOS3!$1:$1,0))=0,"",INDEX( DATOS3!$1:$19996,A148,MATCH("SeriesTime", DATOS3!$1:$1,0)))</f>
        <v>#N/A</v>
      </c>
      <c r="H148" t="e">
        <f>IF(INDEX( DATOS3!$1:$19996,A148,MATCH("StudyDescription", DATOS3!$1:$1,0))=0,"",INDEX( DATOS3!$1:$19996,A148,MATCH("StudyDescription", DATOS3!$1:$1,0)))</f>
        <v>#N/A</v>
      </c>
      <c r="I148" t="e">
        <f>IF(INDEX( DATOS3!$1:$19996,A148,MATCH("Dose_Area_Product_Total", DATOS3!$1:$1,0))=0,0,INDEX( DATOS3!$1:$19996,A148,MATCH("Dose_Area_Product", DATOS3!$1:$1,0)))</f>
        <v>#N/A</v>
      </c>
      <c r="J148" t="e">
        <f>IF(INDEX( DATOS3!$1:$19996,A148,MATCH("Dose_RP_Total", DATOS3!$1:$1,0))=0,0,INDEX( DATOS3!$1:$19996,A148,MATCH("Dose_RP", DATOS3!$1:$1,0)))</f>
        <v>#N/A</v>
      </c>
      <c r="K148" t="e">
        <f>IF(INDEX( DATOS3!$1:$19996,A148,MATCH("Total_Fluoro_Time", DATOS3!$1:$1,0))=0,0,INDEX( DATOS3!$1:$19996,A148,MATCH("Total_Fluoro_Time", DATOS3!$1:$1,0)))</f>
        <v>#N/A</v>
      </c>
    </row>
    <row r="149" spans="1:11" hidden="1" x14ac:dyDescent="0.25">
      <c r="A149">
        <v>149</v>
      </c>
      <c r="B149" t="e">
        <f t="shared" si="4"/>
        <v>#N/A</v>
      </c>
      <c r="C149" t="e">
        <f t="shared" si="5"/>
        <v>#N/A</v>
      </c>
      <c r="D149" t="e">
        <f>IF(INDEX( DATOS3!$1:$19996,A149,MATCH("PatientID", DATOS3!$1:$1,0))=0,"",INDEX( DATOS3!$1:$19996,A149,MATCH("PatientID", DATOS3!$1:$1,0)))</f>
        <v>#N/A</v>
      </c>
      <c r="F149" t="e">
        <f>IF(INDEX( DATOS3!$1:$19996,A149,MATCH("SeriesDate", DATOS3!$1:$1,0))=0,"",INDEX( DATOS3!$1:$19996,A149,MATCH("SeriesDate", DATOS3!$1:$1,0)))</f>
        <v>#N/A</v>
      </c>
      <c r="G149" t="e">
        <f>IF(INDEX( DATOS3!$1:$19996,A149,MATCH("SeriesTime", DATOS3!$1:$1,0))=0,"",INDEX( DATOS3!$1:$19996,A149,MATCH("SeriesTime", DATOS3!$1:$1,0)))</f>
        <v>#N/A</v>
      </c>
      <c r="H149" t="e">
        <f>IF(INDEX( DATOS3!$1:$19996,A149,MATCH("StudyDescription", DATOS3!$1:$1,0))=0,"",INDEX( DATOS3!$1:$19996,A149,MATCH("StudyDescription", DATOS3!$1:$1,0)))</f>
        <v>#N/A</v>
      </c>
      <c r="I149" t="e">
        <f>IF(INDEX( DATOS3!$1:$19996,A149,MATCH("Dose_Area_Product_Total", DATOS3!$1:$1,0))=0,0,INDEX( DATOS3!$1:$19996,A149,MATCH("Dose_Area_Product", DATOS3!$1:$1,0)))</f>
        <v>#N/A</v>
      </c>
      <c r="J149" t="e">
        <f>IF(INDEX( DATOS3!$1:$19996,A149,MATCH("Dose_RP_Total", DATOS3!$1:$1,0))=0,0,INDEX( DATOS3!$1:$19996,A149,MATCH("Dose_RP", DATOS3!$1:$1,0)))</f>
        <v>#N/A</v>
      </c>
      <c r="K149" t="e">
        <f>IF(INDEX( DATOS3!$1:$19996,A149,MATCH("Total_Fluoro_Time", DATOS3!$1:$1,0))=0,0,INDEX( DATOS3!$1:$19996,A149,MATCH("Total_Fluoro_Time", DATOS3!$1:$1,0)))</f>
        <v>#N/A</v>
      </c>
    </row>
    <row r="150" spans="1:11" hidden="1" x14ac:dyDescent="0.25">
      <c r="A150">
        <v>150</v>
      </c>
      <c r="B150" t="e">
        <f t="shared" si="4"/>
        <v>#N/A</v>
      </c>
      <c r="C150" t="e">
        <f t="shared" si="5"/>
        <v>#N/A</v>
      </c>
      <c r="D150" t="e">
        <f>IF(INDEX( DATOS3!$1:$19996,A150,MATCH("PatientID", DATOS3!$1:$1,0))=0,"",INDEX( DATOS3!$1:$19996,A150,MATCH("PatientID", DATOS3!$1:$1,0)))</f>
        <v>#N/A</v>
      </c>
      <c r="F150" t="e">
        <f>IF(INDEX( DATOS3!$1:$19996,A150,MATCH("SeriesDate", DATOS3!$1:$1,0))=0,"",INDEX( DATOS3!$1:$19996,A150,MATCH("SeriesDate", DATOS3!$1:$1,0)))</f>
        <v>#N/A</v>
      </c>
      <c r="G150" t="e">
        <f>IF(INDEX( DATOS3!$1:$19996,A150,MATCH("SeriesTime", DATOS3!$1:$1,0))=0,"",INDEX( DATOS3!$1:$19996,A150,MATCH("SeriesTime", DATOS3!$1:$1,0)))</f>
        <v>#N/A</v>
      </c>
      <c r="H150" t="e">
        <f>IF(INDEX( DATOS3!$1:$19996,A150,MATCH("StudyDescription", DATOS3!$1:$1,0))=0,"",INDEX( DATOS3!$1:$19996,A150,MATCH("StudyDescription", DATOS3!$1:$1,0)))</f>
        <v>#N/A</v>
      </c>
      <c r="I150" t="e">
        <f>IF(INDEX( DATOS3!$1:$19996,A150,MATCH("Dose_Area_Product_Total", DATOS3!$1:$1,0))=0,0,INDEX( DATOS3!$1:$19996,A150,MATCH("Dose_Area_Product", DATOS3!$1:$1,0)))</f>
        <v>#N/A</v>
      </c>
      <c r="J150" t="e">
        <f>IF(INDEX( DATOS3!$1:$19996,A150,MATCH("Dose_RP_Total", DATOS3!$1:$1,0))=0,0,INDEX( DATOS3!$1:$19996,A150,MATCH("Dose_RP", DATOS3!$1:$1,0)))</f>
        <v>#N/A</v>
      </c>
      <c r="K150" t="e">
        <f>IF(INDEX( DATOS3!$1:$19996,A150,MATCH("Total_Fluoro_Time", DATOS3!$1:$1,0))=0,0,INDEX( DATOS3!$1:$19996,A150,MATCH("Total_Fluoro_Time", DATOS3!$1:$1,0)))</f>
        <v>#N/A</v>
      </c>
    </row>
    <row r="151" spans="1:11" hidden="1" x14ac:dyDescent="0.25">
      <c r="A151">
        <v>151</v>
      </c>
      <c r="B151" t="e">
        <f t="shared" si="4"/>
        <v>#N/A</v>
      </c>
      <c r="C151" t="e">
        <f t="shared" si="5"/>
        <v>#N/A</v>
      </c>
      <c r="D151" t="e">
        <f>IF(INDEX( DATOS3!$1:$19996,A151,MATCH("PatientID", DATOS3!$1:$1,0))=0,"",INDEX( DATOS3!$1:$19996,A151,MATCH("PatientID", DATOS3!$1:$1,0)))</f>
        <v>#N/A</v>
      </c>
      <c r="F151" t="e">
        <f>IF(INDEX( DATOS3!$1:$19996,A151,MATCH("SeriesDate", DATOS3!$1:$1,0))=0,"",INDEX( DATOS3!$1:$19996,A151,MATCH("SeriesDate", DATOS3!$1:$1,0)))</f>
        <v>#N/A</v>
      </c>
      <c r="G151" t="e">
        <f>IF(INDEX( DATOS3!$1:$19996,A151,MATCH("SeriesTime", DATOS3!$1:$1,0))=0,"",INDEX( DATOS3!$1:$19996,A151,MATCH("SeriesTime", DATOS3!$1:$1,0)))</f>
        <v>#N/A</v>
      </c>
      <c r="H151" t="e">
        <f>IF(INDEX( DATOS3!$1:$19996,A151,MATCH("StudyDescription", DATOS3!$1:$1,0))=0,"",INDEX( DATOS3!$1:$19996,A151,MATCH("StudyDescription", DATOS3!$1:$1,0)))</f>
        <v>#N/A</v>
      </c>
      <c r="I151" t="e">
        <f>IF(INDEX( DATOS3!$1:$19996,A151,MATCH("Dose_Area_Product_Total", DATOS3!$1:$1,0))=0,0,INDEX( DATOS3!$1:$19996,A151,MATCH("Dose_Area_Product", DATOS3!$1:$1,0)))</f>
        <v>#N/A</v>
      </c>
      <c r="J151" t="e">
        <f>IF(INDEX( DATOS3!$1:$19996,A151,MATCH("Dose_RP_Total", DATOS3!$1:$1,0))=0,0,INDEX( DATOS3!$1:$19996,A151,MATCH("Dose_RP", DATOS3!$1:$1,0)))</f>
        <v>#N/A</v>
      </c>
      <c r="K151" t="e">
        <f>IF(INDEX( DATOS3!$1:$19996,A151,MATCH("Total_Fluoro_Time", DATOS3!$1:$1,0))=0,0,INDEX( DATOS3!$1:$19996,A151,MATCH("Total_Fluoro_Time", DATOS3!$1:$1,0)))</f>
        <v>#N/A</v>
      </c>
    </row>
    <row r="152" spans="1:11" hidden="1" x14ac:dyDescent="0.25">
      <c r="A152">
        <v>152</v>
      </c>
      <c r="B152" t="e">
        <f t="shared" si="4"/>
        <v>#N/A</v>
      </c>
      <c r="C152" t="e">
        <f t="shared" si="5"/>
        <v>#N/A</v>
      </c>
      <c r="D152" t="e">
        <f>IF(INDEX( DATOS3!$1:$19996,A152,MATCH("PatientID", DATOS3!$1:$1,0))=0,"",INDEX( DATOS3!$1:$19996,A152,MATCH("PatientID", DATOS3!$1:$1,0)))</f>
        <v>#N/A</v>
      </c>
      <c r="F152" t="e">
        <f>IF(INDEX( DATOS3!$1:$19996,A152,MATCH("SeriesDate", DATOS3!$1:$1,0))=0,"",INDEX( DATOS3!$1:$19996,A152,MATCH("SeriesDate", DATOS3!$1:$1,0)))</f>
        <v>#N/A</v>
      </c>
      <c r="G152" t="e">
        <f>IF(INDEX( DATOS3!$1:$19996,A152,MATCH("SeriesTime", DATOS3!$1:$1,0))=0,"",INDEX( DATOS3!$1:$19996,A152,MATCH("SeriesTime", DATOS3!$1:$1,0)))</f>
        <v>#N/A</v>
      </c>
      <c r="H152" t="e">
        <f>IF(INDEX( DATOS3!$1:$19996,A152,MATCH("StudyDescription", DATOS3!$1:$1,0))=0,"",INDEX( DATOS3!$1:$19996,A152,MATCH("StudyDescription", DATOS3!$1:$1,0)))</f>
        <v>#N/A</v>
      </c>
      <c r="I152" t="e">
        <f>IF(INDEX( DATOS3!$1:$19996,A152,MATCH("Dose_Area_Product_Total", DATOS3!$1:$1,0))=0,0,INDEX( DATOS3!$1:$19996,A152,MATCH("Dose_Area_Product", DATOS3!$1:$1,0)))</f>
        <v>#N/A</v>
      </c>
      <c r="J152" t="e">
        <f>IF(INDEX( DATOS3!$1:$19996,A152,MATCH("Dose_RP_Total", DATOS3!$1:$1,0))=0,0,INDEX( DATOS3!$1:$19996,A152,MATCH("Dose_RP", DATOS3!$1:$1,0)))</f>
        <v>#N/A</v>
      </c>
      <c r="K152" t="e">
        <f>IF(INDEX( DATOS3!$1:$19996,A152,MATCH("Total_Fluoro_Time", DATOS3!$1:$1,0))=0,0,INDEX( DATOS3!$1:$19996,A152,MATCH("Total_Fluoro_Time", DATOS3!$1:$1,0)))</f>
        <v>#N/A</v>
      </c>
    </row>
    <row r="153" spans="1:11" hidden="1" x14ac:dyDescent="0.25">
      <c r="A153">
        <v>153</v>
      </c>
      <c r="B153" t="e">
        <f t="shared" si="4"/>
        <v>#N/A</v>
      </c>
      <c r="C153" t="e">
        <f t="shared" si="5"/>
        <v>#N/A</v>
      </c>
      <c r="D153" t="e">
        <f>IF(INDEX( DATOS3!$1:$19996,A153,MATCH("PatientID", DATOS3!$1:$1,0))=0,"",INDEX( DATOS3!$1:$19996,A153,MATCH("PatientID", DATOS3!$1:$1,0)))</f>
        <v>#N/A</v>
      </c>
      <c r="F153" t="e">
        <f>IF(INDEX( DATOS3!$1:$19996,A153,MATCH("SeriesDate", DATOS3!$1:$1,0))=0,"",INDEX( DATOS3!$1:$19996,A153,MATCH("SeriesDate", DATOS3!$1:$1,0)))</f>
        <v>#N/A</v>
      </c>
      <c r="G153" t="e">
        <f>IF(INDEX( DATOS3!$1:$19996,A153,MATCH("SeriesTime", DATOS3!$1:$1,0))=0,"",INDEX( DATOS3!$1:$19996,A153,MATCH("SeriesTime", DATOS3!$1:$1,0)))</f>
        <v>#N/A</v>
      </c>
      <c r="H153" t="e">
        <f>IF(INDEX( DATOS3!$1:$19996,A153,MATCH("StudyDescription", DATOS3!$1:$1,0))=0,"",INDEX( DATOS3!$1:$19996,A153,MATCH("StudyDescription", DATOS3!$1:$1,0)))</f>
        <v>#N/A</v>
      </c>
      <c r="I153" t="e">
        <f>IF(INDEX( DATOS3!$1:$19996,A153,MATCH("Dose_Area_Product_Total", DATOS3!$1:$1,0))=0,0,INDEX( DATOS3!$1:$19996,A153,MATCH("Dose_Area_Product", DATOS3!$1:$1,0)))</f>
        <v>#N/A</v>
      </c>
      <c r="J153" t="e">
        <f>IF(INDEX( DATOS3!$1:$19996,A153,MATCH("Dose_RP_Total", DATOS3!$1:$1,0))=0,0,INDEX( DATOS3!$1:$19996,A153,MATCH("Dose_RP", DATOS3!$1:$1,0)))</f>
        <v>#N/A</v>
      </c>
      <c r="K153" t="e">
        <f>IF(INDEX( DATOS3!$1:$19996,A153,MATCH("Total_Fluoro_Time", DATOS3!$1:$1,0))=0,0,INDEX( DATOS3!$1:$19996,A153,MATCH("Total_Fluoro_Time", DATOS3!$1:$1,0)))</f>
        <v>#N/A</v>
      </c>
    </row>
    <row r="154" spans="1:11" hidden="1" x14ac:dyDescent="0.25">
      <c r="A154">
        <v>154</v>
      </c>
      <c r="B154" t="e">
        <f t="shared" si="4"/>
        <v>#N/A</v>
      </c>
      <c r="C154" t="e">
        <f t="shared" si="5"/>
        <v>#N/A</v>
      </c>
      <c r="D154" t="e">
        <f>IF(INDEX( DATOS3!$1:$19996,A154,MATCH("PatientID", DATOS3!$1:$1,0))=0,"",INDEX( DATOS3!$1:$19996,A154,MATCH("PatientID", DATOS3!$1:$1,0)))</f>
        <v>#N/A</v>
      </c>
      <c r="F154" t="e">
        <f>IF(INDEX( DATOS3!$1:$19996,A154,MATCH("SeriesDate", DATOS3!$1:$1,0))=0,"",INDEX( DATOS3!$1:$19996,A154,MATCH("SeriesDate", DATOS3!$1:$1,0)))</f>
        <v>#N/A</v>
      </c>
      <c r="G154" t="e">
        <f>IF(INDEX( DATOS3!$1:$19996,A154,MATCH("SeriesTime", DATOS3!$1:$1,0))=0,"",INDEX( DATOS3!$1:$19996,A154,MATCH("SeriesTime", DATOS3!$1:$1,0)))</f>
        <v>#N/A</v>
      </c>
      <c r="H154" t="e">
        <f>IF(INDEX( DATOS3!$1:$19996,A154,MATCH("StudyDescription", DATOS3!$1:$1,0))=0,"",INDEX( DATOS3!$1:$19996,A154,MATCH("StudyDescription", DATOS3!$1:$1,0)))</f>
        <v>#N/A</v>
      </c>
      <c r="I154" t="e">
        <f>IF(INDEX( DATOS3!$1:$19996,A154,MATCH("Dose_Area_Product_Total", DATOS3!$1:$1,0))=0,0,INDEX( DATOS3!$1:$19996,A154,MATCH("Dose_Area_Product", DATOS3!$1:$1,0)))</f>
        <v>#N/A</v>
      </c>
      <c r="J154" t="e">
        <f>IF(INDEX( DATOS3!$1:$19996,A154,MATCH("Dose_RP_Total", DATOS3!$1:$1,0))=0,0,INDEX( DATOS3!$1:$19996,A154,MATCH("Dose_RP", DATOS3!$1:$1,0)))</f>
        <v>#N/A</v>
      </c>
      <c r="K154" t="e">
        <f>IF(INDEX( DATOS3!$1:$19996,A154,MATCH("Total_Fluoro_Time", DATOS3!$1:$1,0))=0,0,INDEX( DATOS3!$1:$19996,A154,MATCH("Total_Fluoro_Time", DATOS3!$1:$1,0)))</f>
        <v>#N/A</v>
      </c>
    </row>
    <row r="155" spans="1:11" hidden="1" x14ac:dyDescent="0.25">
      <c r="A155">
        <v>155</v>
      </c>
      <c r="B155" t="e">
        <f t="shared" si="4"/>
        <v>#N/A</v>
      </c>
      <c r="C155" t="e">
        <f t="shared" si="5"/>
        <v>#N/A</v>
      </c>
      <c r="D155" t="e">
        <f>IF(INDEX( DATOS3!$1:$19996,A155,MATCH("PatientID", DATOS3!$1:$1,0))=0,"",INDEX( DATOS3!$1:$19996,A155,MATCH("PatientID", DATOS3!$1:$1,0)))</f>
        <v>#N/A</v>
      </c>
      <c r="F155" t="e">
        <f>IF(INDEX( DATOS3!$1:$19996,A155,MATCH("SeriesDate", DATOS3!$1:$1,0))=0,"",INDEX( DATOS3!$1:$19996,A155,MATCH("SeriesDate", DATOS3!$1:$1,0)))</f>
        <v>#N/A</v>
      </c>
      <c r="G155" t="e">
        <f>IF(INDEX( DATOS3!$1:$19996,A155,MATCH("SeriesTime", DATOS3!$1:$1,0))=0,"",INDEX( DATOS3!$1:$19996,A155,MATCH("SeriesTime", DATOS3!$1:$1,0)))</f>
        <v>#N/A</v>
      </c>
      <c r="H155" t="e">
        <f>IF(INDEX( DATOS3!$1:$19996,A155,MATCH("StudyDescription", DATOS3!$1:$1,0))=0,"",INDEX( DATOS3!$1:$19996,A155,MATCH("StudyDescription", DATOS3!$1:$1,0)))</f>
        <v>#N/A</v>
      </c>
      <c r="I155" t="e">
        <f>IF(INDEX( DATOS3!$1:$19996,A155,MATCH("Dose_Area_Product_Total", DATOS3!$1:$1,0))=0,0,INDEX( DATOS3!$1:$19996,A155,MATCH("Dose_Area_Product", DATOS3!$1:$1,0)))</f>
        <v>#N/A</v>
      </c>
      <c r="J155" t="e">
        <f>IF(INDEX( DATOS3!$1:$19996,A155,MATCH("Dose_RP_Total", DATOS3!$1:$1,0))=0,0,INDEX( DATOS3!$1:$19996,A155,MATCH("Dose_RP", DATOS3!$1:$1,0)))</f>
        <v>#N/A</v>
      </c>
      <c r="K155" t="e">
        <f>IF(INDEX( DATOS3!$1:$19996,A155,MATCH("Total_Fluoro_Time", DATOS3!$1:$1,0))=0,0,INDEX( DATOS3!$1:$19996,A155,MATCH("Total_Fluoro_Time", DATOS3!$1:$1,0)))</f>
        <v>#N/A</v>
      </c>
    </row>
    <row r="156" spans="1:11" hidden="1" x14ac:dyDescent="0.25">
      <c r="A156">
        <v>156</v>
      </c>
      <c r="B156" t="e">
        <f t="shared" si="4"/>
        <v>#N/A</v>
      </c>
      <c r="C156" t="e">
        <f t="shared" si="5"/>
        <v>#N/A</v>
      </c>
      <c r="D156" t="e">
        <f>IF(INDEX( DATOS3!$1:$19996,A156,MATCH("PatientID", DATOS3!$1:$1,0))=0,"",INDEX( DATOS3!$1:$19996,A156,MATCH("PatientID", DATOS3!$1:$1,0)))</f>
        <v>#N/A</v>
      </c>
      <c r="F156" t="e">
        <f>IF(INDEX( DATOS3!$1:$19996,A156,MATCH("SeriesDate", DATOS3!$1:$1,0))=0,"",INDEX( DATOS3!$1:$19996,A156,MATCH("SeriesDate", DATOS3!$1:$1,0)))</f>
        <v>#N/A</v>
      </c>
      <c r="G156" t="e">
        <f>IF(INDEX( DATOS3!$1:$19996,A156,MATCH("SeriesTime", DATOS3!$1:$1,0))=0,"",INDEX( DATOS3!$1:$19996,A156,MATCH("SeriesTime", DATOS3!$1:$1,0)))</f>
        <v>#N/A</v>
      </c>
      <c r="H156" t="e">
        <f>IF(INDEX( DATOS3!$1:$19996,A156,MATCH("StudyDescription", DATOS3!$1:$1,0))=0,"",INDEX( DATOS3!$1:$19996,A156,MATCH("StudyDescription", DATOS3!$1:$1,0)))</f>
        <v>#N/A</v>
      </c>
      <c r="I156" t="e">
        <f>IF(INDEX( DATOS3!$1:$19996,A156,MATCH("Dose_Area_Product_Total", DATOS3!$1:$1,0))=0,0,INDEX( DATOS3!$1:$19996,A156,MATCH("Dose_Area_Product", DATOS3!$1:$1,0)))</f>
        <v>#N/A</v>
      </c>
      <c r="J156" t="e">
        <f>IF(INDEX( DATOS3!$1:$19996,A156,MATCH("Dose_RP_Total", DATOS3!$1:$1,0))=0,0,INDEX( DATOS3!$1:$19996,A156,MATCH("Dose_RP", DATOS3!$1:$1,0)))</f>
        <v>#N/A</v>
      </c>
      <c r="K156" t="e">
        <f>IF(INDEX( DATOS3!$1:$19996,A156,MATCH("Total_Fluoro_Time", DATOS3!$1:$1,0))=0,0,INDEX( DATOS3!$1:$19996,A156,MATCH("Total_Fluoro_Time", DATOS3!$1:$1,0)))</f>
        <v>#N/A</v>
      </c>
    </row>
    <row r="157" spans="1:11" hidden="1" x14ac:dyDescent="0.25">
      <c r="A157">
        <v>157</v>
      </c>
      <c r="B157" t="e">
        <f t="shared" si="4"/>
        <v>#N/A</v>
      </c>
      <c r="C157" t="e">
        <f t="shared" si="5"/>
        <v>#N/A</v>
      </c>
      <c r="D157" t="e">
        <f>IF(INDEX( DATOS3!$1:$19996,A157,MATCH("PatientID", DATOS3!$1:$1,0))=0,"",INDEX( DATOS3!$1:$19996,A157,MATCH("PatientID", DATOS3!$1:$1,0)))</f>
        <v>#N/A</v>
      </c>
      <c r="F157" t="e">
        <f>IF(INDEX( DATOS3!$1:$19996,A157,MATCH("SeriesDate", DATOS3!$1:$1,0))=0,"",INDEX( DATOS3!$1:$19996,A157,MATCH("SeriesDate", DATOS3!$1:$1,0)))</f>
        <v>#N/A</v>
      </c>
      <c r="G157" t="e">
        <f>IF(INDEX( DATOS3!$1:$19996,A157,MATCH("SeriesTime", DATOS3!$1:$1,0))=0,"",INDEX( DATOS3!$1:$19996,A157,MATCH("SeriesTime", DATOS3!$1:$1,0)))</f>
        <v>#N/A</v>
      </c>
      <c r="H157" t="e">
        <f>IF(INDEX( DATOS3!$1:$19996,A157,MATCH("StudyDescription", DATOS3!$1:$1,0))=0,"",INDEX( DATOS3!$1:$19996,A157,MATCH("StudyDescription", DATOS3!$1:$1,0)))</f>
        <v>#N/A</v>
      </c>
      <c r="I157" t="e">
        <f>IF(INDEX( DATOS3!$1:$19996,A157,MATCH("Dose_Area_Product_Total", DATOS3!$1:$1,0))=0,0,INDEX( DATOS3!$1:$19996,A157,MATCH("Dose_Area_Product", DATOS3!$1:$1,0)))</f>
        <v>#N/A</v>
      </c>
      <c r="J157" t="e">
        <f>IF(INDEX( DATOS3!$1:$19996,A157,MATCH("Dose_RP_Total", DATOS3!$1:$1,0))=0,0,INDEX( DATOS3!$1:$19996,A157,MATCH("Dose_RP", DATOS3!$1:$1,0)))</f>
        <v>#N/A</v>
      </c>
      <c r="K157" t="e">
        <f>IF(INDEX( DATOS3!$1:$19996,A157,MATCH("Total_Fluoro_Time", DATOS3!$1:$1,0))=0,0,INDEX( DATOS3!$1:$19996,A157,MATCH("Total_Fluoro_Time", DATOS3!$1:$1,0)))</f>
        <v>#N/A</v>
      </c>
    </row>
    <row r="158" spans="1:11" hidden="1" x14ac:dyDescent="0.25">
      <c r="A158">
        <v>158</v>
      </c>
      <c r="B158" t="e">
        <f t="shared" si="4"/>
        <v>#N/A</v>
      </c>
      <c r="C158" t="e">
        <f t="shared" si="5"/>
        <v>#N/A</v>
      </c>
      <c r="D158" t="e">
        <f>IF(INDEX( DATOS3!$1:$19996,A158,MATCH("PatientID", DATOS3!$1:$1,0))=0,"",INDEX( DATOS3!$1:$19996,A158,MATCH("PatientID", DATOS3!$1:$1,0)))</f>
        <v>#N/A</v>
      </c>
      <c r="F158" t="e">
        <f>IF(INDEX( DATOS3!$1:$19996,A158,MATCH("SeriesDate", DATOS3!$1:$1,0))=0,"",INDEX( DATOS3!$1:$19996,A158,MATCH("SeriesDate", DATOS3!$1:$1,0)))</f>
        <v>#N/A</v>
      </c>
      <c r="G158" t="e">
        <f>IF(INDEX( DATOS3!$1:$19996,A158,MATCH("SeriesTime", DATOS3!$1:$1,0))=0,"",INDEX( DATOS3!$1:$19996,A158,MATCH("SeriesTime", DATOS3!$1:$1,0)))</f>
        <v>#N/A</v>
      </c>
      <c r="H158" t="e">
        <f>IF(INDEX( DATOS3!$1:$19996,A158,MATCH("StudyDescription", DATOS3!$1:$1,0))=0,"",INDEX( DATOS3!$1:$19996,A158,MATCH("StudyDescription", DATOS3!$1:$1,0)))</f>
        <v>#N/A</v>
      </c>
      <c r="I158" t="e">
        <f>IF(INDEX( DATOS3!$1:$19996,A158,MATCH("Dose_Area_Product_Total", DATOS3!$1:$1,0))=0,0,INDEX( DATOS3!$1:$19996,A158,MATCH("Dose_Area_Product", DATOS3!$1:$1,0)))</f>
        <v>#N/A</v>
      </c>
      <c r="J158" t="e">
        <f>IF(INDEX( DATOS3!$1:$19996,A158,MATCH("Dose_RP_Total", DATOS3!$1:$1,0))=0,0,INDEX( DATOS3!$1:$19996,A158,MATCH("Dose_RP", DATOS3!$1:$1,0)))</f>
        <v>#N/A</v>
      </c>
      <c r="K158" t="e">
        <f>IF(INDEX( DATOS3!$1:$19996,A158,MATCH("Total_Fluoro_Time", DATOS3!$1:$1,0))=0,0,INDEX( DATOS3!$1:$19996,A158,MATCH("Total_Fluoro_Time", DATOS3!$1:$1,0)))</f>
        <v>#N/A</v>
      </c>
    </row>
    <row r="159" spans="1:11" hidden="1" x14ac:dyDescent="0.25">
      <c r="A159">
        <v>159</v>
      </c>
      <c r="B159" t="e">
        <f t="shared" si="4"/>
        <v>#N/A</v>
      </c>
      <c r="C159" t="e">
        <f t="shared" si="5"/>
        <v>#N/A</v>
      </c>
      <c r="D159" t="e">
        <f>IF(INDEX( DATOS3!$1:$19996,A159,MATCH("PatientID", DATOS3!$1:$1,0))=0,"",INDEX( DATOS3!$1:$19996,A159,MATCH("PatientID", DATOS3!$1:$1,0)))</f>
        <v>#N/A</v>
      </c>
      <c r="F159" t="e">
        <f>IF(INDEX( DATOS3!$1:$19996,A159,MATCH("SeriesDate", DATOS3!$1:$1,0))=0,"",INDEX( DATOS3!$1:$19996,A159,MATCH("SeriesDate", DATOS3!$1:$1,0)))</f>
        <v>#N/A</v>
      </c>
      <c r="G159" t="e">
        <f>IF(INDEX( DATOS3!$1:$19996,A159,MATCH("SeriesTime", DATOS3!$1:$1,0))=0,"",INDEX( DATOS3!$1:$19996,A159,MATCH("SeriesTime", DATOS3!$1:$1,0)))</f>
        <v>#N/A</v>
      </c>
      <c r="H159" t="e">
        <f>IF(INDEX( DATOS3!$1:$19996,A159,MATCH("StudyDescription", DATOS3!$1:$1,0))=0,"",INDEX( DATOS3!$1:$19996,A159,MATCH("StudyDescription", DATOS3!$1:$1,0)))</f>
        <v>#N/A</v>
      </c>
      <c r="I159" t="e">
        <f>IF(INDEX( DATOS3!$1:$19996,A159,MATCH("Dose_Area_Product_Total", DATOS3!$1:$1,0))=0,0,INDEX( DATOS3!$1:$19996,A159,MATCH("Dose_Area_Product", DATOS3!$1:$1,0)))</f>
        <v>#N/A</v>
      </c>
      <c r="J159" t="e">
        <f>IF(INDEX( DATOS3!$1:$19996,A159,MATCH("Dose_RP_Total", DATOS3!$1:$1,0))=0,0,INDEX( DATOS3!$1:$19996,A159,MATCH("Dose_RP", DATOS3!$1:$1,0)))</f>
        <v>#N/A</v>
      </c>
      <c r="K159" t="e">
        <f>IF(INDEX( DATOS3!$1:$19996,A159,MATCH("Total_Fluoro_Time", DATOS3!$1:$1,0))=0,0,INDEX( DATOS3!$1:$19996,A159,MATCH("Total_Fluoro_Time", DATOS3!$1:$1,0)))</f>
        <v>#N/A</v>
      </c>
    </row>
    <row r="160" spans="1:11" hidden="1" x14ac:dyDescent="0.25">
      <c r="A160">
        <v>160</v>
      </c>
      <c r="B160" t="e">
        <f t="shared" si="4"/>
        <v>#N/A</v>
      </c>
      <c r="C160" t="e">
        <f t="shared" si="5"/>
        <v>#N/A</v>
      </c>
      <c r="D160" t="e">
        <f>IF(INDEX( DATOS3!$1:$19996,A160,MATCH("PatientID", DATOS3!$1:$1,0))=0,"",INDEX( DATOS3!$1:$19996,A160,MATCH("PatientID", DATOS3!$1:$1,0)))</f>
        <v>#N/A</v>
      </c>
      <c r="F160" t="e">
        <f>IF(INDEX( DATOS3!$1:$19996,A160,MATCH("SeriesDate", DATOS3!$1:$1,0))=0,"",INDEX( DATOS3!$1:$19996,A160,MATCH("SeriesDate", DATOS3!$1:$1,0)))</f>
        <v>#N/A</v>
      </c>
      <c r="G160" t="e">
        <f>IF(INDEX( DATOS3!$1:$19996,A160,MATCH("SeriesTime", DATOS3!$1:$1,0))=0,"",INDEX( DATOS3!$1:$19996,A160,MATCH("SeriesTime", DATOS3!$1:$1,0)))</f>
        <v>#N/A</v>
      </c>
      <c r="H160" t="e">
        <f>IF(INDEX( DATOS3!$1:$19996,A160,MATCH("StudyDescription", DATOS3!$1:$1,0))=0,"",INDEX( DATOS3!$1:$19996,A160,MATCH("StudyDescription", DATOS3!$1:$1,0)))</f>
        <v>#N/A</v>
      </c>
      <c r="I160" t="e">
        <f>IF(INDEX( DATOS3!$1:$19996,A160,MATCH("Dose_Area_Product_Total", DATOS3!$1:$1,0))=0,0,INDEX( DATOS3!$1:$19996,A160,MATCH("Dose_Area_Product", DATOS3!$1:$1,0)))</f>
        <v>#N/A</v>
      </c>
      <c r="J160" t="e">
        <f>IF(INDEX( DATOS3!$1:$19996,A160,MATCH("Dose_RP_Total", DATOS3!$1:$1,0))=0,0,INDEX( DATOS3!$1:$19996,A160,MATCH("Dose_RP", DATOS3!$1:$1,0)))</f>
        <v>#N/A</v>
      </c>
      <c r="K160" t="e">
        <f>IF(INDEX( DATOS3!$1:$19996,A160,MATCH("Total_Fluoro_Time", DATOS3!$1:$1,0))=0,0,INDEX( DATOS3!$1:$19996,A160,MATCH("Total_Fluoro_Time", DATOS3!$1:$1,0)))</f>
        <v>#N/A</v>
      </c>
    </row>
    <row r="161" spans="1:11" hidden="1" x14ac:dyDescent="0.25">
      <c r="A161">
        <v>161</v>
      </c>
      <c r="B161" t="e">
        <f t="shared" si="4"/>
        <v>#N/A</v>
      </c>
      <c r="C161" t="e">
        <f t="shared" si="5"/>
        <v>#N/A</v>
      </c>
      <c r="D161" t="e">
        <f>IF(INDEX( DATOS3!$1:$19996,A161,MATCH("PatientID", DATOS3!$1:$1,0))=0,"",INDEX( DATOS3!$1:$19996,A161,MATCH("PatientID", DATOS3!$1:$1,0)))</f>
        <v>#N/A</v>
      </c>
      <c r="F161" t="e">
        <f>IF(INDEX( DATOS3!$1:$19996,A161,MATCH("SeriesDate", DATOS3!$1:$1,0))=0,"",INDEX( DATOS3!$1:$19996,A161,MATCH("SeriesDate", DATOS3!$1:$1,0)))</f>
        <v>#N/A</v>
      </c>
      <c r="G161" t="e">
        <f>IF(INDEX( DATOS3!$1:$19996,A161,MATCH("SeriesTime", DATOS3!$1:$1,0))=0,"",INDEX( DATOS3!$1:$19996,A161,MATCH("SeriesTime", DATOS3!$1:$1,0)))</f>
        <v>#N/A</v>
      </c>
      <c r="H161" t="e">
        <f>IF(INDEX( DATOS3!$1:$19996,A161,MATCH("StudyDescription", DATOS3!$1:$1,0))=0,"",INDEX( DATOS3!$1:$19996,A161,MATCH("StudyDescription", DATOS3!$1:$1,0)))</f>
        <v>#N/A</v>
      </c>
      <c r="I161" t="e">
        <f>IF(INDEX( DATOS3!$1:$19996,A161,MATCH("Dose_Area_Product_Total", DATOS3!$1:$1,0))=0,0,INDEX( DATOS3!$1:$19996,A161,MATCH("Dose_Area_Product", DATOS3!$1:$1,0)))</f>
        <v>#N/A</v>
      </c>
      <c r="J161" t="e">
        <f>IF(INDEX( DATOS3!$1:$19996,A161,MATCH("Dose_RP_Total", DATOS3!$1:$1,0))=0,0,INDEX( DATOS3!$1:$19996,A161,MATCH("Dose_RP", DATOS3!$1:$1,0)))</f>
        <v>#N/A</v>
      </c>
      <c r="K161" t="e">
        <f>IF(INDEX( DATOS3!$1:$19996,A161,MATCH("Total_Fluoro_Time", DATOS3!$1:$1,0))=0,0,INDEX( DATOS3!$1:$19996,A161,MATCH("Total_Fluoro_Time", DATOS3!$1:$1,0)))</f>
        <v>#N/A</v>
      </c>
    </row>
    <row r="162" spans="1:11" hidden="1" x14ac:dyDescent="0.25">
      <c r="A162">
        <v>162</v>
      </c>
      <c r="B162" t="e">
        <f t="shared" si="4"/>
        <v>#N/A</v>
      </c>
      <c r="C162" t="e">
        <f t="shared" si="5"/>
        <v>#N/A</v>
      </c>
      <c r="D162" t="e">
        <f>IF(INDEX( DATOS3!$1:$19996,A162,MATCH("PatientID", DATOS3!$1:$1,0))=0,"",INDEX( DATOS3!$1:$19996,A162,MATCH("PatientID", DATOS3!$1:$1,0)))</f>
        <v>#N/A</v>
      </c>
      <c r="F162" t="e">
        <f>IF(INDEX( DATOS3!$1:$19996,A162,MATCH("SeriesDate", DATOS3!$1:$1,0))=0,"",INDEX( DATOS3!$1:$19996,A162,MATCH("SeriesDate", DATOS3!$1:$1,0)))</f>
        <v>#N/A</v>
      </c>
      <c r="G162" t="e">
        <f>IF(INDEX( DATOS3!$1:$19996,A162,MATCH("SeriesTime", DATOS3!$1:$1,0))=0,"",INDEX( DATOS3!$1:$19996,A162,MATCH("SeriesTime", DATOS3!$1:$1,0)))</f>
        <v>#N/A</v>
      </c>
      <c r="H162" t="e">
        <f>IF(INDEX( DATOS3!$1:$19996,A162,MATCH("StudyDescription", DATOS3!$1:$1,0))=0,"",INDEX( DATOS3!$1:$19996,A162,MATCH("StudyDescription", DATOS3!$1:$1,0)))</f>
        <v>#N/A</v>
      </c>
      <c r="I162" t="e">
        <f>IF(INDEX( DATOS3!$1:$19996,A162,MATCH("Dose_Area_Product_Total", DATOS3!$1:$1,0))=0,0,INDEX( DATOS3!$1:$19996,A162,MATCH("Dose_Area_Product", DATOS3!$1:$1,0)))</f>
        <v>#N/A</v>
      </c>
      <c r="J162" t="e">
        <f>IF(INDEX( DATOS3!$1:$19996,A162,MATCH("Dose_RP_Total", DATOS3!$1:$1,0))=0,0,INDEX( DATOS3!$1:$19996,A162,MATCH("Dose_RP", DATOS3!$1:$1,0)))</f>
        <v>#N/A</v>
      </c>
      <c r="K162" t="e">
        <f>IF(INDEX( DATOS3!$1:$19996,A162,MATCH("Total_Fluoro_Time", DATOS3!$1:$1,0))=0,0,INDEX( DATOS3!$1:$19996,A162,MATCH("Total_Fluoro_Time", DATOS3!$1:$1,0)))</f>
        <v>#N/A</v>
      </c>
    </row>
    <row r="163" spans="1:11" hidden="1" x14ac:dyDescent="0.25">
      <c r="A163">
        <v>163</v>
      </c>
      <c r="B163" t="e">
        <f t="shared" si="4"/>
        <v>#N/A</v>
      </c>
      <c r="C163" t="e">
        <f t="shared" si="5"/>
        <v>#N/A</v>
      </c>
      <c r="D163" t="e">
        <f>IF(INDEX( DATOS3!$1:$19996,A163,MATCH("PatientID", DATOS3!$1:$1,0))=0,"",INDEX( DATOS3!$1:$19996,A163,MATCH("PatientID", DATOS3!$1:$1,0)))</f>
        <v>#N/A</v>
      </c>
      <c r="F163" t="e">
        <f>IF(INDEX( DATOS3!$1:$19996,A163,MATCH("SeriesDate", DATOS3!$1:$1,0))=0,"",INDEX( DATOS3!$1:$19996,A163,MATCH("SeriesDate", DATOS3!$1:$1,0)))</f>
        <v>#N/A</v>
      </c>
      <c r="G163" t="e">
        <f>IF(INDEX( DATOS3!$1:$19996,A163,MATCH("SeriesTime", DATOS3!$1:$1,0))=0,"",INDEX( DATOS3!$1:$19996,A163,MATCH("SeriesTime", DATOS3!$1:$1,0)))</f>
        <v>#N/A</v>
      </c>
      <c r="H163" t="e">
        <f>IF(INDEX( DATOS3!$1:$19996,A163,MATCH("StudyDescription", DATOS3!$1:$1,0))=0,"",INDEX( DATOS3!$1:$19996,A163,MATCH("StudyDescription", DATOS3!$1:$1,0)))</f>
        <v>#N/A</v>
      </c>
      <c r="I163" t="e">
        <f>IF(INDEX( DATOS3!$1:$19996,A163,MATCH("Dose_Area_Product_Total", DATOS3!$1:$1,0))=0,0,INDEX( DATOS3!$1:$19996,A163,MATCH("Dose_Area_Product", DATOS3!$1:$1,0)))</f>
        <v>#N/A</v>
      </c>
      <c r="J163" t="e">
        <f>IF(INDEX( DATOS3!$1:$19996,A163,MATCH("Dose_RP_Total", DATOS3!$1:$1,0))=0,0,INDEX( DATOS3!$1:$19996,A163,MATCH("Dose_RP", DATOS3!$1:$1,0)))</f>
        <v>#N/A</v>
      </c>
      <c r="K163" t="e">
        <f>IF(INDEX( DATOS3!$1:$19996,A163,MATCH("Total_Fluoro_Time", DATOS3!$1:$1,0))=0,0,INDEX( DATOS3!$1:$19996,A163,MATCH("Total_Fluoro_Time", DATOS3!$1:$1,0)))</f>
        <v>#N/A</v>
      </c>
    </row>
    <row r="164" spans="1:11" hidden="1" x14ac:dyDescent="0.25">
      <c r="A164">
        <v>164</v>
      </c>
      <c r="B164" t="e">
        <f t="shared" si="4"/>
        <v>#N/A</v>
      </c>
      <c r="C164" t="e">
        <f t="shared" si="5"/>
        <v>#N/A</v>
      </c>
      <c r="D164" t="e">
        <f>IF(INDEX( DATOS3!$1:$19996,A164,MATCH("PatientID", DATOS3!$1:$1,0))=0,"",INDEX( DATOS3!$1:$19996,A164,MATCH("PatientID", DATOS3!$1:$1,0)))</f>
        <v>#N/A</v>
      </c>
      <c r="F164" t="e">
        <f>IF(INDEX( DATOS3!$1:$19996,A164,MATCH("SeriesDate", DATOS3!$1:$1,0))=0,"",INDEX( DATOS3!$1:$19996,A164,MATCH("SeriesDate", DATOS3!$1:$1,0)))</f>
        <v>#N/A</v>
      </c>
      <c r="G164" t="e">
        <f>IF(INDEX( DATOS3!$1:$19996,A164,MATCH("SeriesTime", DATOS3!$1:$1,0))=0,"",INDEX( DATOS3!$1:$19996,A164,MATCH("SeriesTime", DATOS3!$1:$1,0)))</f>
        <v>#N/A</v>
      </c>
      <c r="H164" t="e">
        <f>IF(INDEX( DATOS3!$1:$19996,A164,MATCH("StudyDescription", DATOS3!$1:$1,0))=0,"",INDEX( DATOS3!$1:$19996,A164,MATCH("StudyDescription", DATOS3!$1:$1,0)))</f>
        <v>#N/A</v>
      </c>
      <c r="I164" t="e">
        <f>IF(INDEX( DATOS3!$1:$19996,A164,MATCH("Dose_Area_Product_Total", DATOS3!$1:$1,0))=0,0,INDEX( DATOS3!$1:$19996,A164,MATCH("Dose_Area_Product", DATOS3!$1:$1,0)))</f>
        <v>#N/A</v>
      </c>
      <c r="J164" t="e">
        <f>IF(INDEX( DATOS3!$1:$19996,A164,MATCH("Dose_RP_Total", DATOS3!$1:$1,0))=0,0,INDEX( DATOS3!$1:$19996,A164,MATCH("Dose_RP", DATOS3!$1:$1,0)))</f>
        <v>#N/A</v>
      </c>
      <c r="K164" t="e">
        <f>IF(INDEX( DATOS3!$1:$19996,A164,MATCH("Total_Fluoro_Time", DATOS3!$1:$1,0))=0,0,INDEX( DATOS3!$1:$19996,A164,MATCH("Total_Fluoro_Time", DATOS3!$1:$1,0)))</f>
        <v>#N/A</v>
      </c>
    </row>
    <row r="165" spans="1:11" hidden="1" x14ac:dyDescent="0.25">
      <c r="A165">
        <v>165</v>
      </c>
      <c r="B165" t="e">
        <f t="shared" si="4"/>
        <v>#N/A</v>
      </c>
      <c r="C165" t="e">
        <f t="shared" si="5"/>
        <v>#N/A</v>
      </c>
      <c r="D165" t="e">
        <f>IF(INDEX( DATOS3!$1:$19996,A165,MATCH("PatientID", DATOS3!$1:$1,0))=0,"",INDEX( DATOS3!$1:$19996,A165,MATCH("PatientID", DATOS3!$1:$1,0)))</f>
        <v>#N/A</v>
      </c>
      <c r="F165" t="e">
        <f>IF(INDEX( DATOS3!$1:$19996,A165,MATCH("SeriesDate", DATOS3!$1:$1,0))=0,"",INDEX( DATOS3!$1:$19996,A165,MATCH("SeriesDate", DATOS3!$1:$1,0)))</f>
        <v>#N/A</v>
      </c>
      <c r="G165" t="e">
        <f>IF(INDEX( DATOS3!$1:$19996,A165,MATCH("SeriesTime", DATOS3!$1:$1,0))=0,"",INDEX( DATOS3!$1:$19996,A165,MATCH("SeriesTime", DATOS3!$1:$1,0)))</f>
        <v>#N/A</v>
      </c>
      <c r="H165" t="e">
        <f>IF(INDEX( DATOS3!$1:$19996,A165,MATCH("StudyDescription", DATOS3!$1:$1,0))=0,"",INDEX( DATOS3!$1:$19996,A165,MATCH("StudyDescription", DATOS3!$1:$1,0)))</f>
        <v>#N/A</v>
      </c>
      <c r="I165" t="e">
        <f>IF(INDEX( DATOS3!$1:$19996,A165,MATCH("Dose_Area_Product_Total", DATOS3!$1:$1,0))=0,0,INDEX( DATOS3!$1:$19996,A165,MATCH("Dose_Area_Product", DATOS3!$1:$1,0)))</f>
        <v>#N/A</v>
      </c>
      <c r="J165" t="e">
        <f>IF(INDEX( DATOS3!$1:$19996,A165,MATCH("Dose_RP_Total", DATOS3!$1:$1,0))=0,0,INDEX( DATOS3!$1:$19996,A165,MATCH("Dose_RP", DATOS3!$1:$1,0)))</f>
        <v>#N/A</v>
      </c>
      <c r="K165" t="e">
        <f>IF(INDEX( DATOS3!$1:$19996,A165,MATCH("Total_Fluoro_Time", DATOS3!$1:$1,0))=0,0,INDEX( DATOS3!$1:$19996,A165,MATCH("Total_Fluoro_Time", DATOS3!$1:$1,0)))</f>
        <v>#N/A</v>
      </c>
    </row>
    <row r="166" spans="1:11" hidden="1" x14ac:dyDescent="0.25">
      <c r="A166">
        <v>166</v>
      </c>
      <c r="B166" t="e">
        <f t="shared" si="4"/>
        <v>#N/A</v>
      </c>
      <c r="C166" t="e">
        <f t="shared" si="5"/>
        <v>#N/A</v>
      </c>
      <c r="D166" t="e">
        <f>IF(INDEX( DATOS3!$1:$19996,A166,MATCH("PatientID", DATOS3!$1:$1,0))=0,"",INDEX( DATOS3!$1:$19996,A166,MATCH("PatientID", DATOS3!$1:$1,0)))</f>
        <v>#N/A</v>
      </c>
      <c r="F166" t="e">
        <f>IF(INDEX( DATOS3!$1:$19996,A166,MATCH("SeriesDate", DATOS3!$1:$1,0))=0,"",INDEX( DATOS3!$1:$19996,A166,MATCH("SeriesDate", DATOS3!$1:$1,0)))</f>
        <v>#N/A</v>
      </c>
      <c r="G166" t="e">
        <f>IF(INDEX( DATOS3!$1:$19996,A166,MATCH("SeriesTime", DATOS3!$1:$1,0))=0,"",INDEX( DATOS3!$1:$19996,A166,MATCH("SeriesTime", DATOS3!$1:$1,0)))</f>
        <v>#N/A</v>
      </c>
      <c r="H166" t="e">
        <f>IF(INDEX( DATOS3!$1:$19996,A166,MATCH("StudyDescription", DATOS3!$1:$1,0))=0,"",INDEX( DATOS3!$1:$19996,A166,MATCH("StudyDescription", DATOS3!$1:$1,0)))</f>
        <v>#N/A</v>
      </c>
      <c r="I166" t="e">
        <f>IF(INDEX( DATOS3!$1:$19996,A166,MATCH("Dose_Area_Product_Total", DATOS3!$1:$1,0))=0,0,INDEX( DATOS3!$1:$19996,A166,MATCH("Dose_Area_Product", DATOS3!$1:$1,0)))</f>
        <v>#N/A</v>
      </c>
      <c r="J166" t="e">
        <f>IF(INDEX( DATOS3!$1:$19996,A166,MATCH("Dose_RP_Total", DATOS3!$1:$1,0))=0,0,INDEX( DATOS3!$1:$19996,A166,MATCH("Dose_RP", DATOS3!$1:$1,0)))</f>
        <v>#N/A</v>
      </c>
      <c r="K166" t="e">
        <f>IF(INDEX( DATOS3!$1:$19996,A166,MATCH("Total_Fluoro_Time", DATOS3!$1:$1,0))=0,0,INDEX( DATOS3!$1:$19996,A166,MATCH("Total_Fluoro_Time", DATOS3!$1:$1,0)))</f>
        <v>#N/A</v>
      </c>
    </row>
    <row r="167" spans="1:11" hidden="1" x14ac:dyDescent="0.25">
      <c r="A167">
        <v>167</v>
      </c>
      <c r="B167" t="e">
        <f t="shared" si="4"/>
        <v>#N/A</v>
      </c>
      <c r="C167" t="e">
        <f t="shared" si="5"/>
        <v>#N/A</v>
      </c>
      <c r="D167" t="e">
        <f>IF(INDEX( DATOS3!$1:$19996,A167,MATCH("PatientID", DATOS3!$1:$1,0))=0,"",INDEX( DATOS3!$1:$19996,A167,MATCH("PatientID", DATOS3!$1:$1,0)))</f>
        <v>#N/A</v>
      </c>
      <c r="F167" t="e">
        <f>IF(INDEX( DATOS3!$1:$19996,A167,MATCH("SeriesDate", DATOS3!$1:$1,0))=0,"",INDEX( DATOS3!$1:$19996,A167,MATCH("SeriesDate", DATOS3!$1:$1,0)))</f>
        <v>#N/A</v>
      </c>
      <c r="G167" t="e">
        <f>IF(INDEX( DATOS3!$1:$19996,A167,MATCH("SeriesTime", DATOS3!$1:$1,0))=0,"",INDEX( DATOS3!$1:$19996,A167,MATCH("SeriesTime", DATOS3!$1:$1,0)))</f>
        <v>#N/A</v>
      </c>
      <c r="H167" t="e">
        <f>IF(INDEX( DATOS3!$1:$19996,A167,MATCH("StudyDescription", DATOS3!$1:$1,0))=0,"",INDEX( DATOS3!$1:$19996,A167,MATCH("StudyDescription", DATOS3!$1:$1,0)))</f>
        <v>#N/A</v>
      </c>
      <c r="I167" t="e">
        <f>IF(INDEX( DATOS3!$1:$19996,A167,MATCH("Dose_Area_Product_Total", DATOS3!$1:$1,0))=0,0,INDEX( DATOS3!$1:$19996,A167,MATCH("Dose_Area_Product", DATOS3!$1:$1,0)))</f>
        <v>#N/A</v>
      </c>
      <c r="J167" t="e">
        <f>IF(INDEX( DATOS3!$1:$19996,A167,MATCH("Dose_RP_Total", DATOS3!$1:$1,0))=0,0,INDEX( DATOS3!$1:$19996,A167,MATCH("Dose_RP", DATOS3!$1:$1,0)))</f>
        <v>#N/A</v>
      </c>
      <c r="K167" t="e">
        <f>IF(INDEX( DATOS3!$1:$19996,A167,MATCH("Total_Fluoro_Time", DATOS3!$1:$1,0))=0,0,INDEX( DATOS3!$1:$19996,A167,MATCH("Total_Fluoro_Time", DATOS3!$1:$1,0)))</f>
        <v>#N/A</v>
      </c>
    </row>
    <row r="168" spans="1:11" hidden="1" x14ac:dyDescent="0.25">
      <c r="A168">
        <v>168</v>
      </c>
      <c r="B168" t="e">
        <f t="shared" si="4"/>
        <v>#N/A</v>
      </c>
      <c r="C168" t="e">
        <f t="shared" si="5"/>
        <v>#N/A</v>
      </c>
      <c r="D168" t="e">
        <f>IF(INDEX( DATOS3!$1:$19996,A168,MATCH("PatientID", DATOS3!$1:$1,0))=0,"",INDEX( DATOS3!$1:$19996,A168,MATCH("PatientID", DATOS3!$1:$1,0)))</f>
        <v>#N/A</v>
      </c>
      <c r="F168" t="e">
        <f>IF(INDEX( DATOS3!$1:$19996,A168,MATCH("SeriesDate", DATOS3!$1:$1,0))=0,"",INDEX( DATOS3!$1:$19996,A168,MATCH("SeriesDate", DATOS3!$1:$1,0)))</f>
        <v>#N/A</v>
      </c>
      <c r="G168" t="e">
        <f>IF(INDEX( DATOS3!$1:$19996,A168,MATCH("SeriesTime", DATOS3!$1:$1,0))=0,"",INDEX( DATOS3!$1:$19996,A168,MATCH("SeriesTime", DATOS3!$1:$1,0)))</f>
        <v>#N/A</v>
      </c>
      <c r="H168" t="e">
        <f>IF(INDEX( DATOS3!$1:$19996,A168,MATCH("StudyDescription", DATOS3!$1:$1,0))=0,"",INDEX( DATOS3!$1:$19996,A168,MATCH("StudyDescription", DATOS3!$1:$1,0)))</f>
        <v>#N/A</v>
      </c>
      <c r="I168" t="e">
        <f>IF(INDEX( DATOS3!$1:$19996,A168,MATCH("Dose_Area_Product_Total", DATOS3!$1:$1,0))=0,0,INDEX( DATOS3!$1:$19996,A168,MATCH("Dose_Area_Product", DATOS3!$1:$1,0)))</f>
        <v>#N/A</v>
      </c>
      <c r="J168" t="e">
        <f>IF(INDEX( DATOS3!$1:$19996,A168,MATCH("Dose_RP_Total", DATOS3!$1:$1,0))=0,0,INDEX( DATOS3!$1:$19996,A168,MATCH("Dose_RP", DATOS3!$1:$1,0)))</f>
        <v>#N/A</v>
      </c>
      <c r="K168" t="e">
        <f>IF(INDEX( DATOS3!$1:$19996,A168,MATCH("Total_Fluoro_Time", DATOS3!$1:$1,0))=0,0,INDEX( DATOS3!$1:$19996,A168,MATCH("Total_Fluoro_Time", DATOS3!$1:$1,0)))</f>
        <v>#N/A</v>
      </c>
    </row>
    <row r="169" spans="1:11" hidden="1" x14ac:dyDescent="0.25">
      <c r="A169">
        <v>169</v>
      </c>
      <c r="B169" t="e">
        <f t="shared" si="4"/>
        <v>#N/A</v>
      </c>
      <c r="C169" t="e">
        <f t="shared" si="5"/>
        <v>#N/A</v>
      </c>
      <c r="D169" t="e">
        <f>IF(INDEX( DATOS3!$1:$19996,A169,MATCH("PatientID", DATOS3!$1:$1,0))=0,"",INDEX( DATOS3!$1:$19996,A169,MATCH("PatientID", DATOS3!$1:$1,0)))</f>
        <v>#N/A</v>
      </c>
      <c r="F169" t="e">
        <f>IF(INDEX( DATOS3!$1:$19996,A169,MATCH("SeriesDate", DATOS3!$1:$1,0))=0,"",INDEX( DATOS3!$1:$19996,A169,MATCH("SeriesDate", DATOS3!$1:$1,0)))</f>
        <v>#N/A</v>
      </c>
      <c r="G169" t="e">
        <f>IF(INDEX( DATOS3!$1:$19996,A169,MATCH("SeriesTime", DATOS3!$1:$1,0))=0,"",INDEX( DATOS3!$1:$19996,A169,MATCH("SeriesTime", DATOS3!$1:$1,0)))</f>
        <v>#N/A</v>
      </c>
      <c r="H169" t="e">
        <f>IF(INDEX( DATOS3!$1:$19996,A169,MATCH("StudyDescription", DATOS3!$1:$1,0))=0,"",INDEX( DATOS3!$1:$19996,A169,MATCH("StudyDescription", DATOS3!$1:$1,0)))</f>
        <v>#N/A</v>
      </c>
      <c r="I169" t="e">
        <f>IF(INDEX( DATOS3!$1:$19996,A169,MATCH("Dose_Area_Product_Total", DATOS3!$1:$1,0))=0,0,INDEX( DATOS3!$1:$19996,A169,MATCH("Dose_Area_Product", DATOS3!$1:$1,0)))</f>
        <v>#N/A</v>
      </c>
      <c r="J169" t="e">
        <f>IF(INDEX( DATOS3!$1:$19996,A169,MATCH("Dose_RP_Total", DATOS3!$1:$1,0))=0,0,INDEX( DATOS3!$1:$19996,A169,MATCH("Dose_RP", DATOS3!$1:$1,0)))</f>
        <v>#N/A</v>
      </c>
      <c r="K169" t="e">
        <f>IF(INDEX( DATOS3!$1:$19996,A169,MATCH("Total_Fluoro_Time", DATOS3!$1:$1,0))=0,0,INDEX( DATOS3!$1:$19996,A169,MATCH("Total_Fluoro_Time", DATOS3!$1:$1,0)))</f>
        <v>#N/A</v>
      </c>
    </row>
    <row r="170" spans="1:11" hidden="1" x14ac:dyDescent="0.25">
      <c r="A170">
        <v>170</v>
      </c>
      <c r="B170" t="e">
        <f t="shared" si="4"/>
        <v>#N/A</v>
      </c>
      <c r="C170" t="e">
        <f t="shared" si="5"/>
        <v>#N/A</v>
      </c>
      <c r="D170" t="e">
        <f>IF(INDEX( DATOS3!$1:$19996,A170,MATCH("PatientID", DATOS3!$1:$1,0))=0,"",INDEX( DATOS3!$1:$19996,A170,MATCH("PatientID", DATOS3!$1:$1,0)))</f>
        <v>#N/A</v>
      </c>
      <c r="F170" t="e">
        <f>IF(INDEX( DATOS3!$1:$19996,A170,MATCH("SeriesDate", DATOS3!$1:$1,0))=0,"",INDEX( DATOS3!$1:$19996,A170,MATCH("SeriesDate", DATOS3!$1:$1,0)))</f>
        <v>#N/A</v>
      </c>
      <c r="G170" t="e">
        <f>IF(INDEX( DATOS3!$1:$19996,A170,MATCH("SeriesTime", DATOS3!$1:$1,0))=0,"",INDEX( DATOS3!$1:$19996,A170,MATCH("SeriesTime", DATOS3!$1:$1,0)))</f>
        <v>#N/A</v>
      </c>
      <c r="H170" t="e">
        <f>IF(INDEX( DATOS3!$1:$19996,A170,MATCH("StudyDescription", DATOS3!$1:$1,0))=0,"",INDEX( DATOS3!$1:$19996,A170,MATCH("StudyDescription", DATOS3!$1:$1,0)))</f>
        <v>#N/A</v>
      </c>
      <c r="I170" t="e">
        <f>IF(INDEX( DATOS3!$1:$19996,A170,MATCH("Dose_Area_Product_Total", DATOS3!$1:$1,0))=0,0,INDEX( DATOS3!$1:$19996,A170,MATCH("Dose_Area_Product", DATOS3!$1:$1,0)))</f>
        <v>#N/A</v>
      </c>
      <c r="J170" t="e">
        <f>IF(INDEX( DATOS3!$1:$19996,A170,MATCH("Dose_RP_Total", DATOS3!$1:$1,0))=0,0,INDEX( DATOS3!$1:$19996,A170,MATCH("Dose_RP", DATOS3!$1:$1,0)))</f>
        <v>#N/A</v>
      </c>
      <c r="K170" t="e">
        <f>IF(INDEX( DATOS3!$1:$19996,A170,MATCH("Total_Fluoro_Time", DATOS3!$1:$1,0))=0,0,INDEX( DATOS3!$1:$19996,A170,MATCH("Total_Fluoro_Time", DATOS3!$1:$1,0)))</f>
        <v>#N/A</v>
      </c>
    </row>
    <row r="171" spans="1:11" hidden="1" x14ac:dyDescent="0.25">
      <c r="A171">
        <v>171</v>
      </c>
      <c r="B171" t="e">
        <f t="shared" si="4"/>
        <v>#N/A</v>
      </c>
      <c r="C171" t="e">
        <f t="shared" si="5"/>
        <v>#N/A</v>
      </c>
      <c r="D171" t="e">
        <f>IF(INDEX( DATOS3!$1:$19996,A171,MATCH("PatientID", DATOS3!$1:$1,0))=0,"",INDEX( DATOS3!$1:$19996,A171,MATCH("PatientID", DATOS3!$1:$1,0)))</f>
        <v>#N/A</v>
      </c>
      <c r="F171" t="e">
        <f>IF(INDEX( DATOS3!$1:$19996,A171,MATCH("SeriesDate", DATOS3!$1:$1,0))=0,"",INDEX( DATOS3!$1:$19996,A171,MATCH("SeriesDate", DATOS3!$1:$1,0)))</f>
        <v>#N/A</v>
      </c>
      <c r="G171" t="e">
        <f>IF(INDEX( DATOS3!$1:$19996,A171,MATCH("SeriesTime", DATOS3!$1:$1,0))=0,"",INDEX( DATOS3!$1:$19996,A171,MATCH("SeriesTime", DATOS3!$1:$1,0)))</f>
        <v>#N/A</v>
      </c>
      <c r="H171" t="e">
        <f>IF(INDEX( DATOS3!$1:$19996,A171,MATCH("StudyDescription", DATOS3!$1:$1,0))=0,"",INDEX( DATOS3!$1:$19996,A171,MATCH("StudyDescription", DATOS3!$1:$1,0)))</f>
        <v>#N/A</v>
      </c>
      <c r="I171" t="e">
        <f>IF(INDEX( DATOS3!$1:$19996,A171,MATCH("Dose_Area_Product_Total", DATOS3!$1:$1,0))=0,0,INDEX( DATOS3!$1:$19996,A171,MATCH("Dose_Area_Product", DATOS3!$1:$1,0)))</f>
        <v>#N/A</v>
      </c>
      <c r="J171" t="e">
        <f>IF(INDEX( DATOS3!$1:$19996,A171,MATCH("Dose_RP_Total", DATOS3!$1:$1,0))=0,0,INDEX( DATOS3!$1:$19996,A171,MATCH("Dose_RP", DATOS3!$1:$1,0)))</f>
        <v>#N/A</v>
      </c>
      <c r="K171" t="e">
        <f>IF(INDEX( DATOS3!$1:$19996,A171,MATCH("Total_Fluoro_Time", DATOS3!$1:$1,0))=0,0,INDEX( DATOS3!$1:$19996,A171,MATCH("Total_Fluoro_Time", DATOS3!$1:$1,0)))</f>
        <v>#N/A</v>
      </c>
    </row>
    <row r="172" spans="1:11" hidden="1" x14ac:dyDescent="0.25">
      <c r="A172">
        <v>172</v>
      </c>
      <c r="B172" t="e">
        <f t="shared" si="4"/>
        <v>#N/A</v>
      </c>
      <c r="C172" t="e">
        <f t="shared" si="5"/>
        <v>#N/A</v>
      </c>
      <c r="D172" t="e">
        <f>IF(INDEX( DATOS3!$1:$19996,A172,MATCH("PatientID", DATOS3!$1:$1,0))=0,"",INDEX( DATOS3!$1:$19996,A172,MATCH("PatientID", DATOS3!$1:$1,0)))</f>
        <v>#N/A</v>
      </c>
      <c r="F172" t="e">
        <f>IF(INDEX( DATOS3!$1:$19996,A172,MATCH("SeriesDate", DATOS3!$1:$1,0))=0,"",INDEX( DATOS3!$1:$19996,A172,MATCH("SeriesDate", DATOS3!$1:$1,0)))</f>
        <v>#N/A</v>
      </c>
      <c r="G172" t="e">
        <f>IF(INDEX( DATOS3!$1:$19996,A172,MATCH("SeriesTime", DATOS3!$1:$1,0))=0,"",INDEX( DATOS3!$1:$19996,A172,MATCH("SeriesTime", DATOS3!$1:$1,0)))</f>
        <v>#N/A</v>
      </c>
      <c r="H172" t="e">
        <f>IF(INDEX( DATOS3!$1:$19996,A172,MATCH("StudyDescription", DATOS3!$1:$1,0))=0,"",INDEX( DATOS3!$1:$19996,A172,MATCH("StudyDescription", DATOS3!$1:$1,0)))</f>
        <v>#N/A</v>
      </c>
      <c r="I172" t="e">
        <f>IF(INDEX( DATOS3!$1:$19996,A172,MATCH("Dose_Area_Product_Total", DATOS3!$1:$1,0))=0,0,INDEX( DATOS3!$1:$19996,A172,MATCH("Dose_Area_Product", DATOS3!$1:$1,0)))</f>
        <v>#N/A</v>
      </c>
      <c r="J172" t="e">
        <f>IF(INDEX( DATOS3!$1:$19996,A172,MATCH("Dose_RP_Total", DATOS3!$1:$1,0))=0,0,INDEX( DATOS3!$1:$19996,A172,MATCH("Dose_RP", DATOS3!$1:$1,0)))</f>
        <v>#N/A</v>
      </c>
      <c r="K172" t="e">
        <f>IF(INDEX( DATOS3!$1:$19996,A172,MATCH("Total_Fluoro_Time", DATOS3!$1:$1,0))=0,0,INDEX( DATOS3!$1:$19996,A172,MATCH("Total_Fluoro_Time", DATOS3!$1:$1,0)))</f>
        <v>#N/A</v>
      </c>
    </row>
    <row r="173" spans="1:11" hidden="1" x14ac:dyDescent="0.25">
      <c r="A173">
        <v>173</v>
      </c>
      <c r="B173" t="e">
        <f t="shared" si="4"/>
        <v>#N/A</v>
      </c>
      <c r="C173" t="e">
        <f t="shared" si="5"/>
        <v>#N/A</v>
      </c>
      <c r="D173" t="e">
        <f>IF(INDEX( DATOS3!$1:$19996,A173,MATCH("PatientID", DATOS3!$1:$1,0))=0,"",INDEX( DATOS3!$1:$19996,A173,MATCH("PatientID", DATOS3!$1:$1,0)))</f>
        <v>#N/A</v>
      </c>
      <c r="F173" t="e">
        <f>IF(INDEX( DATOS3!$1:$19996,A173,MATCH("SeriesDate", DATOS3!$1:$1,0))=0,"",INDEX( DATOS3!$1:$19996,A173,MATCH("SeriesDate", DATOS3!$1:$1,0)))</f>
        <v>#N/A</v>
      </c>
      <c r="G173" t="e">
        <f>IF(INDEX( DATOS3!$1:$19996,A173,MATCH("SeriesTime", DATOS3!$1:$1,0))=0,"",INDEX( DATOS3!$1:$19996,A173,MATCH("SeriesTime", DATOS3!$1:$1,0)))</f>
        <v>#N/A</v>
      </c>
      <c r="H173" t="e">
        <f>IF(INDEX( DATOS3!$1:$19996,A173,MATCH("StudyDescription", DATOS3!$1:$1,0))=0,"",INDEX( DATOS3!$1:$19996,A173,MATCH("StudyDescription", DATOS3!$1:$1,0)))</f>
        <v>#N/A</v>
      </c>
      <c r="I173" t="e">
        <f>IF(INDEX( DATOS3!$1:$19996,A173,MATCH("Dose_Area_Product_Total", DATOS3!$1:$1,0))=0,0,INDEX( DATOS3!$1:$19996,A173,MATCH("Dose_Area_Product", DATOS3!$1:$1,0)))</f>
        <v>#N/A</v>
      </c>
      <c r="J173" t="e">
        <f>IF(INDEX( DATOS3!$1:$19996,A173,MATCH("Dose_RP_Total", DATOS3!$1:$1,0))=0,0,INDEX( DATOS3!$1:$19996,A173,MATCH("Dose_RP", DATOS3!$1:$1,0)))</f>
        <v>#N/A</v>
      </c>
      <c r="K173" t="e">
        <f>IF(INDEX( DATOS3!$1:$19996,A173,MATCH("Total_Fluoro_Time", DATOS3!$1:$1,0))=0,0,INDEX( DATOS3!$1:$19996,A173,MATCH("Total_Fluoro_Time", DATOS3!$1:$1,0)))</f>
        <v>#N/A</v>
      </c>
    </row>
    <row r="174" spans="1:11" hidden="1" x14ac:dyDescent="0.25">
      <c r="A174">
        <v>174</v>
      </c>
      <c r="B174" t="e">
        <f t="shared" si="4"/>
        <v>#N/A</v>
      </c>
      <c r="C174" t="e">
        <f t="shared" si="5"/>
        <v>#N/A</v>
      </c>
      <c r="D174" t="e">
        <f>IF(INDEX( DATOS3!$1:$19996,A174,MATCH("PatientID", DATOS3!$1:$1,0))=0,"",INDEX( DATOS3!$1:$19996,A174,MATCH("PatientID", DATOS3!$1:$1,0)))</f>
        <v>#N/A</v>
      </c>
      <c r="F174" t="e">
        <f>IF(INDEX( DATOS3!$1:$19996,A174,MATCH("SeriesDate", DATOS3!$1:$1,0))=0,"",INDEX( DATOS3!$1:$19996,A174,MATCH("SeriesDate", DATOS3!$1:$1,0)))</f>
        <v>#N/A</v>
      </c>
      <c r="G174" t="e">
        <f>IF(INDEX( DATOS3!$1:$19996,A174,MATCH("SeriesTime", DATOS3!$1:$1,0))=0,"",INDEX( DATOS3!$1:$19996,A174,MATCH("SeriesTime", DATOS3!$1:$1,0)))</f>
        <v>#N/A</v>
      </c>
      <c r="H174" t="e">
        <f>IF(INDEX( DATOS3!$1:$19996,A174,MATCH("StudyDescription", DATOS3!$1:$1,0))=0,"",INDEX( DATOS3!$1:$19996,A174,MATCH("StudyDescription", DATOS3!$1:$1,0)))</f>
        <v>#N/A</v>
      </c>
      <c r="I174" t="e">
        <f>IF(INDEX( DATOS3!$1:$19996,A174,MATCH("Dose_Area_Product_Total", DATOS3!$1:$1,0))=0,0,INDEX( DATOS3!$1:$19996,A174,MATCH("Dose_Area_Product", DATOS3!$1:$1,0)))</f>
        <v>#N/A</v>
      </c>
      <c r="J174" t="e">
        <f>IF(INDEX( DATOS3!$1:$19996,A174,MATCH("Dose_RP_Total", DATOS3!$1:$1,0))=0,0,INDEX( DATOS3!$1:$19996,A174,MATCH("Dose_RP", DATOS3!$1:$1,0)))</f>
        <v>#N/A</v>
      </c>
      <c r="K174" t="e">
        <f>IF(INDEX( DATOS3!$1:$19996,A174,MATCH("Total_Fluoro_Time", DATOS3!$1:$1,0))=0,0,INDEX( DATOS3!$1:$19996,A174,MATCH("Total_Fluoro_Time", DATOS3!$1:$1,0)))</f>
        <v>#N/A</v>
      </c>
    </row>
    <row r="175" spans="1:11" hidden="1" x14ac:dyDescent="0.25">
      <c r="A175">
        <v>175</v>
      </c>
      <c r="B175" t="e">
        <f t="shared" si="4"/>
        <v>#N/A</v>
      </c>
      <c r="C175" t="e">
        <f t="shared" si="5"/>
        <v>#N/A</v>
      </c>
      <c r="D175" t="e">
        <f>IF(INDEX( DATOS3!$1:$19996,A175,MATCH("PatientID", DATOS3!$1:$1,0))=0,"",INDEX( DATOS3!$1:$19996,A175,MATCH("PatientID", DATOS3!$1:$1,0)))</f>
        <v>#N/A</v>
      </c>
      <c r="F175" t="e">
        <f>IF(INDEX( DATOS3!$1:$19996,A175,MATCH("SeriesDate", DATOS3!$1:$1,0))=0,"",INDEX( DATOS3!$1:$19996,A175,MATCH("SeriesDate", DATOS3!$1:$1,0)))</f>
        <v>#N/A</v>
      </c>
      <c r="G175" t="e">
        <f>IF(INDEX( DATOS3!$1:$19996,A175,MATCH("SeriesTime", DATOS3!$1:$1,0))=0,"",INDEX( DATOS3!$1:$19996,A175,MATCH("SeriesTime", DATOS3!$1:$1,0)))</f>
        <v>#N/A</v>
      </c>
      <c r="H175" t="e">
        <f>IF(INDEX( DATOS3!$1:$19996,A175,MATCH("StudyDescription", DATOS3!$1:$1,0))=0,"",INDEX( DATOS3!$1:$19996,A175,MATCH("StudyDescription", DATOS3!$1:$1,0)))</f>
        <v>#N/A</v>
      </c>
      <c r="I175" t="e">
        <f>IF(INDEX( DATOS3!$1:$19996,A175,MATCH("Dose_Area_Product_Total", DATOS3!$1:$1,0))=0,0,INDEX( DATOS3!$1:$19996,A175,MATCH("Dose_Area_Product", DATOS3!$1:$1,0)))</f>
        <v>#N/A</v>
      </c>
      <c r="J175" t="e">
        <f>IF(INDEX( DATOS3!$1:$19996,A175,MATCH("Dose_RP_Total", DATOS3!$1:$1,0))=0,0,INDEX( DATOS3!$1:$19996,A175,MATCH("Dose_RP", DATOS3!$1:$1,0)))</f>
        <v>#N/A</v>
      </c>
      <c r="K175" t="e">
        <f>IF(INDEX( DATOS3!$1:$19996,A175,MATCH("Total_Fluoro_Time", DATOS3!$1:$1,0))=0,0,INDEX( DATOS3!$1:$19996,A175,MATCH("Total_Fluoro_Time", DATOS3!$1:$1,0)))</f>
        <v>#N/A</v>
      </c>
    </row>
    <row r="176" spans="1:11" hidden="1" x14ac:dyDescent="0.25">
      <c r="A176">
        <v>176</v>
      </c>
      <c r="B176" t="e">
        <f t="shared" si="4"/>
        <v>#N/A</v>
      </c>
      <c r="C176" t="e">
        <f t="shared" si="5"/>
        <v>#N/A</v>
      </c>
      <c r="D176" t="e">
        <f>IF(INDEX( DATOS3!$1:$19996,A176,MATCH("PatientID", DATOS3!$1:$1,0))=0,"",INDEX( DATOS3!$1:$19996,A176,MATCH("PatientID", DATOS3!$1:$1,0)))</f>
        <v>#N/A</v>
      </c>
      <c r="F176" t="e">
        <f>IF(INDEX( DATOS3!$1:$19996,A176,MATCH("SeriesDate", DATOS3!$1:$1,0))=0,"",INDEX( DATOS3!$1:$19996,A176,MATCH("SeriesDate", DATOS3!$1:$1,0)))</f>
        <v>#N/A</v>
      </c>
      <c r="G176" t="e">
        <f>IF(INDEX( DATOS3!$1:$19996,A176,MATCH("SeriesTime", DATOS3!$1:$1,0))=0,"",INDEX( DATOS3!$1:$19996,A176,MATCH("SeriesTime", DATOS3!$1:$1,0)))</f>
        <v>#N/A</v>
      </c>
      <c r="H176" t="e">
        <f>IF(INDEX( DATOS3!$1:$19996,A176,MATCH("StudyDescription", DATOS3!$1:$1,0))=0,"",INDEX( DATOS3!$1:$19996,A176,MATCH("StudyDescription", DATOS3!$1:$1,0)))</f>
        <v>#N/A</v>
      </c>
      <c r="I176" t="e">
        <f>IF(INDEX( DATOS3!$1:$19996,A176,MATCH("Dose_Area_Product_Total", DATOS3!$1:$1,0))=0,0,INDEX( DATOS3!$1:$19996,A176,MATCH("Dose_Area_Product", DATOS3!$1:$1,0)))</f>
        <v>#N/A</v>
      </c>
      <c r="J176" t="e">
        <f>IF(INDEX( DATOS3!$1:$19996,A176,MATCH("Dose_RP_Total", DATOS3!$1:$1,0))=0,0,INDEX( DATOS3!$1:$19996,A176,MATCH("Dose_RP", DATOS3!$1:$1,0)))</f>
        <v>#N/A</v>
      </c>
      <c r="K176" t="e">
        <f>IF(INDEX( DATOS3!$1:$19996,A176,MATCH("Total_Fluoro_Time", DATOS3!$1:$1,0))=0,0,INDEX( DATOS3!$1:$19996,A176,MATCH("Total_Fluoro_Time", DATOS3!$1:$1,0)))</f>
        <v>#N/A</v>
      </c>
    </row>
    <row r="177" spans="1:11" hidden="1" x14ac:dyDescent="0.25">
      <c r="A177">
        <v>177</v>
      </c>
      <c r="B177" t="e">
        <f t="shared" si="4"/>
        <v>#N/A</v>
      </c>
      <c r="C177" t="e">
        <f t="shared" si="5"/>
        <v>#N/A</v>
      </c>
      <c r="D177" t="e">
        <f>IF(INDEX( DATOS3!$1:$19996,A177,MATCH("PatientID", DATOS3!$1:$1,0))=0,"",INDEX( DATOS3!$1:$19996,A177,MATCH("PatientID", DATOS3!$1:$1,0)))</f>
        <v>#N/A</v>
      </c>
      <c r="F177" t="e">
        <f>IF(INDEX( DATOS3!$1:$19996,A177,MATCH("SeriesDate", DATOS3!$1:$1,0))=0,"",INDEX( DATOS3!$1:$19996,A177,MATCH("SeriesDate", DATOS3!$1:$1,0)))</f>
        <v>#N/A</v>
      </c>
      <c r="G177" t="e">
        <f>IF(INDEX( DATOS3!$1:$19996,A177,MATCH("SeriesTime", DATOS3!$1:$1,0))=0,"",INDEX( DATOS3!$1:$19996,A177,MATCH("SeriesTime", DATOS3!$1:$1,0)))</f>
        <v>#N/A</v>
      </c>
      <c r="H177" t="e">
        <f>IF(INDEX( DATOS3!$1:$19996,A177,MATCH("StudyDescription", DATOS3!$1:$1,0))=0,"",INDEX( DATOS3!$1:$19996,A177,MATCH("StudyDescription", DATOS3!$1:$1,0)))</f>
        <v>#N/A</v>
      </c>
      <c r="I177" t="e">
        <f>IF(INDEX( DATOS3!$1:$19996,A177,MATCH("Dose_Area_Product_Total", DATOS3!$1:$1,0))=0,0,INDEX( DATOS3!$1:$19996,A177,MATCH("Dose_Area_Product", DATOS3!$1:$1,0)))</f>
        <v>#N/A</v>
      </c>
      <c r="J177" t="e">
        <f>IF(INDEX( DATOS3!$1:$19996,A177,MATCH("Dose_RP_Total", DATOS3!$1:$1,0))=0,0,INDEX( DATOS3!$1:$19996,A177,MATCH("Dose_RP", DATOS3!$1:$1,0)))</f>
        <v>#N/A</v>
      </c>
      <c r="K177" t="e">
        <f>IF(INDEX( DATOS3!$1:$19996,A177,MATCH("Total_Fluoro_Time", DATOS3!$1:$1,0))=0,0,INDEX( DATOS3!$1:$19996,A177,MATCH("Total_Fluoro_Time", DATOS3!$1:$1,0)))</f>
        <v>#N/A</v>
      </c>
    </row>
    <row r="178" spans="1:11" hidden="1" x14ac:dyDescent="0.25">
      <c r="A178">
        <v>178</v>
      </c>
      <c r="B178" t="e">
        <f t="shared" si="4"/>
        <v>#N/A</v>
      </c>
      <c r="C178" t="e">
        <f t="shared" si="5"/>
        <v>#N/A</v>
      </c>
      <c r="D178" t="e">
        <f>IF(INDEX( DATOS3!$1:$19996,A178,MATCH("PatientID", DATOS3!$1:$1,0))=0,"",INDEX( DATOS3!$1:$19996,A178,MATCH("PatientID", DATOS3!$1:$1,0)))</f>
        <v>#N/A</v>
      </c>
      <c r="F178" t="e">
        <f>IF(INDEX( DATOS3!$1:$19996,A178,MATCH("SeriesDate", DATOS3!$1:$1,0))=0,"",INDEX( DATOS3!$1:$19996,A178,MATCH("SeriesDate", DATOS3!$1:$1,0)))</f>
        <v>#N/A</v>
      </c>
      <c r="G178" t="e">
        <f>IF(INDEX( DATOS3!$1:$19996,A178,MATCH("SeriesTime", DATOS3!$1:$1,0))=0,"",INDEX( DATOS3!$1:$19996,A178,MATCH("SeriesTime", DATOS3!$1:$1,0)))</f>
        <v>#N/A</v>
      </c>
      <c r="H178" t="e">
        <f>IF(INDEX( DATOS3!$1:$19996,A178,MATCH("StudyDescription", DATOS3!$1:$1,0))=0,"",INDEX( DATOS3!$1:$19996,A178,MATCH("StudyDescription", DATOS3!$1:$1,0)))</f>
        <v>#N/A</v>
      </c>
      <c r="I178" t="e">
        <f>IF(INDEX( DATOS3!$1:$19996,A178,MATCH("Dose_Area_Product_Total", DATOS3!$1:$1,0))=0,0,INDEX( DATOS3!$1:$19996,A178,MATCH("Dose_Area_Product", DATOS3!$1:$1,0)))</f>
        <v>#N/A</v>
      </c>
      <c r="J178" t="e">
        <f>IF(INDEX( DATOS3!$1:$19996,A178,MATCH("Dose_RP_Total", DATOS3!$1:$1,0))=0,0,INDEX( DATOS3!$1:$19996,A178,MATCH("Dose_RP", DATOS3!$1:$1,0)))</f>
        <v>#N/A</v>
      </c>
      <c r="K178" t="e">
        <f>IF(INDEX( DATOS3!$1:$19996,A178,MATCH("Total_Fluoro_Time", DATOS3!$1:$1,0))=0,0,INDEX( DATOS3!$1:$19996,A178,MATCH("Total_Fluoro_Time", DATOS3!$1:$1,0)))</f>
        <v>#N/A</v>
      </c>
    </row>
    <row r="179" spans="1:11" hidden="1" x14ac:dyDescent="0.25">
      <c r="A179">
        <v>179</v>
      </c>
      <c r="B179" t="e">
        <f t="shared" si="4"/>
        <v>#N/A</v>
      </c>
      <c r="C179" t="e">
        <f t="shared" si="5"/>
        <v>#N/A</v>
      </c>
      <c r="D179" t="e">
        <f>IF(INDEX( DATOS3!$1:$19996,A179,MATCH("PatientID", DATOS3!$1:$1,0))=0,"",INDEX( DATOS3!$1:$19996,A179,MATCH("PatientID", DATOS3!$1:$1,0)))</f>
        <v>#N/A</v>
      </c>
      <c r="F179" t="e">
        <f>IF(INDEX( DATOS3!$1:$19996,A179,MATCH("SeriesDate", DATOS3!$1:$1,0))=0,"",INDEX( DATOS3!$1:$19996,A179,MATCH("SeriesDate", DATOS3!$1:$1,0)))</f>
        <v>#N/A</v>
      </c>
      <c r="G179" t="e">
        <f>IF(INDEX( DATOS3!$1:$19996,A179,MATCH("SeriesTime", DATOS3!$1:$1,0))=0,"",INDEX( DATOS3!$1:$19996,A179,MATCH("SeriesTime", DATOS3!$1:$1,0)))</f>
        <v>#N/A</v>
      </c>
      <c r="H179" t="e">
        <f>IF(INDEX( DATOS3!$1:$19996,A179,MATCH("StudyDescription", DATOS3!$1:$1,0))=0,"",INDEX( DATOS3!$1:$19996,A179,MATCH("StudyDescription", DATOS3!$1:$1,0)))</f>
        <v>#N/A</v>
      </c>
      <c r="I179" t="e">
        <f>IF(INDEX( DATOS3!$1:$19996,A179,MATCH("Dose_Area_Product_Total", DATOS3!$1:$1,0))=0,0,INDEX( DATOS3!$1:$19996,A179,MATCH("Dose_Area_Product", DATOS3!$1:$1,0)))</f>
        <v>#N/A</v>
      </c>
      <c r="J179" t="e">
        <f>IF(INDEX( DATOS3!$1:$19996,A179,MATCH("Dose_RP_Total", DATOS3!$1:$1,0))=0,0,INDEX( DATOS3!$1:$19996,A179,MATCH("Dose_RP", DATOS3!$1:$1,0)))</f>
        <v>#N/A</v>
      </c>
      <c r="K179" t="e">
        <f>IF(INDEX( DATOS3!$1:$19996,A179,MATCH("Total_Fluoro_Time", DATOS3!$1:$1,0))=0,0,INDEX( DATOS3!$1:$19996,A179,MATCH("Total_Fluoro_Time", DATOS3!$1:$1,0)))</f>
        <v>#N/A</v>
      </c>
    </row>
    <row r="180" spans="1:11" hidden="1" x14ac:dyDescent="0.25">
      <c r="A180">
        <v>180</v>
      </c>
      <c r="B180" t="e">
        <f t="shared" si="4"/>
        <v>#N/A</v>
      </c>
      <c r="C180" t="e">
        <f t="shared" si="5"/>
        <v>#N/A</v>
      </c>
      <c r="D180" t="e">
        <f>IF(INDEX( DATOS3!$1:$19996,A180,MATCH("PatientID", DATOS3!$1:$1,0))=0,"",INDEX( DATOS3!$1:$19996,A180,MATCH("PatientID", DATOS3!$1:$1,0)))</f>
        <v>#N/A</v>
      </c>
      <c r="F180" t="e">
        <f>IF(INDEX( DATOS3!$1:$19996,A180,MATCH("SeriesDate", DATOS3!$1:$1,0))=0,"",INDEX( DATOS3!$1:$19996,A180,MATCH("SeriesDate", DATOS3!$1:$1,0)))</f>
        <v>#N/A</v>
      </c>
      <c r="G180" t="e">
        <f>IF(INDEX( DATOS3!$1:$19996,A180,MATCH("SeriesTime", DATOS3!$1:$1,0))=0,"",INDEX( DATOS3!$1:$19996,A180,MATCH("SeriesTime", DATOS3!$1:$1,0)))</f>
        <v>#N/A</v>
      </c>
      <c r="H180" t="e">
        <f>IF(INDEX( DATOS3!$1:$19996,A180,MATCH("StudyDescription", DATOS3!$1:$1,0))=0,"",INDEX( DATOS3!$1:$19996,A180,MATCH("StudyDescription", DATOS3!$1:$1,0)))</f>
        <v>#N/A</v>
      </c>
      <c r="I180" t="e">
        <f>IF(INDEX( DATOS3!$1:$19996,A180,MATCH("Dose_Area_Product_Total", DATOS3!$1:$1,0))=0,0,INDEX( DATOS3!$1:$19996,A180,MATCH("Dose_Area_Product", DATOS3!$1:$1,0)))</f>
        <v>#N/A</v>
      </c>
      <c r="J180" t="e">
        <f>IF(INDEX( DATOS3!$1:$19996,A180,MATCH("Dose_RP_Total", DATOS3!$1:$1,0))=0,0,INDEX( DATOS3!$1:$19996,A180,MATCH("Dose_RP", DATOS3!$1:$1,0)))</f>
        <v>#N/A</v>
      </c>
      <c r="K180" t="e">
        <f>IF(INDEX( DATOS3!$1:$19996,A180,MATCH("Total_Fluoro_Time", DATOS3!$1:$1,0))=0,0,INDEX( DATOS3!$1:$19996,A180,MATCH("Total_Fluoro_Time", DATOS3!$1:$1,0)))</f>
        <v>#N/A</v>
      </c>
    </row>
    <row r="181" spans="1:11" hidden="1" x14ac:dyDescent="0.25">
      <c r="A181">
        <v>181</v>
      </c>
      <c r="B181" t="e">
        <f t="shared" si="4"/>
        <v>#N/A</v>
      </c>
      <c r="C181" t="e">
        <f t="shared" si="5"/>
        <v>#N/A</v>
      </c>
      <c r="D181" t="e">
        <f>IF(INDEX( DATOS3!$1:$19996,A181,MATCH("PatientID", DATOS3!$1:$1,0))=0,"",INDEX( DATOS3!$1:$19996,A181,MATCH("PatientID", DATOS3!$1:$1,0)))</f>
        <v>#N/A</v>
      </c>
      <c r="F181" t="e">
        <f>IF(INDEX( DATOS3!$1:$19996,A181,MATCH("SeriesDate", DATOS3!$1:$1,0))=0,"",INDEX( DATOS3!$1:$19996,A181,MATCH("SeriesDate", DATOS3!$1:$1,0)))</f>
        <v>#N/A</v>
      </c>
      <c r="G181" t="e">
        <f>IF(INDEX( DATOS3!$1:$19996,A181,MATCH("SeriesTime", DATOS3!$1:$1,0))=0,"",INDEX( DATOS3!$1:$19996,A181,MATCH("SeriesTime", DATOS3!$1:$1,0)))</f>
        <v>#N/A</v>
      </c>
      <c r="H181" t="e">
        <f>IF(INDEX( DATOS3!$1:$19996,A181,MATCH("StudyDescription", DATOS3!$1:$1,0))=0,"",INDEX( DATOS3!$1:$19996,A181,MATCH("StudyDescription", DATOS3!$1:$1,0)))</f>
        <v>#N/A</v>
      </c>
      <c r="I181" t="e">
        <f>IF(INDEX( DATOS3!$1:$19996,A181,MATCH("Dose_Area_Product_Total", DATOS3!$1:$1,0))=0,0,INDEX( DATOS3!$1:$19996,A181,MATCH("Dose_Area_Product", DATOS3!$1:$1,0)))</f>
        <v>#N/A</v>
      </c>
      <c r="J181" t="e">
        <f>IF(INDEX( DATOS3!$1:$19996,A181,MATCH("Dose_RP_Total", DATOS3!$1:$1,0))=0,0,INDEX( DATOS3!$1:$19996,A181,MATCH("Dose_RP", DATOS3!$1:$1,0)))</f>
        <v>#N/A</v>
      </c>
      <c r="K181" t="e">
        <f>IF(INDEX( DATOS3!$1:$19996,A181,MATCH("Total_Fluoro_Time", DATOS3!$1:$1,0))=0,0,INDEX( DATOS3!$1:$19996,A181,MATCH("Total_Fluoro_Time", DATOS3!$1:$1,0)))</f>
        <v>#N/A</v>
      </c>
    </row>
    <row r="182" spans="1:11" hidden="1" x14ac:dyDescent="0.25">
      <c r="A182">
        <v>182</v>
      </c>
      <c r="B182" t="e">
        <f t="shared" si="4"/>
        <v>#N/A</v>
      </c>
      <c r="C182" t="e">
        <f t="shared" si="5"/>
        <v>#N/A</v>
      </c>
      <c r="D182" t="e">
        <f>IF(INDEX( DATOS3!$1:$19996,A182,MATCH("PatientID", DATOS3!$1:$1,0))=0,"",INDEX( DATOS3!$1:$19996,A182,MATCH("PatientID", DATOS3!$1:$1,0)))</f>
        <v>#N/A</v>
      </c>
      <c r="F182" t="e">
        <f>IF(INDEX( DATOS3!$1:$19996,A182,MATCH("SeriesDate", DATOS3!$1:$1,0))=0,"",INDEX( DATOS3!$1:$19996,A182,MATCH("SeriesDate", DATOS3!$1:$1,0)))</f>
        <v>#N/A</v>
      </c>
      <c r="G182" t="e">
        <f>IF(INDEX( DATOS3!$1:$19996,A182,MATCH("SeriesTime", DATOS3!$1:$1,0))=0,"",INDEX( DATOS3!$1:$19996,A182,MATCH("SeriesTime", DATOS3!$1:$1,0)))</f>
        <v>#N/A</v>
      </c>
      <c r="H182" t="e">
        <f>IF(INDEX( DATOS3!$1:$19996,A182,MATCH("StudyDescription", DATOS3!$1:$1,0))=0,"",INDEX( DATOS3!$1:$19996,A182,MATCH("StudyDescription", DATOS3!$1:$1,0)))</f>
        <v>#N/A</v>
      </c>
      <c r="I182" t="e">
        <f>IF(INDEX( DATOS3!$1:$19996,A182,MATCH("Dose_Area_Product_Total", DATOS3!$1:$1,0))=0,0,INDEX( DATOS3!$1:$19996,A182,MATCH("Dose_Area_Product", DATOS3!$1:$1,0)))</f>
        <v>#N/A</v>
      </c>
      <c r="J182" t="e">
        <f>IF(INDEX( DATOS3!$1:$19996,A182,MATCH("Dose_RP_Total", DATOS3!$1:$1,0))=0,0,INDEX( DATOS3!$1:$19996,A182,MATCH("Dose_RP", DATOS3!$1:$1,0)))</f>
        <v>#N/A</v>
      </c>
      <c r="K182" t="e">
        <f>IF(INDEX( DATOS3!$1:$19996,A182,MATCH("Total_Fluoro_Time", DATOS3!$1:$1,0))=0,0,INDEX( DATOS3!$1:$19996,A182,MATCH("Total_Fluoro_Time", DATOS3!$1:$1,0)))</f>
        <v>#N/A</v>
      </c>
    </row>
    <row r="183" spans="1:11" hidden="1" x14ac:dyDescent="0.25">
      <c r="A183">
        <v>183</v>
      </c>
      <c r="B183" t="e">
        <f t="shared" si="4"/>
        <v>#N/A</v>
      </c>
      <c r="C183" t="e">
        <f t="shared" si="5"/>
        <v>#N/A</v>
      </c>
      <c r="D183" t="e">
        <f>IF(INDEX( DATOS3!$1:$19996,A183,MATCH("PatientID", DATOS3!$1:$1,0))=0,"",INDEX( DATOS3!$1:$19996,A183,MATCH("PatientID", DATOS3!$1:$1,0)))</f>
        <v>#N/A</v>
      </c>
      <c r="F183" t="e">
        <f>IF(INDEX( DATOS3!$1:$19996,A183,MATCH("SeriesDate", DATOS3!$1:$1,0))=0,"",INDEX( DATOS3!$1:$19996,A183,MATCH("SeriesDate", DATOS3!$1:$1,0)))</f>
        <v>#N/A</v>
      </c>
      <c r="G183" t="e">
        <f>IF(INDEX( DATOS3!$1:$19996,A183,MATCH("SeriesTime", DATOS3!$1:$1,0))=0,"",INDEX( DATOS3!$1:$19996,A183,MATCH("SeriesTime", DATOS3!$1:$1,0)))</f>
        <v>#N/A</v>
      </c>
      <c r="H183" t="e">
        <f>IF(INDEX( DATOS3!$1:$19996,A183,MATCH("StudyDescription", DATOS3!$1:$1,0))=0,"",INDEX( DATOS3!$1:$19996,A183,MATCH("StudyDescription", DATOS3!$1:$1,0)))</f>
        <v>#N/A</v>
      </c>
      <c r="I183" t="e">
        <f>IF(INDEX( DATOS3!$1:$19996,A183,MATCH("Dose_Area_Product_Total", DATOS3!$1:$1,0))=0,0,INDEX( DATOS3!$1:$19996,A183,MATCH("Dose_Area_Product", DATOS3!$1:$1,0)))</f>
        <v>#N/A</v>
      </c>
      <c r="J183" t="e">
        <f>IF(INDEX( DATOS3!$1:$19996,A183,MATCH("Dose_RP_Total", DATOS3!$1:$1,0))=0,0,INDEX( DATOS3!$1:$19996,A183,MATCH("Dose_RP", DATOS3!$1:$1,0)))</f>
        <v>#N/A</v>
      </c>
      <c r="K183" t="e">
        <f>IF(INDEX( DATOS3!$1:$19996,A183,MATCH("Total_Fluoro_Time", DATOS3!$1:$1,0))=0,0,INDEX( DATOS3!$1:$19996,A183,MATCH("Total_Fluoro_Time", DATOS3!$1:$1,0)))</f>
        <v>#N/A</v>
      </c>
    </row>
    <row r="184" spans="1:11" hidden="1" x14ac:dyDescent="0.25">
      <c r="A184">
        <v>184</v>
      </c>
      <c r="B184" t="e">
        <f t="shared" si="4"/>
        <v>#N/A</v>
      </c>
      <c r="C184" t="e">
        <f t="shared" si="5"/>
        <v>#N/A</v>
      </c>
      <c r="D184" t="e">
        <f>IF(INDEX( DATOS3!$1:$19996,A184,MATCH("PatientID", DATOS3!$1:$1,0))=0,"",INDEX( DATOS3!$1:$19996,A184,MATCH("PatientID", DATOS3!$1:$1,0)))</f>
        <v>#N/A</v>
      </c>
      <c r="F184" t="e">
        <f>IF(INDEX( DATOS3!$1:$19996,A184,MATCH("SeriesDate", DATOS3!$1:$1,0))=0,"",INDEX( DATOS3!$1:$19996,A184,MATCH("SeriesDate", DATOS3!$1:$1,0)))</f>
        <v>#N/A</v>
      </c>
      <c r="G184" t="e">
        <f>IF(INDEX( DATOS3!$1:$19996,A184,MATCH("SeriesTime", DATOS3!$1:$1,0))=0,"",INDEX( DATOS3!$1:$19996,A184,MATCH("SeriesTime", DATOS3!$1:$1,0)))</f>
        <v>#N/A</v>
      </c>
      <c r="H184" t="e">
        <f>IF(INDEX( DATOS3!$1:$19996,A184,MATCH("StudyDescription", DATOS3!$1:$1,0))=0,"",INDEX( DATOS3!$1:$19996,A184,MATCH("StudyDescription", DATOS3!$1:$1,0)))</f>
        <v>#N/A</v>
      </c>
      <c r="I184" t="e">
        <f>IF(INDEX( DATOS3!$1:$19996,A184,MATCH("Dose_Area_Product_Total", DATOS3!$1:$1,0))=0,0,INDEX( DATOS3!$1:$19996,A184,MATCH("Dose_Area_Product", DATOS3!$1:$1,0)))</f>
        <v>#N/A</v>
      </c>
      <c r="J184" t="e">
        <f>IF(INDEX( DATOS3!$1:$19996,A184,MATCH("Dose_RP_Total", DATOS3!$1:$1,0))=0,0,INDEX( DATOS3!$1:$19996,A184,MATCH("Dose_RP", DATOS3!$1:$1,0)))</f>
        <v>#N/A</v>
      </c>
      <c r="K184" t="e">
        <f>IF(INDEX( DATOS3!$1:$19996,A184,MATCH("Total_Fluoro_Time", DATOS3!$1:$1,0))=0,0,INDEX( DATOS3!$1:$19996,A184,MATCH("Total_Fluoro_Time", DATOS3!$1:$1,0)))</f>
        <v>#N/A</v>
      </c>
    </row>
    <row r="185" spans="1:11" hidden="1" x14ac:dyDescent="0.25">
      <c r="A185">
        <v>185</v>
      </c>
      <c r="B185" t="e">
        <f t="shared" si="4"/>
        <v>#N/A</v>
      </c>
      <c r="C185" t="e">
        <f t="shared" si="5"/>
        <v>#N/A</v>
      </c>
      <c r="D185" t="e">
        <f>IF(INDEX( DATOS3!$1:$19996,A185,MATCH("PatientID", DATOS3!$1:$1,0))=0,"",INDEX( DATOS3!$1:$19996,A185,MATCH("PatientID", DATOS3!$1:$1,0)))</f>
        <v>#N/A</v>
      </c>
      <c r="F185" t="e">
        <f>IF(INDEX( DATOS3!$1:$19996,A185,MATCH("SeriesDate", DATOS3!$1:$1,0))=0,"",INDEX( DATOS3!$1:$19996,A185,MATCH("SeriesDate", DATOS3!$1:$1,0)))</f>
        <v>#N/A</v>
      </c>
      <c r="G185" t="e">
        <f>IF(INDEX( DATOS3!$1:$19996,A185,MATCH("SeriesTime", DATOS3!$1:$1,0))=0,"",INDEX( DATOS3!$1:$19996,A185,MATCH("SeriesTime", DATOS3!$1:$1,0)))</f>
        <v>#N/A</v>
      </c>
      <c r="H185" t="e">
        <f>IF(INDEX( DATOS3!$1:$19996,A185,MATCH("StudyDescription", DATOS3!$1:$1,0))=0,"",INDEX( DATOS3!$1:$19996,A185,MATCH("StudyDescription", DATOS3!$1:$1,0)))</f>
        <v>#N/A</v>
      </c>
      <c r="I185" t="e">
        <f>IF(INDEX( DATOS3!$1:$19996,A185,MATCH("Dose_Area_Product_Total", DATOS3!$1:$1,0))=0,0,INDEX( DATOS3!$1:$19996,A185,MATCH("Dose_Area_Product", DATOS3!$1:$1,0)))</f>
        <v>#N/A</v>
      </c>
      <c r="J185" t="e">
        <f>IF(INDEX( DATOS3!$1:$19996,A185,MATCH("Dose_RP_Total", DATOS3!$1:$1,0))=0,0,INDEX( DATOS3!$1:$19996,A185,MATCH("Dose_RP", DATOS3!$1:$1,0)))</f>
        <v>#N/A</v>
      </c>
      <c r="K185" t="e">
        <f>IF(INDEX( DATOS3!$1:$19996,A185,MATCH("Total_Fluoro_Time", DATOS3!$1:$1,0))=0,0,INDEX( DATOS3!$1:$19996,A185,MATCH("Total_Fluoro_Time", DATOS3!$1:$1,0)))</f>
        <v>#N/A</v>
      </c>
    </row>
    <row r="186" spans="1:11" hidden="1" x14ac:dyDescent="0.25">
      <c r="A186">
        <v>186</v>
      </c>
      <c r="B186" t="e">
        <f t="shared" si="4"/>
        <v>#N/A</v>
      </c>
      <c r="C186" t="e">
        <f t="shared" si="5"/>
        <v>#N/A</v>
      </c>
      <c r="D186" t="e">
        <f>IF(INDEX( DATOS3!$1:$19996,A186,MATCH("PatientID", DATOS3!$1:$1,0))=0,"",INDEX( DATOS3!$1:$19996,A186,MATCH("PatientID", DATOS3!$1:$1,0)))</f>
        <v>#N/A</v>
      </c>
      <c r="F186" t="e">
        <f>IF(INDEX( DATOS3!$1:$19996,A186,MATCH("SeriesDate", DATOS3!$1:$1,0))=0,"",INDEX( DATOS3!$1:$19996,A186,MATCH("SeriesDate", DATOS3!$1:$1,0)))</f>
        <v>#N/A</v>
      </c>
      <c r="G186" t="e">
        <f>IF(INDEX( DATOS3!$1:$19996,A186,MATCH("SeriesTime", DATOS3!$1:$1,0))=0,"",INDEX( DATOS3!$1:$19996,A186,MATCH("SeriesTime", DATOS3!$1:$1,0)))</f>
        <v>#N/A</v>
      </c>
      <c r="H186" t="e">
        <f>IF(INDEX( DATOS3!$1:$19996,A186,MATCH("StudyDescription", DATOS3!$1:$1,0))=0,"",INDEX( DATOS3!$1:$19996,A186,MATCH("StudyDescription", DATOS3!$1:$1,0)))</f>
        <v>#N/A</v>
      </c>
      <c r="I186" t="e">
        <f>IF(INDEX( DATOS3!$1:$19996,A186,MATCH("Dose_Area_Product_Total", DATOS3!$1:$1,0))=0,0,INDEX( DATOS3!$1:$19996,A186,MATCH("Dose_Area_Product", DATOS3!$1:$1,0)))</f>
        <v>#N/A</v>
      </c>
      <c r="J186" t="e">
        <f>IF(INDEX( DATOS3!$1:$19996,A186,MATCH("Dose_RP_Total", DATOS3!$1:$1,0))=0,0,INDEX( DATOS3!$1:$19996,A186,MATCH("Dose_RP", DATOS3!$1:$1,0)))</f>
        <v>#N/A</v>
      </c>
      <c r="K186" t="e">
        <f>IF(INDEX( DATOS3!$1:$19996,A186,MATCH("Total_Fluoro_Time", DATOS3!$1:$1,0))=0,0,INDEX( DATOS3!$1:$19996,A186,MATCH("Total_Fluoro_Time", DATOS3!$1:$1,0)))</f>
        <v>#N/A</v>
      </c>
    </row>
    <row r="187" spans="1:11" hidden="1" x14ac:dyDescent="0.25">
      <c r="A187">
        <v>187</v>
      </c>
      <c r="B187" t="e">
        <f t="shared" si="4"/>
        <v>#N/A</v>
      </c>
      <c r="C187" t="e">
        <f t="shared" si="5"/>
        <v>#N/A</v>
      </c>
      <c r="D187" t="e">
        <f>IF(INDEX( DATOS3!$1:$19996,A187,MATCH("PatientID", DATOS3!$1:$1,0))=0,"",INDEX( DATOS3!$1:$19996,A187,MATCH("PatientID", DATOS3!$1:$1,0)))</f>
        <v>#N/A</v>
      </c>
      <c r="F187" t="e">
        <f>IF(INDEX( DATOS3!$1:$19996,A187,MATCH("SeriesDate", DATOS3!$1:$1,0))=0,"",INDEX( DATOS3!$1:$19996,A187,MATCH("SeriesDate", DATOS3!$1:$1,0)))</f>
        <v>#N/A</v>
      </c>
      <c r="G187" t="e">
        <f>IF(INDEX( DATOS3!$1:$19996,A187,MATCH("SeriesTime", DATOS3!$1:$1,0))=0,"",INDEX( DATOS3!$1:$19996,A187,MATCH("SeriesTime", DATOS3!$1:$1,0)))</f>
        <v>#N/A</v>
      </c>
      <c r="H187" t="e">
        <f>IF(INDEX( DATOS3!$1:$19996,A187,MATCH("StudyDescription", DATOS3!$1:$1,0))=0,"",INDEX( DATOS3!$1:$19996,A187,MATCH("StudyDescription", DATOS3!$1:$1,0)))</f>
        <v>#N/A</v>
      </c>
      <c r="I187" t="e">
        <f>IF(INDEX( DATOS3!$1:$19996,A187,MATCH("Dose_Area_Product_Total", DATOS3!$1:$1,0))=0,0,INDEX( DATOS3!$1:$19996,A187,MATCH("Dose_Area_Product", DATOS3!$1:$1,0)))</f>
        <v>#N/A</v>
      </c>
      <c r="J187" t="e">
        <f>IF(INDEX( DATOS3!$1:$19996,A187,MATCH("Dose_RP_Total", DATOS3!$1:$1,0))=0,0,INDEX( DATOS3!$1:$19996,A187,MATCH("Dose_RP", DATOS3!$1:$1,0)))</f>
        <v>#N/A</v>
      </c>
      <c r="K187" t="e">
        <f>IF(INDEX( DATOS3!$1:$19996,A187,MATCH("Total_Fluoro_Time", DATOS3!$1:$1,0))=0,0,INDEX( DATOS3!$1:$19996,A187,MATCH("Total_Fluoro_Time", DATOS3!$1:$1,0)))</f>
        <v>#N/A</v>
      </c>
    </row>
    <row r="188" spans="1:11" hidden="1" x14ac:dyDescent="0.25">
      <c r="A188">
        <v>188</v>
      </c>
      <c r="B188" t="e">
        <f t="shared" si="4"/>
        <v>#N/A</v>
      </c>
      <c r="C188" t="e">
        <f t="shared" si="5"/>
        <v>#N/A</v>
      </c>
      <c r="D188" t="e">
        <f>IF(INDEX( DATOS3!$1:$19996,A188,MATCH("PatientID", DATOS3!$1:$1,0))=0,"",INDEX( DATOS3!$1:$19996,A188,MATCH("PatientID", DATOS3!$1:$1,0)))</f>
        <v>#N/A</v>
      </c>
      <c r="F188" t="e">
        <f>IF(INDEX( DATOS3!$1:$19996,A188,MATCH("SeriesDate", DATOS3!$1:$1,0))=0,"",INDEX( DATOS3!$1:$19996,A188,MATCH("SeriesDate", DATOS3!$1:$1,0)))</f>
        <v>#N/A</v>
      </c>
      <c r="G188" t="e">
        <f>IF(INDEX( DATOS3!$1:$19996,A188,MATCH("SeriesTime", DATOS3!$1:$1,0))=0,"",INDEX( DATOS3!$1:$19996,A188,MATCH("SeriesTime", DATOS3!$1:$1,0)))</f>
        <v>#N/A</v>
      </c>
      <c r="H188" t="e">
        <f>IF(INDEX( DATOS3!$1:$19996,A188,MATCH("StudyDescription", DATOS3!$1:$1,0))=0,"",INDEX( DATOS3!$1:$19996,A188,MATCH("StudyDescription", DATOS3!$1:$1,0)))</f>
        <v>#N/A</v>
      </c>
      <c r="I188" t="e">
        <f>IF(INDEX( DATOS3!$1:$19996,A188,MATCH("Dose_Area_Product_Total", DATOS3!$1:$1,0))=0,0,INDEX( DATOS3!$1:$19996,A188,MATCH("Dose_Area_Product", DATOS3!$1:$1,0)))</f>
        <v>#N/A</v>
      </c>
      <c r="J188" t="e">
        <f>IF(INDEX( DATOS3!$1:$19996,A188,MATCH("Dose_RP_Total", DATOS3!$1:$1,0))=0,0,INDEX( DATOS3!$1:$19996,A188,MATCH("Dose_RP", DATOS3!$1:$1,0)))</f>
        <v>#N/A</v>
      </c>
      <c r="K188" t="e">
        <f>IF(INDEX( DATOS3!$1:$19996,A188,MATCH("Total_Fluoro_Time", DATOS3!$1:$1,0))=0,0,INDEX( DATOS3!$1:$19996,A188,MATCH("Total_Fluoro_Time", DATOS3!$1:$1,0)))</f>
        <v>#N/A</v>
      </c>
    </row>
    <row r="189" spans="1:11" hidden="1" x14ac:dyDescent="0.25">
      <c r="A189">
        <v>189</v>
      </c>
      <c r="B189" t="e">
        <f t="shared" si="4"/>
        <v>#N/A</v>
      </c>
      <c r="C189" t="e">
        <f t="shared" si="5"/>
        <v>#N/A</v>
      </c>
      <c r="D189" t="e">
        <f>IF(INDEX( DATOS3!$1:$19996,A189,MATCH("PatientID", DATOS3!$1:$1,0))=0,"",INDEX( DATOS3!$1:$19996,A189,MATCH("PatientID", DATOS3!$1:$1,0)))</f>
        <v>#N/A</v>
      </c>
      <c r="F189" t="e">
        <f>IF(INDEX( DATOS3!$1:$19996,A189,MATCH("SeriesDate", DATOS3!$1:$1,0))=0,"",INDEX( DATOS3!$1:$19996,A189,MATCH("SeriesDate", DATOS3!$1:$1,0)))</f>
        <v>#N/A</v>
      </c>
      <c r="G189" t="e">
        <f>IF(INDEX( DATOS3!$1:$19996,A189,MATCH("SeriesTime", DATOS3!$1:$1,0))=0,"",INDEX( DATOS3!$1:$19996,A189,MATCH("SeriesTime", DATOS3!$1:$1,0)))</f>
        <v>#N/A</v>
      </c>
      <c r="H189" t="e">
        <f>IF(INDEX( DATOS3!$1:$19996,A189,MATCH("StudyDescription", DATOS3!$1:$1,0))=0,"",INDEX( DATOS3!$1:$19996,A189,MATCH("StudyDescription", DATOS3!$1:$1,0)))</f>
        <v>#N/A</v>
      </c>
      <c r="I189" t="e">
        <f>IF(INDEX( DATOS3!$1:$19996,A189,MATCH("Dose_Area_Product_Total", DATOS3!$1:$1,0))=0,0,INDEX( DATOS3!$1:$19996,A189,MATCH("Dose_Area_Product", DATOS3!$1:$1,0)))</f>
        <v>#N/A</v>
      </c>
      <c r="J189" t="e">
        <f>IF(INDEX( DATOS3!$1:$19996,A189,MATCH("Dose_RP_Total", DATOS3!$1:$1,0))=0,0,INDEX( DATOS3!$1:$19996,A189,MATCH("Dose_RP", DATOS3!$1:$1,0)))</f>
        <v>#N/A</v>
      </c>
      <c r="K189" t="e">
        <f>IF(INDEX( DATOS3!$1:$19996,A189,MATCH("Total_Fluoro_Time", DATOS3!$1:$1,0))=0,0,INDEX( DATOS3!$1:$19996,A189,MATCH("Total_Fluoro_Time", DATOS3!$1:$1,0)))</f>
        <v>#N/A</v>
      </c>
    </row>
    <row r="190" spans="1:11" hidden="1" x14ac:dyDescent="0.25">
      <c r="A190">
        <v>190</v>
      </c>
      <c r="B190" t="e">
        <f t="shared" si="4"/>
        <v>#N/A</v>
      </c>
      <c r="C190" t="e">
        <f t="shared" si="5"/>
        <v>#N/A</v>
      </c>
      <c r="D190" t="e">
        <f>IF(INDEX( DATOS3!$1:$19996,A190,MATCH("PatientID", DATOS3!$1:$1,0))=0,"",INDEX( DATOS3!$1:$19996,A190,MATCH("PatientID", DATOS3!$1:$1,0)))</f>
        <v>#N/A</v>
      </c>
      <c r="F190" t="e">
        <f>IF(INDEX( DATOS3!$1:$19996,A190,MATCH("SeriesDate", DATOS3!$1:$1,0))=0,"",INDEX( DATOS3!$1:$19996,A190,MATCH("SeriesDate", DATOS3!$1:$1,0)))</f>
        <v>#N/A</v>
      </c>
      <c r="G190" t="e">
        <f>IF(INDEX( DATOS3!$1:$19996,A190,MATCH("SeriesTime", DATOS3!$1:$1,0))=0,"",INDEX( DATOS3!$1:$19996,A190,MATCH("SeriesTime", DATOS3!$1:$1,0)))</f>
        <v>#N/A</v>
      </c>
      <c r="H190" t="e">
        <f>IF(INDEX( DATOS3!$1:$19996,A190,MATCH("StudyDescription", DATOS3!$1:$1,0))=0,"",INDEX( DATOS3!$1:$19996,A190,MATCH("StudyDescription", DATOS3!$1:$1,0)))</f>
        <v>#N/A</v>
      </c>
      <c r="I190" t="e">
        <f>IF(INDEX( DATOS3!$1:$19996,A190,MATCH("Dose_Area_Product_Total", DATOS3!$1:$1,0))=0,0,INDEX( DATOS3!$1:$19996,A190,MATCH("Dose_Area_Product", DATOS3!$1:$1,0)))</f>
        <v>#N/A</v>
      </c>
      <c r="J190" t="e">
        <f>IF(INDEX( DATOS3!$1:$19996,A190,MATCH("Dose_RP_Total", DATOS3!$1:$1,0))=0,0,INDEX( DATOS3!$1:$19996,A190,MATCH("Dose_RP", DATOS3!$1:$1,0)))</f>
        <v>#N/A</v>
      </c>
      <c r="K190" t="e">
        <f>IF(INDEX( DATOS3!$1:$19996,A190,MATCH("Total_Fluoro_Time", DATOS3!$1:$1,0))=0,0,INDEX( DATOS3!$1:$19996,A190,MATCH("Total_Fluoro_Time", DATOS3!$1:$1,0)))</f>
        <v>#N/A</v>
      </c>
    </row>
    <row r="191" spans="1:11" hidden="1" x14ac:dyDescent="0.25">
      <c r="A191">
        <v>191</v>
      </c>
      <c r="B191" t="e">
        <f t="shared" si="4"/>
        <v>#N/A</v>
      </c>
      <c r="C191" t="e">
        <f t="shared" si="5"/>
        <v>#N/A</v>
      </c>
      <c r="D191" t="e">
        <f>IF(INDEX( DATOS3!$1:$19996,A191,MATCH("PatientID", DATOS3!$1:$1,0))=0,"",INDEX( DATOS3!$1:$19996,A191,MATCH("PatientID", DATOS3!$1:$1,0)))</f>
        <v>#N/A</v>
      </c>
      <c r="F191" t="e">
        <f>IF(INDEX( DATOS3!$1:$19996,A191,MATCH("SeriesDate", DATOS3!$1:$1,0))=0,"",INDEX( DATOS3!$1:$19996,A191,MATCH("SeriesDate", DATOS3!$1:$1,0)))</f>
        <v>#N/A</v>
      </c>
      <c r="G191" t="e">
        <f>IF(INDEX( DATOS3!$1:$19996,A191,MATCH("SeriesTime", DATOS3!$1:$1,0))=0,"",INDEX( DATOS3!$1:$19996,A191,MATCH("SeriesTime", DATOS3!$1:$1,0)))</f>
        <v>#N/A</v>
      </c>
      <c r="H191" t="e">
        <f>IF(INDEX( DATOS3!$1:$19996,A191,MATCH("StudyDescription", DATOS3!$1:$1,0))=0,"",INDEX( DATOS3!$1:$19996,A191,MATCH("StudyDescription", DATOS3!$1:$1,0)))</f>
        <v>#N/A</v>
      </c>
      <c r="I191" t="e">
        <f>IF(INDEX( DATOS3!$1:$19996,A191,MATCH("Dose_Area_Product_Total", DATOS3!$1:$1,0))=0,0,INDEX( DATOS3!$1:$19996,A191,MATCH("Dose_Area_Product", DATOS3!$1:$1,0)))</f>
        <v>#N/A</v>
      </c>
      <c r="J191" t="e">
        <f>IF(INDEX( DATOS3!$1:$19996,A191,MATCH("Dose_RP_Total", DATOS3!$1:$1,0))=0,0,INDEX( DATOS3!$1:$19996,A191,MATCH("Dose_RP", DATOS3!$1:$1,0)))</f>
        <v>#N/A</v>
      </c>
      <c r="K191" t="e">
        <f>IF(INDEX( DATOS3!$1:$19996,A191,MATCH("Total_Fluoro_Time", DATOS3!$1:$1,0))=0,0,INDEX( DATOS3!$1:$19996,A191,MATCH("Total_Fluoro_Time", DATOS3!$1:$1,0)))</f>
        <v>#N/A</v>
      </c>
    </row>
    <row r="192" spans="1:11" hidden="1" x14ac:dyDescent="0.25">
      <c r="A192">
        <v>192</v>
      </c>
      <c r="B192" t="e">
        <f t="shared" si="4"/>
        <v>#N/A</v>
      </c>
      <c r="C192" t="e">
        <f t="shared" si="5"/>
        <v>#N/A</v>
      </c>
      <c r="D192" t="e">
        <f>IF(INDEX( DATOS3!$1:$19996,A192,MATCH("PatientID", DATOS3!$1:$1,0))=0,"",INDEX( DATOS3!$1:$19996,A192,MATCH("PatientID", DATOS3!$1:$1,0)))</f>
        <v>#N/A</v>
      </c>
      <c r="F192" t="e">
        <f>IF(INDEX( DATOS3!$1:$19996,A192,MATCH("SeriesDate", DATOS3!$1:$1,0))=0,"",INDEX( DATOS3!$1:$19996,A192,MATCH("SeriesDate", DATOS3!$1:$1,0)))</f>
        <v>#N/A</v>
      </c>
      <c r="G192" t="e">
        <f>IF(INDEX( DATOS3!$1:$19996,A192,MATCH("SeriesTime", DATOS3!$1:$1,0))=0,"",INDEX( DATOS3!$1:$19996,A192,MATCH("SeriesTime", DATOS3!$1:$1,0)))</f>
        <v>#N/A</v>
      </c>
      <c r="H192" t="e">
        <f>IF(INDEX( DATOS3!$1:$19996,A192,MATCH("StudyDescription", DATOS3!$1:$1,0))=0,"",INDEX( DATOS3!$1:$19996,A192,MATCH("StudyDescription", DATOS3!$1:$1,0)))</f>
        <v>#N/A</v>
      </c>
      <c r="I192" t="e">
        <f>IF(INDEX( DATOS3!$1:$19996,A192,MATCH("Dose_Area_Product_Total", DATOS3!$1:$1,0))=0,0,INDEX( DATOS3!$1:$19996,A192,MATCH("Dose_Area_Product", DATOS3!$1:$1,0)))</f>
        <v>#N/A</v>
      </c>
      <c r="J192" t="e">
        <f>IF(INDEX( DATOS3!$1:$19996,A192,MATCH("Dose_RP_Total", DATOS3!$1:$1,0))=0,0,INDEX( DATOS3!$1:$19996,A192,MATCH("Dose_RP", DATOS3!$1:$1,0)))</f>
        <v>#N/A</v>
      </c>
      <c r="K192" t="e">
        <f>IF(INDEX( DATOS3!$1:$19996,A192,MATCH("Total_Fluoro_Time", DATOS3!$1:$1,0))=0,0,INDEX( DATOS3!$1:$19996,A192,MATCH("Total_Fluoro_Time", DATOS3!$1:$1,0)))</f>
        <v>#N/A</v>
      </c>
    </row>
    <row r="193" spans="1:11" hidden="1" x14ac:dyDescent="0.25">
      <c r="A193">
        <v>193</v>
      </c>
      <c r="B193" t="e">
        <f t="shared" si="4"/>
        <v>#N/A</v>
      </c>
      <c r="C193" t="e">
        <f t="shared" si="5"/>
        <v>#N/A</v>
      </c>
      <c r="D193" t="e">
        <f>IF(INDEX( DATOS3!$1:$19996,A193,MATCH("PatientID", DATOS3!$1:$1,0))=0,"",INDEX( DATOS3!$1:$19996,A193,MATCH("PatientID", DATOS3!$1:$1,0)))</f>
        <v>#N/A</v>
      </c>
      <c r="F193" t="e">
        <f>IF(INDEX( DATOS3!$1:$19996,A193,MATCH("SeriesDate", DATOS3!$1:$1,0))=0,"",INDEX( DATOS3!$1:$19996,A193,MATCH("SeriesDate", DATOS3!$1:$1,0)))</f>
        <v>#N/A</v>
      </c>
      <c r="G193" t="e">
        <f>IF(INDEX( DATOS3!$1:$19996,A193,MATCH("SeriesTime", DATOS3!$1:$1,0))=0,"",INDEX( DATOS3!$1:$19996,A193,MATCH("SeriesTime", DATOS3!$1:$1,0)))</f>
        <v>#N/A</v>
      </c>
      <c r="H193" t="e">
        <f>IF(INDEX( DATOS3!$1:$19996,A193,MATCH("StudyDescription", DATOS3!$1:$1,0))=0,"",INDEX( DATOS3!$1:$19996,A193,MATCH("StudyDescription", DATOS3!$1:$1,0)))</f>
        <v>#N/A</v>
      </c>
      <c r="I193" t="e">
        <f>IF(INDEX( DATOS3!$1:$19996,A193,MATCH("Dose_Area_Product_Total", DATOS3!$1:$1,0))=0,0,INDEX( DATOS3!$1:$19996,A193,MATCH("Dose_Area_Product", DATOS3!$1:$1,0)))</f>
        <v>#N/A</v>
      </c>
      <c r="J193" t="e">
        <f>IF(INDEX( DATOS3!$1:$19996,A193,MATCH("Dose_RP_Total", DATOS3!$1:$1,0))=0,0,INDEX( DATOS3!$1:$19996,A193,MATCH("Dose_RP", DATOS3!$1:$1,0)))</f>
        <v>#N/A</v>
      </c>
      <c r="K193" t="e">
        <f>IF(INDEX( DATOS3!$1:$19996,A193,MATCH("Total_Fluoro_Time", DATOS3!$1:$1,0))=0,0,INDEX( DATOS3!$1:$19996,A193,MATCH("Total_Fluoro_Time", DATOS3!$1:$1,0)))</f>
        <v>#N/A</v>
      </c>
    </row>
    <row r="194" spans="1:11" hidden="1" x14ac:dyDescent="0.25">
      <c r="A194">
        <v>194</v>
      </c>
      <c r="B194" t="e">
        <f t="shared" si="4"/>
        <v>#N/A</v>
      </c>
      <c r="C194" t="e">
        <f t="shared" si="5"/>
        <v>#N/A</v>
      </c>
      <c r="D194" t="e">
        <f>IF(INDEX( DATOS3!$1:$19996,A194,MATCH("PatientID", DATOS3!$1:$1,0))=0,"",INDEX( DATOS3!$1:$19996,A194,MATCH("PatientID", DATOS3!$1:$1,0)))</f>
        <v>#N/A</v>
      </c>
      <c r="F194" t="e">
        <f>IF(INDEX( DATOS3!$1:$19996,A194,MATCH("SeriesDate", DATOS3!$1:$1,0))=0,"",INDEX( DATOS3!$1:$19996,A194,MATCH("SeriesDate", DATOS3!$1:$1,0)))</f>
        <v>#N/A</v>
      </c>
      <c r="G194" t="e">
        <f>IF(INDEX( DATOS3!$1:$19996,A194,MATCH("SeriesTime", DATOS3!$1:$1,0))=0,"",INDEX( DATOS3!$1:$19996,A194,MATCH("SeriesTime", DATOS3!$1:$1,0)))</f>
        <v>#N/A</v>
      </c>
      <c r="H194" t="e">
        <f>IF(INDEX( DATOS3!$1:$19996,A194,MATCH("StudyDescription", DATOS3!$1:$1,0))=0,"",INDEX( DATOS3!$1:$19996,A194,MATCH("StudyDescription", DATOS3!$1:$1,0)))</f>
        <v>#N/A</v>
      </c>
      <c r="I194" t="e">
        <f>IF(INDEX( DATOS3!$1:$19996,A194,MATCH("Dose_Area_Product_Total", DATOS3!$1:$1,0))=0,0,INDEX( DATOS3!$1:$19996,A194,MATCH("Dose_Area_Product", DATOS3!$1:$1,0)))</f>
        <v>#N/A</v>
      </c>
      <c r="J194" t="e">
        <f>IF(INDEX( DATOS3!$1:$19996,A194,MATCH("Dose_RP_Total", DATOS3!$1:$1,0))=0,0,INDEX( DATOS3!$1:$19996,A194,MATCH("Dose_RP", DATOS3!$1:$1,0)))</f>
        <v>#N/A</v>
      </c>
      <c r="K194" t="e">
        <f>IF(INDEX( DATOS3!$1:$19996,A194,MATCH("Total_Fluoro_Time", DATOS3!$1:$1,0))=0,0,INDEX( DATOS3!$1:$19996,A194,MATCH("Total_Fluoro_Time", DATOS3!$1:$1,0)))</f>
        <v>#N/A</v>
      </c>
    </row>
    <row r="195" spans="1:11" hidden="1" x14ac:dyDescent="0.25">
      <c r="A195">
        <v>195</v>
      </c>
      <c r="B195" t="e">
        <f t="shared" ref="B195:B258" si="6">IF(D195="","","ARTISZEE")</f>
        <v>#N/A</v>
      </c>
      <c r="C195" t="e">
        <f t="shared" ref="C195:C258" si="7">IF(B195="ARTISZEE","Cardiología","")</f>
        <v>#N/A</v>
      </c>
      <c r="D195" t="e">
        <f>IF(INDEX( DATOS3!$1:$19996,A195,MATCH("PatientID", DATOS3!$1:$1,0))=0,"",INDEX( DATOS3!$1:$19996,A195,MATCH("PatientID", DATOS3!$1:$1,0)))</f>
        <v>#N/A</v>
      </c>
      <c r="F195" t="e">
        <f>IF(INDEX( DATOS3!$1:$19996,A195,MATCH("SeriesDate", DATOS3!$1:$1,0))=0,"",INDEX( DATOS3!$1:$19996,A195,MATCH("SeriesDate", DATOS3!$1:$1,0)))</f>
        <v>#N/A</v>
      </c>
      <c r="G195" t="e">
        <f>IF(INDEX( DATOS3!$1:$19996,A195,MATCH("SeriesTime", DATOS3!$1:$1,0))=0,"",INDEX( DATOS3!$1:$19996,A195,MATCH("SeriesTime", DATOS3!$1:$1,0)))</f>
        <v>#N/A</v>
      </c>
      <c r="H195" t="e">
        <f>IF(INDEX( DATOS3!$1:$19996,A195,MATCH("StudyDescription", DATOS3!$1:$1,0))=0,"",INDEX( DATOS3!$1:$19996,A195,MATCH("StudyDescription", DATOS3!$1:$1,0)))</f>
        <v>#N/A</v>
      </c>
      <c r="I195" t="e">
        <f>IF(INDEX( DATOS3!$1:$19996,A195,MATCH("Dose_Area_Product_Total", DATOS3!$1:$1,0))=0,0,INDEX( DATOS3!$1:$19996,A195,MATCH("Dose_Area_Product", DATOS3!$1:$1,0)))</f>
        <v>#N/A</v>
      </c>
      <c r="J195" t="e">
        <f>IF(INDEX( DATOS3!$1:$19996,A195,MATCH("Dose_RP_Total", DATOS3!$1:$1,0))=0,0,INDEX( DATOS3!$1:$19996,A195,MATCH("Dose_RP", DATOS3!$1:$1,0)))</f>
        <v>#N/A</v>
      </c>
      <c r="K195" t="e">
        <f>IF(INDEX( DATOS3!$1:$19996,A195,MATCH("Total_Fluoro_Time", DATOS3!$1:$1,0))=0,0,INDEX( DATOS3!$1:$19996,A195,MATCH("Total_Fluoro_Time", DATOS3!$1:$1,0)))</f>
        <v>#N/A</v>
      </c>
    </row>
    <row r="196" spans="1:11" hidden="1" x14ac:dyDescent="0.25">
      <c r="A196">
        <v>196</v>
      </c>
      <c r="B196" t="e">
        <f t="shared" si="6"/>
        <v>#N/A</v>
      </c>
      <c r="C196" t="e">
        <f t="shared" si="7"/>
        <v>#N/A</v>
      </c>
      <c r="D196" t="e">
        <f>IF(INDEX( DATOS3!$1:$19996,A196,MATCH("PatientID", DATOS3!$1:$1,0))=0,"",INDEX( DATOS3!$1:$19996,A196,MATCH("PatientID", DATOS3!$1:$1,0)))</f>
        <v>#N/A</v>
      </c>
      <c r="F196" t="e">
        <f>IF(INDEX( DATOS3!$1:$19996,A196,MATCH("SeriesDate", DATOS3!$1:$1,0))=0,"",INDEX( DATOS3!$1:$19996,A196,MATCH("SeriesDate", DATOS3!$1:$1,0)))</f>
        <v>#N/A</v>
      </c>
      <c r="G196" t="e">
        <f>IF(INDEX( DATOS3!$1:$19996,A196,MATCH("SeriesTime", DATOS3!$1:$1,0))=0,"",INDEX( DATOS3!$1:$19996,A196,MATCH("SeriesTime", DATOS3!$1:$1,0)))</f>
        <v>#N/A</v>
      </c>
      <c r="H196" t="e">
        <f>IF(INDEX( DATOS3!$1:$19996,A196,MATCH("StudyDescription", DATOS3!$1:$1,0))=0,"",INDEX( DATOS3!$1:$19996,A196,MATCH("StudyDescription", DATOS3!$1:$1,0)))</f>
        <v>#N/A</v>
      </c>
      <c r="I196" t="e">
        <f>IF(INDEX( DATOS3!$1:$19996,A196,MATCH("Dose_Area_Product_Total", DATOS3!$1:$1,0))=0,0,INDEX( DATOS3!$1:$19996,A196,MATCH("Dose_Area_Product", DATOS3!$1:$1,0)))</f>
        <v>#N/A</v>
      </c>
      <c r="J196" t="e">
        <f>IF(INDEX( DATOS3!$1:$19996,A196,MATCH("Dose_RP_Total", DATOS3!$1:$1,0))=0,0,INDEX( DATOS3!$1:$19996,A196,MATCH("Dose_RP", DATOS3!$1:$1,0)))</f>
        <v>#N/A</v>
      </c>
      <c r="K196" t="e">
        <f>IF(INDEX( DATOS3!$1:$19996,A196,MATCH("Total_Fluoro_Time", DATOS3!$1:$1,0))=0,0,INDEX( DATOS3!$1:$19996,A196,MATCH("Total_Fluoro_Time", DATOS3!$1:$1,0)))</f>
        <v>#N/A</v>
      </c>
    </row>
    <row r="197" spans="1:11" hidden="1" x14ac:dyDescent="0.25">
      <c r="A197">
        <v>197</v>
      </c>
      <c r="B197" t="e">
        <f t="shared" si="6"/>
        <v>#N/A</v>
      </c>
      <c r="C197" t="e">
        <f t="shared" si="7"/>
        <v>#N/A</v>
      </c>
      <c r="D197" t="e">
        <f>IF(INDEX( DATOS3!$1:$19996,A197,MATCH("PatientID", DATOS3!$1:$1,0))=0,"",INDEX( DATOS3!$1:$19996,A197,MATCH("PatientID", DATOS3!$1:$1,0)))</f>
        <v>#N/A</v>
      </c>
      <c r="F197" t="e">
        <f>IF(INDEX( DATOS3!$1:$19996,A197,MATCH("SeriesDate", DATOS3!$1:$1,0))=0,"",INDEX( DATOS3!$1:$19996,A197,MATCH("SeriesDate", DATOS3!$1:$1,0)))</f>
        <v>#N/A</v>
      </c>
      <c r="G197" t="e">
        <f>IF(INDEX( DATOS3!$1:$19996,A197,MATCH("SeriesTime", DATOS3!$1:$1,0))=0,"",INDEX( DATOS3!$1:$19996,A197,MATCH("SeriesTime", DATOS3!$1:$1,0)))</f>
        <v>#N/A</v>
      </c>
      <c r="H197" t="e">
        <f>IF(INDEX( DATOS3!$1:$19996,A197,MATCH("StudyDescription", DATOS3!$1:$1,0))=0,"",INDEX( DATOS3!$1:$19996,A197,MATCH("StudyDescription", DATOS3!$1:$1,0)))</f>
        <v>#N/A</v>
      </c>
      <c r="I197" t="e">
        <f>IF(INDEX( DATOS3!$1:$19996,A197,MATCH("Dose_Area_Product_Total", DATOS3!$1:$1,0))=0,0,INDEX( DATOS3!$1:$19996,A197,MATCH("Dose_Area_Product", DATOS3!$1:$1,0)))</f>
        <v>#N/A</v>
      </c>
      <c r="J197" t="e">
        <f>IF(INDEX( DATOS3!$1:$19996,A197,MATCH("Dose_RP_Total", DATOS3!$1:$1,0))=0,0,INDEX( DATOS3!$1:$19996,A197,MATCH("Dose_RP", DATOS3!$1:$1,0)))</f>
        <v>#N/A</v>
      </c>
      <c r="K197" t="e">
        <f>IF(INDEX( DATOS3!$1:$19996,A197,MATCH("Total_Fluoro_Time", DATOS3!$1:$1,0))=0,0,INDEX( DATOS3!$1:$19996,A197,MATCH("Total_Fluoro_Time", DATOS3!$1:$1,0)))</f>
        <v>#N/A</v>
      </c>
    </row>
    <row r="198" spans="1:11" hidden="1" x14ac:dyDescent="0.25">
      <c r="A198">
        <v>198</v>
      </c>
      <c r="B198" t="e">
        <f t="shared" si="6"/>
        <v>#N/A</v>
      </c>
      <c r="C198" t="e">
        <f t="shared" si="7"/>
        <v>#N/A</v>
      </c>
      <c r="D198" t="e">
        <f>IF(INDEX( DATOS3!$1:$19996,A198,MATCH("PatientID", DATOS3!$1:$1,0))=0,"",INDEX( DATOS3!$1:$19996,A198,MATCH("PatientID", DATOS3!$1:$1,0)))</f>
        <v>#N/A</v>
      </c>
      <c r="F198" t="e">
        <f>IF(INDEX( DATOS3!$1:$19996,A198,MATCH("SeriesDate", DATOS3!$1:$1,0))=0,"",INDEX( DATOS3!$1:$19996,A198,MATCH("SeriesDate", DATOS3!$1:$1,0)))</f>
        <v>#N/A</v>
      </c>
      <c r="G198" t="e">
        <f>IF(INDEX( DATOS3!$1:$19996,A198,MATCH("SeriesTime", DATOS3!$1:$1,0))=0,"",INDEX( DATOS3!$1:$19996,A198,MATCH("SeriesTime", DATOS3!$1:$1,0)))</f>
        <v>#N/A</v>
      </c>
      <c r="H198" t="e">
        <f>IF(INDEX( DATOS3!$1:$19996,A198,MATCH("StudyDescription", DATOS3!$1:$1,0))=0,"",INDEX( DATOS3!$1:$19996,A198,MATCH("StudyDescription", DATOS3!$1:$1,0)))</f>
        <v>#N/A</v>
      </c>
      <c r="I198" t="e">
        <f>IF(INDEX( DATOS3!$1:$19996,A198,MATCH("Dose_Area_Product_Total", DATOS3!$1:$1,0))=0,0,INDEX( DATOS3!$1:$19996,A198,MATCH("Dose_Area_Product", DATOS3!$1:$1,0)))</f>
        <v>#N/A</v>
      </c>
      <c r="J198" t="e">
        <f>IF(INDEX( DATOS3!$1:$19996,A198,MATCH("Dose_RP_Total", DATOS3!$1:$1,0))=0,0,INDEX( DATOS3!$1:$19996,A198,MATCH("Dose_RP", DATOS3!$1:$1,0)))</f>
        <v>#N/A</v>
      </c>
      <c r="K198" t="e">
        <f>IF(INDEX( DATOS3!$1:$19996,A198,MATCH("Total_Fluoro_Time", DATOS3!$1:$1,0))=0,0,INDEX( DATOS3!$1:$19996,A198,MATCH("Total_Fluoro_Time", DATOS3!$1:$1,0)))</f>
        <v>#N/A</v>
      </c>
    </row>
    <row r="199" spans="1:11" hidden="1" x14ac:dyDescent="0.25">
      <c r="A199">
        <v>199</v>
      </c>
      <c r="B199" t="e">
        <f t="shared" si="6"/>
        <v>#N/A</v>
      </c>
      <c r="C199" t="e">
        <f t="shared" si="7"/>
        <v>#N/A</v>
      </c>
      <c r="D199" t="e">
        <f>IF(INDEX( DATOS3!$1:$19996,A199,MATCH("PatientID", DATOS3!$1:$1,0))=0,"",INDEX( DATOS3!$1:$19996,A199,MATCH("PatientID", DATOS3!$1:$1,0)))</f>
        <v>#N/A</v>
      </c>
      <c r="F199" t="e">
        <f>IF(INDEX( DATOS3!$1:$19996,A199,MATCH("SeriesDate", DATOS3!$1:$1,0))=0,"",INDEX( DATOS3!$1:$19996,A199,MATCH("SeriesDate", DATOS3!$1:$1,0)))</f>
        <v>#N/A</v>
      </c>
      <c r="G199" t="e">
        <f>IF(INDEX( DATOS3!$1:$19996,A199,MATCH("SeriesTime", DATOS3!$1:$1,0))=0,"",INDEX( DATOS3!$1:$19996,A199,MATCH("SeriesTime", DATOS3!$1:$1,0)))</f>
        <v>#N/A</v>
      </c>
      <c r="H199" t="e">
        <f>IF(INDEX( DATOS3!$1:$19996,A199,MATCH("StudyDescription", DATOS3!$1:$1,0))=0,"",INDEX( DATOS3!$1:$19996,A199,MATCH("StudyDescription", DATOS3!$1:$1,0)))</f>
        <v>#N/A</v>
      </c>
      <c r="I199" t="e">
        <f>IF(INDEX( DATOS3!$1:$19996,A199,MATCH("Dose_Area_Product_Total", DATOS3!$1:$1,0))=0,0,INDEX( DATOS3!$1:$19996,A199,MATCH("Dose_Area_Product", DATOS3!$1:$1,0)))</f>
        <v>#N/A</v>
      </c>
      <c r="J199" t="e">
        <f>IF(INDEX( DATOS3!$1:$19996,A199,MATCH("Dose_RP_Total", DATOS3!$1:$1,0))=0,0,INDEX( DATOS3!$1:$19996,A199,MATCH("Dose_RP", DATOS3!$1:$1,0)))</f>
        <v>#N/A</v>
      </c>
      <c r="K199" t="e">
        <f>IF(INDEX( DATOS3!$1:$19996,A199,MATCH("Total_Fluoro_Time", DATOS3!$1:$1,0))=0,0,INDEX( DATOS3!$1:$19996,A199,MATCH("Total_Fluoro_Time", DATOS3!$1:$1,0)))</f>
        <v>#N/A</v>
      </c>
    </row>
    <row r="200" spans="1:11" hidden="1" x14ac:dyDescent="0.25">
      <c r="A200">
        <v>200</v>
      </c>
      <c r="B200" t="e">
        <f t="shared" si="6"/>
        <v>#N/A</v>
      </c>
      <c r="C200" t="e">
        <f t="shared" si="7"/>
        <v>#N/A</v>
      </c>
      <c r="D200" t="e">
        <f>IF(INDEX( DATOS3!$1:$19996,A200,MATCH("PatientID", DATOS3!$1:$1,0))=0,"",INDEX( DATOS3!$1:$19996,A200,MATCH("PatientID", DATOS3!$1:$1,0)))</f>
        <v>#N/A</v>
      </c>
      <c r="F200" t="e">
        <f>IF(INDEX( DATOS3!$1:$19996,A200,MATCH("SeriesDate", DATOS3!$1:$1,0))=0,"",INDEX( DATOS3!$1:$19996,A200,MATCH("SeriesDate", DATOS3!$1:$1,0)))</f>
        <v>#N/A</v>
      </c>
      <c r="G200" t="e">
        <f>IF(INDEX( DATOS3!$1:$19996,A200,MATCH("SeriesTime", DATOS3!$1:$1,0))=0,"",INDEX( DATOS3!$1:$19996,A200,MATCH("SeriesTime", DATOS3!$1:$1,0)))</f>
        <v>#N/A</v>
      </c>
      <c r="H200" t="e">
        <f>IF(INDEX( DATOS3!$1:$19996,A200,MATCH("StudyDescription", DATOS3!$1:$1,0))=0,"",INDEX( DATOS3!$1:$19996,A200,MATCH("StudyDescription", DATOS3!$1:$1,0)))</f>
        <v>#N/A</v>
      </c>
      <c r="I200" t="e">
        <f>IF(INDEX( DATOS3!$1:$19996,A200,MATCH("Dose_Area_Product_Total", DATOS3!$1:$1,0))=0,0,INDEX( DATOS3!$1:$19996,A200,MATCH("Dose_Area_Product", DATOS3!$1:$1,0)))</f>
        <v>#N/A</v>
      </c>
      <c r="J200" t="e">
        <f>IF(INDEX( DATOS3!$1:$19996,A200,MATCH("Dose_RP_Total", DATOS3!$1:$1,0))=0,0,INDEX( DATOS3!$1:$19996,A200,MATCH("Dose_RP", DATOS3!$1:$1,0)))</f>
        <v>#N/A</v>
      </c>
      <c r="K200" t="e">
        <f>IF(INDEX( DATOS3!$1:$19996,A200,MATCH("Total_Fluoro_Time", DATOS3!$1:$1,0))=0,0,INDEX( DATOS3!$1:$19996,A200,MATCH("Total_Fluoro_Time", DATOS3!$1:$1,0)))</f>
        <v>#N/A</v>
      </c>
    </row>
    <row r="201" spans="1:11" hidden="1" x14ac:dyDescent="0.25">
      <c r="A201">
        <v>201</v>
      </c>
      <c r="B201" t="e">
        <f t="shared" si="6"/>
        <v>#N/A</v>
      </c>
      <c r="C201" t="e">
        <f t="shared" si="7"/>
        <v>#N/A</v>
      </c>
      <c r="D201" t="e">
        <f>IF(INDEX( DATOS3!$1:$19996,A201,MATCH("PatientID", DATOS3!$1:$1,0))=0,"",INDEX( DATOS3!$1:$19996,A201,MATCH("PatientID", DATOS3!$1:$1,0)))</f>
        <v>#N/A</v>
      </c>
      <c r="F201" t="e">
        <f>IF(INDEX( DATOS3!$1:$19996,A201,MATCH("SeriesDate", DATOS3!$1:$1,0))=0,"",INDEX( DATOS3!$1:$19996,A201,MATCH("SeriesDate", DATOS3!$1:$1,0)))</f>
        <v>#N/A</v>
      </c>
      <c r="G201" t="e">
        <f>IF(INDEX( DATOS3!$1:$19996,A201,MATCH("SeriesTime", DATOS3!$1:$1,0))=0,"",INDEX( DATOS3!$1:$19996,A201,MATCH("SeriesTime", DATOS3!$1:$1,0)))</f>
        <v>#N/A</v>
      </c>
      <c r="H201" t="e">
        <f>IF(INDEX( DATOS3!$1:$19996,A201,MATCH("StudyDescription", DATOS3!$1:$1,0))=0,"",INDEX( DATOS3!$1:$19996,A201,MATCH("StudyDescription", DATOS3!$1:$1,0)))</f>
        <v>#N/A</v>
      </c>
      <c r="I201" t="e">
        <f>IF(INDEX( DATOS3!$1:$19996,A201,MATCH("Dose_Area_Product_Total", DATOS3!$1:$1,0))=0,0,INDEX( DATOS3!$1:$19996,A201,MATCH("Dose_Area_Product", DATOS3!$1:$1,0)))</f>
        <v>#N/A</v>
      </c>
      <c r="J201" t="e">
        <f>IF(INDEX( DATOS3!$1:$19996,A201,MATCH("Dose_RP_Total", DATOS3!$1:$1,0))=0,0,INDEX( DATOS3!$1:$19996,A201,MATCH("Dose_RP", DATOS3!$1:$1,0)))</f>
        <v>#N/A</v>
      </c>
      <c r="K201" t="e">
        <f>IF(INDEX( DATOS3!$1:$19996,A201,MATCH("Total_Fluoro_Time", DATOS3!$1:$1,0))=0,0,INDEX( DATOS3!$1:$19996,A201,MATCH("Total_Fluoro_Time", DATOS3!$1:$1,0)))</f>
        <v>#N/A</v>
      </c>
    </row>
    <row r="202" spans="1:11" hidden="1" x14ac:dyDescent="0.25">
      <c r="A202">
        <v>202</v>
      </c>
      <c r="B202" t="e">
        <f t="shared" si="6"/>
        <v>#N/A</v>
      </c>
      <c r="C202" t="e">
        <f t="shared" si="7"/>
        <v>#N/A</v>
      </c>
      <c r="D202" t="e">
        <f>IF(INDEX( DATOS3!$1:$19996,A202,MATCH("PatientID", DATOS3!$1:$1,0))=0,"",INDEX( DATOS3!$1:$19996,A202,MATCH("PatientID", DATOS3!$1:$1,0)))</f>
        <v>#N/A</v>
      </c>
      <c r="F202" t="e">
        <f>IF(INDEX( DATOS3!$1:$19996,A202,MATCH("SeriesDate", DATOS3!$1:$1,0))=0,"",INDEX( DATOS3!$1:$19996,A202,MATCH("SeriesDate", DATOS3!$1:$1,0)))</f>
        <v>#N/A</v>
      </c>
      <c r="G202" t="e">
        <f>IF(INDEX( DATOS3!$1:$19996,A202,MATCH("SeriesTime", DATOS3!$1:$1,0))=0,"",INDEX( DATOS3!$1:$19996,A202,MATCH("SeriesTime", DATOS3!$1:$1,0)))</f>
        <v>#N/A</v>
      </c>
      <c r="H202" t="e">
        <f>IF(INDEX( DATOS3!$1:$19996,A202,MATCH("StudyDescription", DATOS3!$1:$1,0))=0,"",INDEX( DATOS3!$1:$19996,A202,MATCH("StudyDescription", DATOS3!$1:$1,0)))</f>
        <v>#N/A</v>
      </c>
      <c r="I202" t="e">
        <f>IF(INDEX( DATOS3!$1:$19996,A202,MATCH("Dose_Area_Product_Total", DATOS3!$1:$1,0))=0,0,INDEX( DATOS3!$1:$19996,A202,MATCH("Dose_Area_Product", DATOS3!$1:$1,0)))</f>
        <v>#N/A</v>
      </c>
      <c r="J202" t="e">
        <f>IF(INDEX( DATOS3!$1:$19996,A202,MATCH("Dose_RP_Total", DATOS3!$1:$1,0))=0,0,INDEX( DATOS3!$1:$19996,A202,MATCH("Dose_RP", DATOS3!$1:$1,0)))</f>
        <v>#N/A</v>
      </c>
      <c r="K202" t="e">
        <f>IF(INDEX( DATOS3!$1:$19996,A202,MATCH("Total_Fluoro_Time", DATOS3!$1:$1,0))=0,0,INDEX( DATOS3!$1:$19996,A202,MATCH("Total_Fluoro_Time", DATOS3!$1:$1,0)))</f>
        <v>#N/A</v>
      </c>
    </row>
    <row r="203" spans="1:11" hidden="1" x14ac:dyDescent="0.25">
      <c r="A203">
        <v>203</v>
      </c>
      <c r="B203" t="e">
        <f t="shared" si="6"/>
        <v>#N/A</v>
      </c>
      <c r="C203" t="e">
        <f t="shared" si="7"/>
        <v>#N/A</v>
      </c>
      <c r="D203" t="e">
        <f>IF(INDEX( DATOS3!$1:$19996,A203,MATCH("PatientID", DATOS3!$1:$1,0))=0,"",INDEX( DATOS3!$1:$19996,A203,MATCH("PatientID", DATOS3!$1:$1,0)))</f>
        <v>#N/A</v>
      </c>
      <c r="F203" t="e">
        <f>IF(INDEX( DATOS3!$1:$19996,A203,MATCH("SeriesDate", DATOS3!$1:$1,0))=0,"",INDEX( DATOS3!$1:$19996,A203,MATCH("SeriesDate", DATOS3!$1:$1,0)))</f>
        <v>#N/A</v>
      </c>
      <c r="G203" t="e">
        <f>IF(INDEX( DATOS3!$1:$19996,A203,MATCH("SeriesTime", DATOS3!$1:$1,0))=0,"",INDEX( DATOS3!$1:$19996,A203,MATCH("SeriesTime", DATOS3!$1:$1,0)))</f>
        <v>#N/A</v>
      </c>
      <c r="H203" t="e">
        <f>IF(INDEX( DATOS3!$1:$19996,A203,MATCH("StudyDescription", DATOS3!$1:$1,0))=0,"",INDEX( DATOS3!$1:$19996,A203,MATCH("StudyDescription", DATOS3!$1:$1,0)))</f>
        <v>#N/A</v>
      </c>
      <c r="I203" t="e">
        <f>IF(INDEX( DATOS3!$1:$19996,A203,MATCH("Dose_Area_Product_Total", DATOS3!$1:$1,0))=0,0,INDEX( DATOS3!$1:$19996,A203,MATCH("Dose_Area_Product", DATOS3!$1:$1,0)))</f>
        <v>#N/A</v>
      </c>
      <c r="J203" t="e">
        <f>IF(INDEX( DATOS3!$1:$19996,A203,MATCH("Dose_RP_Total", DATOS3!$1:$1,0))=0,0,INDEX( DATOS3!$1:$19996,A203,MATCH("Dose_RP", DATOS3!$1:$1,0)))</f>
        <v>#N/A</v>
      </c>
      <c r="K203" t="e">
        <f>IF(INDEX( DATOS3!$1:$19996,A203,MATCH("Total_Fluoro_Time", DATOS3!$1:$1,0))=0,0,INDEX( DATOS3!$1:$19996,A203,MATCH("Total_Fluoro_Time", DATOS3!$1:$1,0)))</f>
        <v>#N/A</v>
      </c>
    </row>
    <row r="204" spans="1:11" hidden="1" x14ac:dyDescent="0.25">
      <c r="A204">
        <v>204</v>
      </c>
      <c r="B204" t="e">
        <f t="shared" si="6"/>
        <v>#N/A</v>
      </c>
      <c r="C204" t="e">
        <f t="shared" si="7"/>
        <v>#N/A</v>
      </c>
      <c r="D204" t="e">
        <f>IF(INDEX( DATOS3!$1:$19996,A204,MATCH("PatientID", DATOS3!$1:$1,0))=0,"",INDEX( DATOS3!$1:$19996,A204,MATCH("PatientID", DATOS3!$1:$1,0)))</f>
        <v>#N/A</v>
      </c>
      <c r="F204" t="e">
        <f>IF(INDEX( DATOS3!$1:$19996,A204,MATCH("SeriesDate", DATOS3!$1:$1,0))=0,"",INDEX( DATOS3!$1:$19996,A204,MATCH("SeriesDate", DATOS3!$1:$1,0)))</f>
        <v>#N/A</v>
      </c>
      <c r="G204" t="e">
        <f>IF(INDEX( DATOS3!$1:$19996,A204,MATCH("SeriesTime", DATOS3!$1:$1,0))=0,"",INDEX( DATOS3!$1:$19996,A204,MATCH("SeriesTime", DATOS3!$1:$1,0)))</f>
        <v>#N/A</v>
      </c>
      <c r="H204" t="e">
        <f>IF(INDEX( DATOS3!$1:$19996,A204,MATCH("StudyDescription", DATOS3!$1:$1,0))=0,"",INDEX( DATOS3!$1:$19996,A204,MATCH("StudyDescription", DATOS3!$1:$1,0)))</f>
        <v>#N/A</v>
      </c>
      <c r="I204" t="e">
        <f>IF(INDEX( DATOS3!$1:$19996,A204,MATCH("Dose_Area_Product_Total", DATOS3!$1:$1,0))=0,0,INDEX( DATOS3!$1:$19996,A204,MATCH("Dose_Area_Product", DATOS3!$1:$1,0)))</f>
        <v>#N/A</v>
      </c>
      <c r="J204" t="e">
        <f>IF(INDEX( DATOS3!$1:$19996,A204,MATCH("Dose_RP_Total", DATOS3!$1:$1,0))=0,0,INDEX( DATOS3!$1:$19996,A204,MATCH("Dose_RP", DATOS3!$1:$1,0)))</f>
        <v>#N/A</v>
      </c>
      <c r="K204" t="e">
        <f>IF(INDEX( DATOS3!$1:$19996,A204,MATCH("Total_Fluoro_Time", DATOS3!$1:$1,0))=0,0,INDEX( DATOS3!$1:$19996,A204,MATCH("Total_Fluoro_Time", DATOS3!$1:$1,0)))</f>
        <v>#N/A</v>
      </c>
    </row>
    <row r="205" spans="1:11" hidden="1" x14ac:dyDescent="0.25">
      <c r="A205">
        <v>205</v>
      </c>
      <c r="B205" t="e">
        <f t="shared" si="6"/>
        <v>#N/A</v>
      </c>
      <c r="C205" t="e">
        <f t="shared" si="7"/>
        <v>#N/A</v>
      </c>
      <c r="D205" t="e">
        <f>IF(INDEX( DATOS3!$1:$19996,A205,MATCH("PatientID", DATOS3!$1:$1,0))=0,"",INDEX( DATOS3!$1:$19996,A205,MATCH("PatientID", DATOS3!$1:$1,0)))</f>
        <v>#N/A</v>
      </c>
      <c r="F205" t="e">
        <f>IF(INDEX( DATOS3!$1:$19996,A205,MATCH("SeriesDate", DATOS3!$1:$1,0))=0,"",INDEX( DATOS3!$1:$19996,A205,MATCH("SeriesDate", DATOS3!$1:$1,0)))</f>
        <v>#N/A</v>
      </c>
      <c r="G205" t="e">
        <f>IF(INDEX( DATOS3!$1:$19996,A205,MATCH("SeriesTime", DATOS3!$1:$1,0))=0,"",INDEX( DATOS3!$1:$19996,A205,MATCH("SeriesTime", DATOS3!$1:$1,0)))</f>
        <v>#N/A</v>
      </c>
      <c r="H205" t="e">
        <f>IF(INDEX( DATOS3!$1:$19996,A205,MATCH("StudyDescription", DATOS3!$1:$1,0))=0,"",INDEX( DATOS3!$1:$19996,A205,MATCH("StudyDescription", DATOS3!$1:$1,0)))</f>
        <v>#N/A</v>
      </c>
      <c r="I205" t="e">
        <f>IF(INDEX( DATOS3!$1:$19996,A205,MATCH("Dose_Area_Product_Total", DATOS3!$1:$1,0))=0,0,INDEX( DATOS3!$1:$19996,A205,MATCH("Dose_Area_Product", DATOS3!$1:$1,0)))</f>
        <v>#N/A</v>
      </c>
      <c r="J205" t="e">
        <f>IF(INDEX( DATOS3!$1:$19996,A205,MATCH("Dose_RP_Total", DATOS3!$1:$1,0))=0,0,INDEX( DATOS3!$1:$19996,A205,MATCH("Dose_RP", DATOS3!$1:$1,0)))</f>
        <v>#N/A</v>
      </c>
      <c r="K205" t="e">
        <f>IF(INDEX( DATOS3!$1:$19996,A205,MATCH("Total_Fluoro_Time", DATOS3!$1:$1,0))=0,0,INDEX( DATOS3!$1:$19996,A205,MATCH("Total_Fluoro_Time", DATOS3!$1:$1,0)))</f>
        <v>#N/A</v>
      </c>
    </row>
    <row r="206" spans="1:11" hidden="1" x14ac:dyDescent="0.25">
      <c r="A206">
        <v>206</v>
      </c>
      <c r="B206" t="e">
        <f t="shared" si="6"/>
        <v>#N/A</v>
      </c>
      <c r="C206" t="e">
        <f t="shared" si="7"/>
        <v>#N/A</v>
      </c>
      <c r="D206" t="e">
        <f>IF(INDEX( DATOS3!$1:$19996,A206,MATCH("PatientID", DATOS3!$1:$1,0))=0,"",INDEX( DATOS3!$1:$19996,A206,MATCH("PatientID", DATOS3!$1:$1,0)))</f>
        <v>#N/A</v>
      </c>
      <c r="F206" t="e">
        <f>IF(INDEX( DATOS3!$1:$19996,A206,MATCH("SeriesDate", DATOS3!$1:$1,0))=0,"",INDEX( DATOS3!$1:$19996,A206,MATCH("SeriesDate", DATOS3!$1:$1,0)))</f>
        <v>#N/A</v>
      </c>
      <c r="G206" t="e">
        <f>IF(INDEX( DATOS3!$1:$19996,A206,MATCH("SeriesTime", DATOS3!$1:$1,0))=0,"",INDEX( DATOS3!$1:$19996,A206,MATCH("SeriesTime", DATOS3!$1:$1,0)))</f>
        <v>#N/A</v>
      </c>
      <c r="H206" t="e">
        <f>IF(INDEX( DATOS3!$1:$19996,A206,MATCH("StudyDescription", DATOS3!$1:$1,0))=0,"",INDEX( DATOS3!$1:$19996,A206,MATCH("StudyDescription", DATOS3!$1:$1,0)))</f>
        <v>#N/A</v>
      </c>
      <c r="I206" t="e">
        <f>IF(INDEX( DATOS3!$1:$19996,A206,MATCH("Dose_Area_Product_Total", DATOS3!$1:$1,0))=0,0,INDEX( DATOS3!$1:$19996,A206,MATCH("Dose_Area_Product", DATOS3!$1:$1,0)))</f>
        <v>#N/A</v>
      </c>
      <c r="J206" t="e">
        <f>IF(INDEX( DATOS3!$1:$19996,A206,MATCH("Dose_RP_Total", DATOS3!$1:$1,0))=0,0,INDEX( DATOS3!$1:$19996,A206,MATCH("Dose_RP", DATOS3!$1:$1,0)))</f>
        <v>#N/A</v>
      </c>
      <c r="K206" t="e">
        <f>IF(INDEX( DATOS3!$1:$19996,A206,MATCH("Total_Fluoro_Time", DATOS3!$1:$1,0))=0,0,INDEX( DATOS3!$1:$19996,A206,MATCH("Total_Fluoro_Time", DATOS3!$1:$1,0)))</f>
        <v>#N/A</v>
      </c>
    </row>
    <row r="207" spans="1:11" hidden="1" x14ac:dyDescent="0.25">
      <c r="A207">
        <v>207</v>
      </c>
      <c r="B207" t="e">
        <f t="shared" si="6"/>
        <v>#N/A</v>
      </c>
      <c r="C207" t="e">
        <f t="shared" si="7"/>
        <v>#N/A</v>
      </c>
      <c r="D207" t="e">
        <f>IF(INDEX( DATOS3!$1:$19996,A207,MATCH("PatientID", DATOS3!$1:$1,0))=0,"",INDEX( DATOS3!$1:$19996,A207,MATCH("PatientID", DATOS3!$1:$1,0)))</f>
        <v>#N/A</v>
      </c>
      <c r="F207" t="e">
        <f>IF(INDEX( DATOS3!$1:$19996,A207,MATCH("SeriesDate", DATOS3!$1:$1,0))=0,"",INDEX( DATOS3!$1:$19996,A207,MATCH("SeriesDate", DATOS3!$1:$1,0)))</f>
        <v>#N/A</v>
      </c>
      <c r="G207" t="e">
        <f>IF(INDEX( DATOS3!$1:$19996,A207,MATCH("SeriesTime", DATOS3!$1:$1,0))=0,"",INDEX( DATOS3!$1:$19996,A207,MATCH("SeriesTime", DATOS3!$1:$1,0)))</f>
        <v>#N/A</v>
      </c>
      <c r="H207" t="e">
        <f>IF(INDEX( DATOS3!$1:$19996,A207,MATCH("StudyDescription", DATOS3!$1:$1,0))=0,"",INDEX( DATOS3!$1:$19996,A207,MATCH("StudyDescription", DATOS3!$1:$1,0)))</f>
        <v>#N/A</v>
      </c>
      <c r="I207" t="e">
        <f>IF(INDEX( DATOS3!$1:$19996,A207,MATCH("Dose_Area_Product_Total", DATOS3!$1:$1,0))=0,0,INDEX( DATOS3!$1:$19996,A207,MATCH("Dose_Area_Product", DATOS3!$1:$1,0)))</f>
        <v>#N/A</v>
      </c>
      <c r="J207" t="e">
        <f>IF(INDEX( DATOS3!$1:$19996,A207,MATCH("Dose_RP_Total", DATOS3!$1:$1,0))=0,0,INDEX( DATOS3!$1:$19996,A207,MATCH("Dose_RP", DATOS3!$1:$1,0)))</f>
        <v>#N/A</v>
      </c>
      <c r="K207" t="e">
        <f>IF(INDEX( DATOS3!$1:$19996,A207,MATCH("Total_Fluoro_Time", DATOS3!$1:$1,0))=0,0,INDEX( DATOS3!$1:$19996,A207,MATCH("Total_Fluoro_Time", DATOS3!$1:$1,0)))</f>
        <v>#N/A</v>
      </c>
    </row>
    <row r="208" spans="1:11" hidden="1" x14ac:dyDescent="0.25">
      <c r="A208">
        <v>208</v>
      </c>
      <c r="B208" t="e">
        <f t="shared" si="6"/>
        <v>#N/A</v>
      </c>
      <c r="C208" t="e">
        <f t="shared" si="7"/>
        <v>#N/A</v>
      </c>
      <c r="D208" t="e">
        <f>IF(INDEX( DATOS3!$1:$19996,A208,MATCH("PatientID", DATOS3!$1:$1,0))=0,"",INDEX( DATOS3!$1:$19996,A208,MATCH("PatientID", DATOS3!$1:$1,0)))</f>
        <v>#N/A</v>
      </c>
      <c r="F208" t="e">
        <f>IF(INDEX( DATOS3!$1:$19996,A208,MATCH("SeriesDate", DATOS3!$1:$1,0))=0,"",INDEX( DATOS3!$1:$19996,A208,MATCH("SeriesDate", DATOS3!$1:$1,0)))</f>
        <v>#N/A</v>
      </c>
      <c r="G208" t="e">
        <f>IF(INDEX( DATOS3!$1:$19996,A208,MATCH("SeriesTime", DATOS3!$1:$1,0))=0,"",INDEX( DATOS3!$1:$19996,A208,MATCH("SeriesTime", DATOS3!$1:$1,0)))</f>
        <v>#N/A</v>
      </c>
      <c r="H208" t="e">
        <f>IF(INDEX( DATOS3!$1:$19996,A208,MATCH("StudyDescription", DATOS3!$1:$1,0))=0,"",INDEX( DATOS3!$1:$19996,A208,MATCH("StudyDescription", DATOS3!$1:$1,0)))</f>
        <v>#N/A</v>
      </c>
      <c r="I208" t="e">
        <f>IF(INDEX( DATOS3!$1:$19996,A208,MATCH("Dose_Area_Product_Total", DATOS3!$1:$1,0))=0,0,INDEX( DATOS3!$1:$19996,A208,MATCH("Dose_Area_Product", DATOS3!$1:$1,0)))</f>
        <v>#N/A</v>
      </c>
      <c r="J208" t="e">
        <f>IF(INDEX( DATOS3!$1:$19996,A208,MATCH("Dose_RP_Total", DATOS3!$1:$1,0))=0,0,INDEX( DATOS3!$1:$19996,A208,MATCH("Dose_RP", DATOS3!$1:$1,0)))</f>
        <v>#N/A</v>
      </c>
      <c r="K208" t="e">
        <f>IF(INDEX( DATOS3!$1:$19996,A208,MATCH("Total_Fluoro_Time", DATOS3!$1:$1,0))=0,0,INDEX( DATOS3!$1:$19996,A208,MATCH("Total_Fluoro_Time", DATOS3!$1:$1,0)))</f>
        <v>#N/A</v>
      </c>
    </row>
    <row r="209" spans="1:11" hidden="1" x14ac:dyDescent="0.25">
      <c r="A209">
        <v>209</v>
      </c>
      <c r="B209" t="e">
        <f t="shared" si="6"/>
        <v>#N/A</v>
      </c>
      <c r="C209" t="e">
        <f t="shared" si="7"/>
        <v>#N/A</v>
      </c>
      <c r="D209" t="e">
        <f>IF(INDEX( DATOS3!$1:$19996,A209,MATCH("PatientID", DATOS3!$1:$1,0))=0,"",INDEX( DATOS3!$1:$19996,A209,MATCH("PatientID", DATOS3!$1:$1,0)))</f>
        <v>#N/A</v>
      </c>
      <c r="F209" t="e">
        <f>IF(INDEX( DATOS3!$1:$19996,A209,MATCH("SeriesDate", DATOS3!$1:$1,0))=0,"",INDEX( DATOS3!$1:$19996,A209,MATCH("SeriesDate", DATOS3!$1:$1,0)))</f>
        <v>#N/A</v>
      </c>
      <c r="G209" t="e">
        <f>IF(INDEX( DATOS3!$1:$19996,A209,MATCH("SeriesTime", DATOS3!$1:$1,0))=0,"",INDEX( DATOS3!$1:$19996,A209,MATCH("SeriesTime", DATOS3!$1:$1,0)))</f>
        <v>#N/A</v>
      </c>
      <c r="H209" t="e">
        <f>IF(INDEX( DATOS3!$1:$19996,A209,MATCH("StudyDescription", DATOS3!$1:$1,0))=0,"",INDEX( DATOS3!$1:$19996,A209,MATCH("StudyDescription", DATOS3!$1:$1,0)))</f>
        <v>#N/A</v>
      </c>
      <c r="I209" t="e">
        <f>IF(INDEX( DATOS3!$1:$19996,A209,MATCH("Dose_Area_Product_Total", DATOS3!$1:$1,0))=0,0,INDEX( DATOS3!$1:$19996,A209,MATCH("Dose_Area_Product", DATOS3!$1:$1,0)))</f>
        <v>#N/A</v>
      </c>
      <c r="J209" t="e">
        <f>IF(INDEX( DATOS3!$1:$19996,A209,MATCH("Dose_RP_Total", DATOS3!$1:$1,0))=0,0,INDEX( DATOS3!$1:$19996,A209,MATCH("Dose_RP", DATOS3!$1:$1,0)))</f>
        <v>#N/A</v>
      </c>
      <c r="K209" t="e">
        <f>IF(INDEX( DATOS3!$1:$19996,A209,MATCH("Total_Fluoro_Time", DATOS3!$1:$1,0))=0,0,INDEX( DATOS3!$1:$19996,A209,MATCH("Total_Fluoro_Time", DATOS3!$1:$1,0)))</f>
        <v>#N/A</v>
      </c>
    </row>
    <row r="210" spans="1:11" hidden="1" x14ac:dyDescent="0.25">
      <c r="A210">
        <v>210</v>
      </c>
      <c r="B210" t="e">
        <f t="shared" si="6"/>
        <v>#N/A</v>
      </c>
      <c r="C210" t="e">
        <f t="shared" si="7"/>
        <v>#N/A</v>
      </c>
      <c r="D210" t="e">
        <f>IF(INDEX( DATOS3!$1:$19996,A210,MATCH("PatientID", DATOS3!$1:$1,0))=0,"",INDEX( DATOS3!$1:$19996,A210,MATCH("PatientID", DATOS3!$1:$1,0)))</f>
        <v>#N/A</v>
      </c>
      <c r="F210" t="e">
        <f>IF(INDEX( DATOS3!$1:$19996,A210,MATCH("SeriesDate", DATOS3!$1:$1,0))=0,"",INDEX( DATOS3!$1:$19996,A210,MATCH("SeriesDate", DATOS3!$1:$1,0)))</f>
        <v>#N/A</v>
      </c>
      <c r="G210" t="e">
        <f>IF(INDEX( DATOS3!$1:$19996,A210,MATCH("SeriesTime", DATOS3!$1:$1,0))=0,"",INDEX( DATOS3!$1:$19996,A210,MATCH("SeriesTime", DATOS3!$1:$1,0)))</f>
        <v>#N/A</v>
      </c>
      <c r="H210" t="e">
        <f>IF(INDEX( DATOS3!$1:$19996,A210,MATCH("StudyDescription", DATOS3!$1:$1,0))=0,"",INDEX( DATOS3!$1:$19996,A210,MATCH("StudyDescription", DATOS3!$1:$1,0)))</f>
        <v>#N/A</v>
      </c>
      <c r="I210" t="e">
        <f>IF(INDEX( DATOS3!$1:$19996,A210,MATCH("Dose_Area_Product_Total", DATOS3!$1:$1,0))=0,0,INDEX( DATOS3!$1:$19996,A210,MATCH("Dose_Area_Product", DATOS3!$1:$1,0)))</f>
        <v>#N/A</v>
      </c>
      <c r="J210" t="e">
        <f>IF(INDEX( DATOS3!$1:$19996,A210,MATCH("Dose_RP_Total", DATOS3!$1:$1,0))=0,0,INDEX( DATOS3!$1:$19996,A210,MATCH("Dose_RP", DATOS3!$1:$1,0)))</f>
        <v>#N/A</v>
      </c>
      <c r="K210" t="e">
        <f>IF(INDEX( DATOS3!$1:$19996,A210,MATCH("Total_Fluoro_Time", DATOS3!$1:$1,0))=0,0,INDEX( DATOS3!$1:$19996,A210,MATCH("Total_Fluoro_Time", DATOS3!$1:$1,0)))</f>
        <v>#N/A</v>
      </c>
    </row>
    <row r="211" spans="1:11" hidden="1" x14ac:dyDescent="0.25">
      <c r="A211">
        <v>211</v>
      </c>
      <c r="B211" t="e">
        <f t="shared" si="6"/>
        <v>#N/A</v>
      </c>
      <c r="C211" t="e">
        <f t="shared" si="7"/>
        <v>#N/A</v>
      </c>
      <c r="D211" t="e">
        <f>IF(INDEX( DATOS3!$1:$19996,A211,MATCH("PatientID", DATOS3!$1:$1,0))=0,"",INDEX( DATOS3!$1:$19996,A211,MATCH("PatientID", DATOS3!$1:$1,0)))</f>
        <v>#N/A</v>
      </c>
      <c r="F211" t="e">
        <f>IF(INDEX( DATOS3!$1:$19996,A211,MATCH("SeriesDate", DATOS3!$1:$1,0))=0,"",INDEX( DATOS3!$1:$19996,A211,MATCH("SeriesDate", DATOS3!$1:$1,0)))</f>
        <v>#N/A</v>
      </c>
      <c r="G211" t="e">
        <f>IF(INDEX( DATOS3!$1:$19996,A211,MATCH("SeriesTime", DATOS3!$1:$1,0))=0,"",INDEX( DATOS3!$1:$19996,A211,MATCH("SeriesTime", DATOS3!$1:$1,0)))</f>
        <v>#N/A</v>
      </c>
      <c r="H211" t="e">
        <f>IF(INDEX( DATOS3!$1:$19996,A211,MATCH("StudyDescription", DATOS3!$1:$1,0))=0,"",INDEX( DATOS3!$1:$19996,A211,MATCH("StudyDescription", DATOS3!$1:$1,0)))</f>
        <v>#N/A</v>
      </c>
      <c r="I211" t="e">
        <f>IF(INDEX( DATOS3!$1:$19996,A211,MATCH("Dose_Area_Product_Total", DATOS3!$1:$1,0))=0,0,INDEX( DATOS3!$1:$19996,A211,MATCH("Dose_Area_Product", DATOS3!$1:$1,0)))</f>
        <v>#N/A</v>
      </c>
      <c r="J211" t="e">
        <f>IF(INDEX( DATOS3!$1:$19996,A211,MATCH("Dose_RP_Total", DATOS3!$1:$1,0))=0,0,INDEX( DATOS3!$1:$19996,A211,MATCH("Dose_RP", DATOS3!$1:$1,0)))</f>
        <v>#N/A</v>
      </c>
      <c r="K211" t="e">
        <f>IF(INDEX( DATOS3!$1:$19996,A211,MATCH("Total_Fluoro_Time", DATOS3!$1:$1,0))=0,0,INDEX( DATOS3!$1:$19996,A211,MATCH("Total_Fluoro_Time", DATOS3!$1:$1,0)))</f>
        <v>#N/A</v>
      </c>
    </row>
    <row r="212" spans="1:11" hidden="1" x14ac:dyDescent="0.25">
      <c r="A212">
        <v>212</v>
      </c>
      <c r="B212" t="e">
        <f t="shared" si="6"/>
        <v>#N/A</v>
      </c>
      <c r="C212" t="e">
        <f t="shared" si="7"/>
        <v>#N/A</v>
      </c>
      <c r="D212" t="e">
        <f>IF(INDEX( DATOS3!$1:$19996,A212,MATCH("PatientID", DATOS3!$1:$1,0))=0,"",INDEX( DATOS3!$1:$19996,A212,MATCH("PatientID", DATOS3!$1:$1,0)))</f>
        <v>#N/A</v>
      </c>
      <c r="F212" t="e">
        <f>IF(INDEX( DATOS3!$1:$19996,A212,MATCH("SeriesDate", DATOS3!$1:$1,0))=0,"",INDEX( DATOS3!$1:$19996,A212,MATCH("SeriesDate", DATOS3!$1:$1,0)))</f>
        <v>#N/A</v>
      </c>
      <c r="G212" t="e">
        <f>IF(INDEX( DATOS3!$1:$19996,A212,MATCH("SeriesTime", DATOS3!$1:$1,0))=0,"",INDEX( DATOS3!$1:$19996,A212,MATCH("SeriesTime", DATOS3!$1:$1,0)))</f>
        <v>#N/A</v>
      </c>
      <c r="H212" t="e">
        <f>IF(INDEX( DATOS3!$1:$19996,A212,MATCH("StudyDescription", DATOS3!$1:$1,0))=0,"",INDEX( DATOS3!$1:$19996,A212,MATCH("StudyDescription", DATOS3!$1:$1,0)))</f>
        <v>#N/A</v>
      </c>
      <c r="I212" t="e">
        <f>IF(INDEX( DATOS3!$1:$19996,A212,MATCH("Dose_Area_Product_Total", DATOS3!$1:$1,0))=0,0,INDEX( DATOS3!$1:$19996,A212,MATCH("Dose_Area_Product", DATOS3!$1:$1,0)))</f>
        <v>#N/A</v>
      </c>
      <c r="J212" t="e">
        <f>IF(INDEX( DATOS3!$1:$19996,A212,MATCH("Dose_RP_Total", DATOS3!$1:$1,0))=0,0,INDEX( DATOS3!$1:$19996,A212,MATCH("Dose_RP", DATOS3!$1:$1,0)))</f>
        <v>#N/A</v>
      </c>
      <c r="K212" t="e">
        <f>IF(INDEX( DATOS3!$1:$19996,A212,MATCH("Total_Fluoro_Time", DATOS3!$1:$1,0))=0,0,INDEX( DATOS3!$1:$19996,A212,MATCH("Total_Fluoro_Time", DATOS3!$1:$1,0)))</f>
        <v>#N/A</v>
      </c>
    </row>
    <row r="213" spans="1:11" hidden="1" x14ac:dyDescent="0.25">
      <c r="A213">
        <v>213</v>
      </c>
      <c r="B213" t="e">
        <f t="shared" si="6"/>
        <v>#N/A</v>
      </c>
      <c r="C213" t="e">
        <f t="shared" si="7"/>
        <v>#N/A</v>
      </c>
      <c r="D213" t="e">
        <f>IF(INDEX( DATOS3!$1:$19996,A213,MATCH("PatientID", DATOS3!$1:$1,0))=0,"",INDEX( DATOS3!$1:$19996,A213,MATCH("PatientID", DATOS3!$1:$1,0)))</f>
        <v>#N/A</v>
      </c>
      <c r="F213" t="e">
        <f>IF(INDEX( DATOS3!$1:$19996,A213,MATCH("SeriesDate", DATOS3!$1:$1,0))=0,"",INDEX( DATOS3!$1:$19996,A213,MATCH("SeriesDate", DATOS3!$1:$1,0)))</f>
        <v>#N/A</v>
      </c>
      <c r="G213" t="e">
        <f>IF(INDEX( DATOS3!$1:$19996,A213,MATCH("SeriesTime", DATOS3!$1:$1,0))=0,"",INDEX( DATOS3!$1:$19996,A213,MATCH("SeriesTime", DATOS3!$1:$1,0)))</f>
        <v>#N/A</v>
      </c>
      <c r="H213" t="e">
        <f>IF(INDEX( DATOS3!$1:$19996,A213,MATCH("StudyDescription", DATOS3!$1:$1,0))=0,"",INDEX( DATOS3!$1:$19996,A213,MATCH("StudyDescription", DATOS3!$1:$1,0)))</f>
        <v>#N/A</v>
      </c>
      <c r="I213" t="e">
        <f>IF(INDEX( DATOS3!$1:$19996,A213,MATCH("Dose_Area_Product_Total", DATOS3!$1:$1,0))=0,0,INDEX( DATOS3!$1:$19996,A213,MATCH("Dose_Area_Product", DATOS3!$1:$1,0)))</f>
        <v>#N/A</v>
      </c>
      <c r="J213" t="e">
        <f>IF(INDEX( DATOS3!$1:$19996,A213,MATCH("Dose_RP_Total", DATOS3!$1:$1,0))=0,0,INDEX( DATOS3!$1:$19996,A213,MATCH("Dose_RP", DATOS3!$1:$1,0)))</f>
        <v>#N/A</v>
      </c>
      <c r="K213" t="e">
        <f>IF(INDEX( DATOS3!$1:$19996,A213,MATCH("Total_Fluoro_Time", DATOS3!$1:$1,0))=0,0,INDEX( DATOS3!$1:$19996,A213,MATCH("Total_Fluoro_Time", DATOS3!$1:$1,0)))</f>
        <v>#N/A</v>
      </c>
    </row>
    <row r="214" spans="1:11" hidden="1" x14ac:dyDescent="0.25">
      <c r="A214">
        <v>214</v>
      </c>
      <c r="B214" t="e">
        <f t="shared" si="6"/>
        <v>#N/A</v>
      </c>
      <c r="C214" t="e">
        <f t="shared" si="7"/>
        <v>#N/A</v>
      </c>
      <c r="D214" t="e">
        <f>IF(INDEX( DATOS3!$1:$19996,A214,MATCH("PatientID", DATOS3!$1:$1,0))=0,"",INDEX( DATOS3!$1:$19996,A214,MATCH("PatientID", DATOS3!$1:$1,0)))</f>
        <v>#N/A</v>
      </c>
      <c r="F214" t="e">
        <f>IF(INDEX( DATOS3!$1:$19996,A214,MATCH("SeriesDate", DATOS3!$1:$1,0))=0,"",INDEX( DATOS3!$1:$19996,A214,MATCH("SeriesDate", DATOS3!$1:$1,0)))</f>
        <v>#N/A</v>
      </c>
      <c r="G214" t="e">
        <f>IF(INDEX( DATOS3!$1:$19996,A214,MATCH("SeriesTime", DATOS3!$1:$1,0))=0,"",INDEX( DATOS3!$1:$19996,A214,MATCH("SeriesTime", DATOS3!$1:$1,0)))</f>
        <v>#N/A</v>
      </c>
      <c r="H214" t="e">
        <f>IF(INDEX( DATOS3!$1:$19996,A214,MATCH("StudyDescription", DATOS3!$1:$1,0))=0,"",INDEX( DATOS3!$1:$19996,A214,MATCH("StudyDescription", DATOS3!$1:$1,0)))</f>
        <v>#N/A</v>
      </c>
      <c r="I214" t="e">
        <f>IF(INDEX( DATOS3!$1:$19996,A214,MATCH("Dose_Area_Product_Total", DATOS3!$1:$1,0))=0,0,INDEX( DATOS3!$1:$19996,A214,MATCH("Dose_Area_Product", DATOS3!$1:$1,0)))</f>
        <v>#N/A</v>
      </c>
      <c r="J214" t="e">
        <f>IF(INDEX( DATOS3!$1:$19996,A214,MATCH("Dose_RP_Total", DATOS3!$1:$1,0))=0,0,INDEX( DATOS3!$1:$19996,A214,MATCH("Dose_RP", DATOS3!$1:$1,0)))</f>
        <v>#N/A</v>
      </c>
      <c r="K214" t="e">
        <f>IF(INDEX( DATOS3!$1:$19996,A214,MATCH("Total_Fluoro_Time", DATOS3!$1:$1,0))=0,0,INDEX( DATOS3!$1:$19996,A214,MATCH("Total_Fluoro_Time", DATOS3!$1:$1,0)))</f>
        <v>#N/A</v>
      </c>
    </row>
    <row r="215" spans="1:11" hidden="1" x14ac:dyDescent="0.25">
      <c r="A215">
        <v>215</v>
      </c>
      <c r="B215" t="e">
        <f t="shared" si="6"/>
        <v>#N/A</v>
      </c>
      <c r="C215" t="e">
        <f t="shared" si="7"/>
        <v>#N/A</v>
      </c>
      <c r="D215" t="e">
        <f>IF(INDEX( DATOS3!$1:$19996,A215,MATCH("PatientID", DATOS3!$1:$1,0))=0,"",INDEX( DATOS3!$1:$19996,A215,MATCH("PatientID", DATOS3!$1:$1,0)))</f>
        <v>#N/A</v>
      </c>
      <c r="F215" t="e">
        <f>IF(INDEX( DATOS3!$1:$19996,A215,MATCH("SeriesDate", DATOS3!$1:$1,0))=0,"",INDEX( DATOS3!$1:$19996,A215,MATCH("SeriesDate", DATOS3!$1:$1,0)))</f>
        <v>#N/A</v>
      </c>
      <c r="G215" t="e">
        <f>IF(INDEX( DATOS3!$1:$19996,A215,MATCH("SeriesTime", DATOS3!$1:$1,0))=0,"",INDEX( DATOS3!$1:$19996,A215,MATCH("SeriesTime", DATOS3!$1:$1,0)))</f>
        <v>#N/A</v>
      </c>
      <c r="H215" t="e">
        <f>IF(INDEX( DATOS3!$1:$19996,A215,MATCH("StudyDescription", DATOS3!$1:$1,0))=0,"",INDEX( DATOS3!$1:$19996,A215,MATCH("StudyDescription", DATOS3!$1:$1,0)))</f>
        <v>#N/A</v>
      </c>
      <c r="I215" t="e">
        <f>IF(INDEX( DATOS3!$1:$19996,A215,MATCH("Dose_Area_Product_Total", DATOS3!$1:$1,0))=0,0,INDEX( DATOS3!$1:$19996,A215,MATCH("Dose_Area_Product", DATOS3!$1:$1,0)))</f>
        <v>#N/A</v>
      </c>
      <c r="J215" t="e">
        <f>IF(INDEX( DATOS3!$1:$19996,A215,MATCH("Dose_RP_Total", DATOS3!$1:$1,0))=0,0,INDEX( DATOS3!$1:$19996,A215,MATCH("Dose_RP", DATOS3!$1:$1,0)))</f>
        <v>#N/A</v>
      </c>
      <c r="K215" t="e">
        <f>IF(INDEX( DATOS3!$1:$19996,A215,MATCH("Total_Fluoro_Time", DATOS3!$1:$1,0))=0,0,INDEX( DATOS3!$1:$19996,A215,MATCH("Total_Fluoro_Time", DATOS3!$1:$1,0)))</f>
        <v>#N/A</v>
      </c>
    </row>
    <row r="216" spans="1:11" hidden="1" x14ac:dyDescent="0.25">
      <c r="A216">
        <v>216</v>
      </c>
      <c r="B216" t="e">
        <f t="shared" si="6"/>
        <v>#N/A</v>
      </c>
      <c r="C216" t="e">
        <f t="shared" si="7"/>
        <v>#N/A</v>
      </c>
      <c r="D216" t="e">
        <f>IF(INDEX( DATOS3!$1:$19996,A216,MATCH("PatientID", DATOS3!$1:$1,0))=0,"",INDEX( DATOS3!$1:$19996,A216,MATCH("PatientID", DATOS3!$1:$1,0)))</f>
        <v>#N/A</v>
      </c>
      <c r="F216" t="e">
        <f>IF(INDEX( DATOS3!$1:$19996,A216,MATCH("SeriesDate", DATOS3!$1:$1,0))=0,"",INDEX( DATOS3!$1:$19996,A216,MATCH("SeriesDate", DATOS3!$1:$1,0)))</f>
        <v>#N/A</v>
      </c>
      <c r="G216" t="e">
        <f>IF(INDEX( DATOS3!$1:$19996,A216,MATCH("SeriesTime", DATOS3!$1:$1,0))=0,"",INDEX( DATOS3!$1:$19996,A216,MATCH("SeriesTime", DATOS3!$1:$1,0)))</f>
        <v>#N/A</v>
      </c>
      <c r="H216" t="e">
        <f>IF(INDEX( DATOS3!$1:$19996,A216,MATCH("StudyDescription", DATOS3!$1:$1,0))=0,"",INDEX( DATOS3!$1:$19996,A216,MATCH("StudyDescription", DATOS3!$1:$1,0)))</f>
        <v>#N/A</v>
      </c>
      <c r="I216" t="e">
        <f>IF(INDEX( DATOS3!$1:$19996,A216,MATCH("Dose_Area_Product_Total", DATOS3!$1:$1,0))=0,0,INDEX( DATOS3!$1:$19996,A216,MATCH("Dose_Area_Product", DATOS3!$1:$1,0)))</f>
        <v>#N/A</v>
      </c>
      <c r="J216" t="e">
        <f>IF(INDEX( DATOS3!$1:$19996,A216,MATCH("Dose_RP_Total", DATOS3!$1:$1,0))=0,0,INDEX( DATOS3!$1:$19996,A216,MATCH("Dose_RP", DATOS3!$1:$1,0)))</f>
        <v>#N/A</v>
      </c>
      <c r="K216" t="e">
        <f>IF(INDEX( DATOS3!$1:$19996,A216,MATCH("Total_Fluoro_Time", DATOS3!$1:$1,0))=0,0,INDEX( DATOS3!$1:$19996,A216,MATCH("Total_Fluoro_Time", DATOS3!$1:$1,0)))</f>
        <v>#N/A</v>
      </c>
    </row>
    <row r="217" spans="1:11" hidden="1" x14ac:dyDescent="0.25">
      <c r="A217">
        <v>217</v>
      </c>
      <c r="B217" t="e">
        <f t="shared" si="6"/>
        <v>#N/A</v>
      </c>
      <c r="C217" t="e">
        <f t="shared" si="7"/>
        <v>#N/A</v>
      </c>
      <c r="D217" t="e">
        <f>IF(INDEX( DATOS3!$1:$19996,A217,MATCH("PatientID", DATOS3!$1:$1,0))=0,"",INDEX( DATOS3!$1:$19996,A217,MATCH("PatientID", DATOS3!$1:$1,0)))</f>
        <v>#N/A</v>
      </c>
      <c r="F217" t="e">
        <f>IF(INDEX( DATOS3!$1:$19996,A217,MATCH("SeriesDate", DATOS3!$1:$1,0))=0,"",INDEX( DATOS3!$1:$19996,A217,MATCH("SeriesDate", DATOS3!$1:$1,0)))</f>
        <v>#N/A</v>
      </c>
      <c r="G217" t="e">
        <f>IF(INDEX( DATOS3!$1:$19996,A217,MATCH("SeriesTime", DATOS3!$1:$1,0))=0,"",INDEX( DATOS3!$1:$19996,A217,MATCH("SeriesTime", DATOS3!$1:$1,0)))</f>
        <v>#N/A</v>
      </c>
      <c r="H217" t="e">
        <f>IF(INDEX( DATOS3!$1:$19996,A217,MATCH("StudyDescription", DATOS3!$1:$1,0))=0,"",INDEX( DATOS3!$1:$19996,A217,MATCH("StudyDescription", DATOS3!$1:$1,0)))</f>
        <v>#N/A</v>
      </c>
      <c r="I217" t="e">
        <f>IF(INDEX( DATOS3!$1:$19996,A217,MATCH("Dose_Area_Product_Total", DATOS3!$1:$1,0))=0,0,INDEX( DATOS3!$1:$19996,A217,MATCH("Dose_Area_Product", DATOS3!$1:$1,0)))</f>
        <v>#N/A</v>
      </c>
      <c r="J217" t="e">
        <f>IF(INDEX( DATOS3!$1:$19996,A217,MATCH("Dose_RP_Total", DATOS3!$1:$1,0))=0,0,INDEX( DATOS3!$1:$19996,A217,MATCH("Dose_RP", DATOS3!$1:$1,0)))</f>
        <v>#N/A</v>
      </c>
      <c r="K217" t="e">
        <f>IF(INDEX( DATOS3!$1:$19996,A217,MATCH("Total_Fluoro_Time", DATOS3!$1:$1,0))=0,0,INDEX( DATOS3!$1:$19996,A217,MATCH("Total_Fluoro_Time", DATOS3!$1:$1,0)))</f>
        <v>#N/A</v>
      </c>
    </row>
    <row r="218" spans="1:11" hidden="1" x14ac:dyDescent="0.25">
      <c r="A218">
        <v>218</v>
      </c>
      <c r="B218" t="e">
        <f t="shared" si="6"/>
        <v>#N/A</v>
      </c>
      <c r="C218" t="e">
        <f t="shared" si="7"/>
        <v>#N/A</v>
      </c>
      <c r="D218" t="e">
        <f>IF(INDEX( DATOS3!$1:$19996,A218,MATCH("PatientID", DATOS3!$1:$1,0))=0,"",INDEX( DATOS3!$1:$19996,A218,MATCH("PatientID", DATOS3!$1:$1,0)))</f>
        <v>#N/A</v>
      </c>
      <c r="F218" t="e">
        <f>IF(INDEX( DATOS3!$1:$19996,A218,MATCH("SeriesDate", DATOS3!$1:$1,0))=0,"",INDEX( DATOS3!$1:$19996,A218,MATCH("SeriesDate", DATOS3!$1:$1,0)))</f>
        <v>#N/A</v>
      </c>
      <c r="G218" t="e">
        <f>IF(INDEX( DATOS3!$1:$19996,A218,MATCH("SeriesTime", DATOS3!$1:$1,0))=0,"",INDEX( DATOS3!$1:$19996,A218,MATCH("SeriesTime", DATOS3!$1:$1,0)))</f>
        <v>#N/A</v>
      </c>
      <c r="H218" t="e">
        <f>IF(INDEX( DATOS3!$1:$19996,A218,MATCH("StudyDescription", DATOS3!$1:$1,0))=0,"",INDEX( DATOS3!$1:$19996,A218,MATCH("StudyDescription", DATOS3!$1:$1,0)))</f>
        <v>#N/A</v>
      </c>
      <c r="I218" t="e">
        <f>IF(INDEX( DATOS3!$1:$19996,A218,MATCH("Dose_Area_Product_Total", DATOS3!$1:$1,0))=0,0,INDEX( DATOS3!$1:$19996,A218,MATCH("Dose_Area_Product", DATOS3!$1:$1,0)))</f>
        <v>#N/A</v>
      </c>
      <c r="J218" t="e">
        <f>IF(INDEX( DATOS3!$1:$19996,A218,MATCH("Dose_RP_Total", DATOS3!$1:$1,0))=0,0,INDEX( DATOS3!$1:$19996,A218,MATCH("Dose_RP", DATOS3!$1:$1,0)))</f>
        <v>#N/A</v>
      </c>
      <c r="K218" t="e">
        <f>IF(INDEX( DATOS3!$1:$19996,A218,MATCH("Total_Fluoro_Time", DATOS3!$1:$1,0))=0,0,INDEX( DATOS3!$1:$19996,A218,MATCH("Total_Fluoro_Time", DATOS3!$1:$1,0)))</f>
        <v>#N/A</v>
      </c>
    </row>
    <row r="219" spans="1:11" hidden="1" x14ac:dyDescent="0.25">
      <c r="A219">
        <v>219</v>
      </c>
      <c r="B219" t="e">
        <f t="shared" si="6"/>
        <v>#N/A</v>
      </c>
      <c r="C219" t="e">
        <f t="shared" si="7"/>
        <v>#N/A</v>
      </c>
      <c r="D219" t="e">
        <f>IF(INDEX( DATOS3!$1:$19996,A219,MATCH("PatientID", DATOS3!$1:$1,0))=0,"",INDEX( DATOS3!$1:$19996,A219,MATCH("PatientID", DATOS3!$1:$1,0)))</f>
        <v>#N/A</v>
      </c>
      <c r="F219" t="e">
        <f>IF(INDEX( DATOS3!$1:$19996,A219,MATCH("SeriesDate", DATOS3!$1:$1,0))=0,"",INDEX( DATOS3!$1:$19996,A219,MATCH("SeriesDate", DATOS3!$1:$1,0)))</f>
        <v>#N/A</v>
      </c>
      <c r="G219" t="e">
        <f>IF(INDEX( DATOS3!$1:$19996,A219,MATCH("SeriesTime", DATOS3!$1:$1,0))=0,"",INDEX( DATOS3!$1:$19996,A219,MATCH("SeriesTime", DATOS3!$1:$1,0)))</f>
        <v>#N/A</v>
      </c>
      <c r="H219" t="e">
        <f>IF(INDEX( DATOS3!$1:$19996,A219,MATCH("StudyDescription", DATOS3!$1:$1,0))=0,"",INDEX( DATOS3!$1:$19996,A219,MATCH("StudyDescription", DATOS3!$1:$1,0)))</f>
        <v>#N/A</v>
      </c>
      <c r="I219" t="e">
        <f>IF(INDEX( DATOS3!$1:$19996,A219,MATCH("Dose_Area_Product_Total", DATOS3!$1:$1,0))=0,0,INDEX( DATOS3!$1:$19996,A219,MATCH("Dose_Area_Product", DATOS3!$1:$1,0)))</f>
        <v>#N/A</v>
      </c>
      <c r="J219" t="e">
        <f>IF(INDEX( DATOS3!$1:$19996,A219,MATCH("Dose_RP_Total", DATOS3!$1:$1,0))=0,0,INDEX( DATOS3!$1:$19996,A219,MATCH("Dose_RP", DATOS3!$1:$1,0)))</f>
        <v>#N/A</v>
      </c>
      <c r="K219" t="e">
        <f>IF(INDEX( DATOS3!$1:$19996,A219,MATCH("Total_Fluoro_Time", DATOS3!$1:$1,0))=0,0,INDEX( DATOS3!$1:$19996,A219,MATCH("Total_Fluoro_Time", DATOS3!$1:$1,0)))</f>
        <v>#N/A</v>
      </c>
    </row>
    <row r="220" spans="1:11" hidden="1" x14ac:dyDescent="0.25">
      <c r="A220">
        <v>220</v>
      </c>
      <c r="B220" t="e">
        <f t="shared" si="6"/>
        <v>#N/A</v>
      </c>
      <c r="C220" t="e">
        <f t="shared" si="7"/>
        <v>#N/A</v>
      </c>
      <c r="D220" t="e">
        <f>IF(INDEX( DATOS3!$1:$19996,A220,MATCH("PatientID", DATOS3!$1:$1,0))=0,"",INDEX( DATOS3!$1:$19996,A220,MATCH("PatientID", DATOS3!$1:$1,0)))</f>
        <v>#N/A</v>
      </c>
      <c r="F220" t="e">
        <f>IF(INDEX( DATOS3!$1:$19996,A220,MATCH("SeriesDate", DATOS3!$1:$1,0))=0,"",INDEX( DATOS3!$1:$19996,A220,MATCH("SeriesDate", DATOS3!$1:$1,0)))</f>
        <v>#N/A</v>
      </c>
      <c r="G220" t="e">
        <f>IF(INDEX( DATOS3!$1:$19996,A220,MATCH("SeriesTime", DATOS3!$1:$1,0))=0,"",INDEX( DATOS3!$1:$19996,A220,MATCH("SeriesTime", DATOS3!$1:$1,0)))</f>
        <v>#N/A</v>
      </c>
      <c r="H220" t="e">
        <f>IF(INDEX( DATOS3!$1:$19996,A220,MATCH("StudyDescription", DATOS3!$1:$1,0))=0,"",INDEX( DATOS3!$1:$19996,A220,MATCH("StudyDescription", DATOS3!$1:$1,0)))</f>
        <v>#N/A</v>
      </c>
      <c r="I220" t="e">
        <f>IF(INDEX( DATOS3!$1:$19996,A220,MATCH("Dose_Area_Product_Total", DATOS3!$1:$1,0))=0,0,INDEX( DATOS3!$1:$19996,A220,MATCH("Dose_Area_Product", DATOS3!$1:$1,0)))</f>
        <v>#N/A</v>
      </c>
      <c r="J220" t="e">
        <f>IF(INDEX( DATOS3!$1:$19996,A220,MATCH("Dose_RP_Total", DATOS3!$1:$1,0))=0,0,INDEX( DATOS3!$1:$19996,A220,MATCH("Dose_RP", DATOS3!$1:$1,0)))</f>
        <v>#N/A</v>
      </c>
      <c r="K220" t="e">
        <f>IF(INDEX( DATOS3!$1:$19996,A220,MATCH("Total_Fluoro_Time", DATOS3!$1:$1,0))=0,0,INDEX( DATOS3!$1:$19996,A220,MATCH("Total_Fluoro_Time", DATOS3!$1:$1,0)))</f>
        <v>#N/A</v>
      </c>
    </row>
    <row r="221" spans="1:11" hidden="1" x14ac:dyDescent="0.25">
      <c r="A221">
        <v>221</v>
      </c>
      <c r="B221" t="e">
        <f t="shared" si="6"/>
        <v>#N/A</v>
      </c>
      <c r="C221" t="e">
        <f t="shared" si="7"/>
        <v>#N/A</v>
      </c>
      <c r="D221" t="e">
        <f>IF(INDEX( DATOS3!$1:$19996,A221,MATCH("PatientID", DATOS3!$1:$1,0))=0,"",INDEX( DATOS3!$1:$19996,A221,MATCH("PatientID", DATOS3!$1:$1,0)))</f>
        <v>#N/A</v>
      </c>
      <c r="F221" t="e">
        <f>IF(INDEX( DATOS3!$1:$19996,A221,MATCH("SeriesDate", DATOS3!$1:$1,0))=0,"",INDEX( DATOS3!$1:$19996,A221,MATCH("SeriesDate", DATOS3!$1:$1,0)))</f>
        <v>#N/A</v>
      </c>
      <c r="G221" t="e">
        <f>IF(INDEX( DATOS3!$1:$19996,A221,MATCH("SeriesTime", DATOS3!$1:$1,0))=0,"",INDEX( DATOS3!$1:$19996,A221,MATCH("SeriesTime", DATOS3!$1:$1,0)))</f>
        <v>#N/A</v>
      </c>
      <c r="H221" t="e">
        <f>IF(INDEX( DATOS3!$1:$19996,A221,MATCH("StudyDescription", DATOS3!$1:$1,0))=0,"",INDEX( DATOS3!$1:$19996,A221,MATCH("StudyDescription", DATOS3!$1:$1,0)))</f>
        <v>#N/A</v>
      </c>
      <c r="I221" t="e">
        <f>IF(INDEX( DATOS3!$1:$19996,A221,MATCH("Dose_Area_Product_Total", DATOS3!$1:$1,0))=0,0,INDEX( DATOS3!$1:$19996,A221,MATCH("Dose_Area_Product", DATOS3!$1:$1,0)))</f>
        <v>#N/A</v>
      </c>
      <c r="J221" t="e">
        <f>IF(INDEX( DATOS3!$1:$19996,A221,MATCH("Dose_RP_Total", DATOS3!$1:$1,0))=0,0,INDEX( DATOS3!$1:$19996,A221,MATCH("Dose_RP", DATOS3!$1:$1,0)))</f>
        <v>#N/A</v>
      </c>
      <c r="K221" t="e">
        <f>IF(INDEX( DATOS3!$1:$19996,A221,MATCH("Total_Fluoro_Time", DATOS3!$1:$1,0))=0,0,INDEX( DATOS3!$1:$19996,A221,MATCH("Total_Fluoro_Time", DATOS3!$1:$1,0)))</f>
        <v>#N/A</v>
      </c>
    </row>
    <row r="222" spans="1:11" hidden="1" x14ac:dyDescent="0.25">
      <c r="A222">
        <v>222</v>
      </c>
      <c r="B222" t="e">
        <f t="shared" si="6"/>
        <v>#N/A</v>
      </c>
      <c r="C222" t="e">
        <f t="shared" si="7"/>
        <v>#N/A</v>
      </c>
      <c r="D222" t="e">
        <f>IF(INDEX( DATOS3!$1:$19996,A222,MATCH("PatientID", DATOS3!$1:$1,0))=0,"",INDEX( DATOS3!$1:$19996,A222,MATCH("PatientID", DATOS3!$1:$1,0)))</f>
        <v>#N/A</v>
      </c>
      <c r="F222" t="e">
        <f>IF(INDEX( DATOS3!$1:$19996,A222,MATCH("SeriesDate", DATOS3!$1:$1,0))=0,"",INDEX( DATOS3!$1:$19996,A222,MATCH("SeriesDate", DATOS3!$1:$1,0)))</f>
        <v>#N/A</v>
      </c>
      <c r="G222" t="e">
        <f>IF(INDEX( DATOS3!$1:$19996,A222,MATCH("SeriesTime", DATOS3!$1:$1,0))=0,"",INDEX( DATOS3!$1:$19996,A222,MATCH("SeriesTime", DATOS3!$1:$1,0)))</f>
        <v>#N/A</v>
      </c>
      <c r="H222" t="e">
        <f>IF(INDEX( DATOS3!$1:$19996,A222,MATCH("StudyDescription", DATOS3!$1:$1,0))=0,"",INDEX( DATOS3!$1:$19996,A222,MATCH("StudyDescription", DATOS3!$1:$1,0)))</f>
        <v>#N/A</v>
      </c>
      <c r="I222" t="e">
        <f>IF(INDEX( DATOS3!$1:$19996,A222,MATCH("Dose_Area_Product_Total", DATOS3!$1:$1,0))=0,0,INDEX( DATOS3!$1:$19996,A222,MATCH("Dose_Area_Product", DATOS3!$1:$1,0)))</f>
        <v>#N/A</v>
      </c>
      <c r="J222" t="e">
        <f>IF(INDEX( DATOS3!$1:$19996,A222,MATCH("Dose_RP_Total", DATOS3!$1:$1,0))=0,0,INDEX( DATOS3!$1:$19996,A222,MATCH("Dose_RP", DATOS3!$1:$1,0)))</f>
        <v>#N/A</v>
      </c>
      <c r="K222" t="e">
        <f>IF(INDEX( DATOS3!$1:$19996,A222,MATCH("Total_Fluoro_Time", DATOS3!$1:$1,0))=0,0,INDEX( DATOS3!$1:$19996,A222,MATCH("Total_Fluoro_Time", DATOS3!$1:$1,0)))</f>
        <v>#N/A</v>
      </c>
    </row>
    <row r="223" spans="1:11" hidden="1" x14ac:dyDescent="0.25">
      <c r="A223">
        <v>223</v>
      </c>
      <c r="B223" t="e">
        <f t="shared" si="6"/>
        <v>#N/A</v>
      </c>
      <c r="C223" t="e">
        <f t="shared" si="7"/>
        <v>#N/A</v>
      </c>
      <c r="D223" t="e">
        <f>IF(INDEX( DATOS3!$1:$19996,A223,MATCH("PatientID", DATOS3!$1:$1,0))=0,"",INDEX( DATOS3!$1:$19996,A223,MATCH("PatientID", DATOS3!$1:$1,0)))</f>
        <v>#N/A</v>
      </c>
      <c r="F223" t="e">
        <f>IF(INDEX( DATOS3!$1:$19996,A223,MATCH("SeriesDate", DATOS3!$1:$1,0))=0,"",INDEX( DATOS3!$1:$19996,A223,MATCH("SeriesDate", DATOS3!$1:$1,0)))</f>
        <v>#N/A</v>
      </c>
      <c r="G223" t="e">
        <f>IF(INDEX( DATOS3!$1:$19996,A223,MATCH("SeriesTime", DATOS3!$1:$1,0))=0,"",INDEX( DATOS3!$1:$19996,A223,MATCH("SeriesTime", DATOS3!$1:$1,0)))</f>
        <v>#N/A</v>
      </c>
      <c r="H223" t="e">
        <f>IF(INDEX( DATOS3!$1:$19996,A223,MATCH("StudyDescription", DATOS3!$1:$1,0))=0,"",INDEX( DATOS3!$1:$19996,A223,MATCH("StudyDescription", DATOS3!$1:$1,0)))</f>
        <v>#N/A</v>
      </c>
      <c r="I223" t="e">
        <f>IF(INDEX( DATOS3!$1:$19996,A223,MATCH("Dose_Area_Product_Total", DATOS3!$1:$1,0))=0,0,INDEX( DATOS3!$1:$19996,A223,MATCH("Dose_Area_Product", DATOS3!$1:$1,0)))</f>
        <v>#N/A</v>
      </c>
      <c r="J223" t="e">
        <f>IF(INDEX( DATOS3!$1:$19996,A223,MATCH("Dose_RP_Total", DATOS3!$1:$1,0))=0,0,INDEX( DATOS3!$1:$19996,A223,MATCH("Dose_RP", DATOS3!$1:$1,0)))</f>
        <v>#N/A</v>
      </c>
      <c r="K223" t="e">
        <f>IF(INDEX( DATOS3!$1:$19996,A223,MATCH("Total_Fluoro_Time", DATOS3!$1:$1,0))=0,0,INDEX( DATOS3!$1:$19996,A223,MATCH("Total_Fluoro_Time", DATOS3!$1:$1,0)))</f>
        <v>#N/A</v>
      </c>
    </row>
    <row r="224" spans="1:11" hidden="1" x14ac:dyDescent="0.25">
      <c r="A224">
        <v>224</v>
      </c>
      <c r="B224" t="e">
        <f t="shared" si="6"/>
        <v>#N/A</v>
      </c>
      <c r="C224" t="e">
        <f t="shared" si="7"/>
        <v>#N/A</v>
      </c>
      <c r="D224" t="e">
        <f>IF(INDEX( DATOS3!$1:$19996,A224,MATCH("PatientID", DATOS3!$1:$1,0))=0,"",INDEX( DATOS3!$1:$19996,A224,MATCH("PatientID", DATOS3!$1:$1,0)))</f>
        <v>#N/A</v>
      </c>
      <c r="F224" t="e">
        <f>IF(INDEX( DATOS3!$1:$19996,A224,MATCH("SeriesDate", DATOS3!$1:$1,0))=0,"",INDEX( DATOS3!$1:$19996,A224,MATCH("SeriesDate", DATOS3!$1:$1,0)))</f>
        <v>#N/A</v>
      </c>
      <c r="G224" t="e">
        <f>IF(INDEX( DATOS3!$1:$19996,A224,MATCH("SeriesTime", DATOS3!$1:$1,0))=0,"",INDEX( DATOS3!$1:$19996,A224,MATCH("SeriesTime", DATOS3!$1:$1,0)))</f>
        <v>#N/A</v>
      </c>
      <c r="H224" t="e">
        <f>IF(INDEX( DATOS3!$1:$19996,A224,MATCH("StudyDescription", DATOS3!$1:$1,0))=0,"",INDEX( DATOS3!$1:$19996,A224,MATCH("StudyDescription", DATOS3!$1:$1,0)))</f>
        <v>#N/A</v>
      </c>
      <c r="I224" t="e">
        <f>IF(INDEX( DATOS3!$1:$19996,A224,MATCH("Dose_Area_Product_Total", DATOS3!$1:$1,0))=0,0,INDEX( DATOS3!$1:$19996,A224,MATCH("Dose_Area_Product", DATOS3!$1:$1,0)))</f>
        <v>#N/A</v>
      </c>
      <c r="J224" t="e">
        <f>IF(INDEX( DATOS3!$1:$19996,A224,MATCH("Dose_RP_Total", DATOS3!$1:$1,0))=0,0,INDEX( DATOS3!$1:$19996,A224,MATCH("Dose_RP", DATOS3!$1:$1,0)))</f>
        <v>#N/A</v>
      </c>
      <c r="K224" t="e">
        <f>IF(INDEX( DATOS3!$1:$19996,A224,MATCH("Total_Fluoro_Time", DATOS3!$1:$1,0))=0,0,INDEX( DATOS3!$1:$19996,A224,MATCH("Total_Fluoro_Time", DATOS3!$1:$1,0)))</f>
        <v>#N/A</v>
      </c>
    </row>
    <row r="225" spans="1:11" hidden="1" x14ac:dyDescent="0.25">
      <c r="A225">
        <v>225</v>
      </c>
      <c r="B225" t="e">
        <f t="shared" si="6"/>
        <v>#N/A</v>
      </c>
      <c r="C225" t="e">
        <f t="shared" si="7"/>
        <v>#N/A</v>
      </c>
      <c r="D225" t="e">
        <f>IF(INDEX( DATOS3!$1:$19996,A225,MATCH("PatientID", DATOS3!$1:$1,0))=0,"",INDEX( DATOS3!$1:$19996,A225,MATCH("PatientID", DATOS3!$1:$1,0)))</f>
        <v>#N/A</v>
      </c>
      <c r="F225" t="e">
        <f>IF(INDEX( DATOS3!$1:$19996,A225,MATCH("SeriesDate", DATOS3!$1:$1,0))=0,"",INDEX( DATOS3!$1:$19996,A225,MATCH("SeriesDate", DATOS3!$1:$1,0)))</f>
        <v>#N/A</v>
      </c>
      <c r="G225" t="e">
        <f>IF(INDEX( DATOS3!$1:$19996,A225,MATCH("SeriesTime", DATOS3!$1:$1,0))=0,"",INDEX( DATOS3!$1:$19996,A225,MATCH("SeriesTime", DATOS3!$1:$1,0)))</f>
        <v>#N/A</v>
      </c>
      <c r="H225" t="e">
        <f>IF(INDEX( DATOS3!$1:$19996,A225,MATCH("StudyDescription", DATOS3!$1:$1,0))=0,"",INDEX( DATOS3!$1:$19996,A225,MATCH("StudyDescription", DATOS3!$1:$1,0)))</f>
        <v>#N/A</v>
      </c>
      <c r="I225" t="e">
        <f>IF(INDEX( DATOS3!$1:$19996,A225,MATCH("Dose_Area_Product_Total", DATOS3!$1:$1,0))=0,0,INDEX( DATOS3!$1:$19996,A225,MATCH("Dose_Area_Product", DATOS3!$1:$1,0)))</f>
        <v>#N/A</v>
      </c>
      <c r="J225" t="e">
        <f>IF(INDEX( DATOS3!$1:$19996,A225,MATCH("Dose_RP_Total", DATOS3!$1:$1,0))=0,0,INDEX( DATOS3!$1:$19996,A225,MATCH("Dose_RP", DATOS3!$1:$1,0)))</f>
        <v>#N/A</v>
      </c>
      <c r="K225" t="e">
        <f>IF(INDEX( DATOS3!$1:$19996,A225,MATCH("Total_Fluoro_Time", DATOS3!$1:$1,0))=0,0,INDEX( DATOS3!$1:$19996,A225,MATCH("Total_Fluoro_Time", DATOS3!$1:$1,0)))</f>
        <v>#N/A</v>
      </c>
    </row>
    <row r="226" spans="1:11" hidden="1" x14ac:dyDescent="0.25">
      <c r="A226">
        <v>226</v>
      </c>
      <c r="B226" t="e">
        <f t="shared" si="6"/>
        <v>#N/A</v>
      </c>
      <c r="C226" t="e">
        <f t="shared" si="7"/>
        <v>#N/A</v>
      </c>
      <c r="D226" t="e">
        <f>IF(INDEX( DATOS3!$1:$19996,A226,MATCH("PatientID", DATOS3!$1:$1,0))=0,"",INDEX( DATOS3!$1:$19996,A226,MATCH("PatientID", DATOS3!$1:$1,0)))</f>
        <v>#N/A</v>
      </c>
      <c r="F226" t="e">
        <f>IF(INDEX( DATOS3!$1:$19996,A226,MATCH("SeriesDate", DATOS3!$1:$1,0))=0,"",INDEX( DATOS3!$1:$19996,A226,MATCH("SeriesDate", DATOS3!$1:$1,0)))</f>
        <v>#N/A</v>
      </c>
      <c r="G226" t="e">
        <f>IF(INDEX( DATOS3!$1:$19996,A226,MATCH("SeriesTime", DATOS3!$1:$1,0))=0,"",INDEX( DATOS3!$1:$19996,A226,MATCH("SeriesTime", DATOS3!$1:$1,0)))</f>
        <v>#N/A</v>
      </c>
      <c r="H226" t="e">
        <f>IF(INDEX( DATOS3!$1:$19996,A226,MATCH("StudyDescription", DATOS3!$1:$1,0))=0,"",INDEX( DATOS3!$1:$19996,A226,MATCH("StudyDescription", DATOS3!$1:$1,0)))</f>
        <v>#N/A</v>
      </c>
      <c r="I226" t="e">
        <f>IF(INDEX( DATOS3!$1:$19996,A226,MATCH("Dose_Area_Product_Total", DATOS3!$1:$1,0))=0,0,INDEX( DATOS3!$1:$19996,A226,MATCH("Dose_Area_Product", DATOS3!$1:$1,0)))</f>
        <v>#N/A</v>
      </c>
      <c r="J226" t="e">
        <f>IF(INDEX( DATOS3!$1:$19996,A226,MATCH("Dose_RP_Total", DATOS3!$1:$1,0))=0,0,INDEX( DATOS3!$1:$19996,A226,MATCH("Dose_RP", DATOS3!$1:$1,0)))</f>
        <v>#N/A</v>
      </c>
      <c r="K226" t="e">
        <f>IF(INDEX( DATOS3!$1:$19996,A226,MATCH("Total_Fluoro_Time", DATOS3!$1:$1,0))=0,0,INDEX( DATOS3!$1:$19996,A226,MATCH("Total_Fluoro_Time", DATOS3!$1:$1,0)))</f>
        <v>#N/A</v>
      </c>
    </row>
    <row r="227" spans="1:11" hidden="1" x14ac:dyDescent="0.25">
      <c r="A227">
        <v>227</v>
      </c>
      <c r="B227" t="e">
        <f t="shared" si="6"/>
        <v>#N/A</v>
      </c>
      <c r="C227" t="e">
        <f t="shared" si="7"/>
        <v>#N/A</v>
      </c>
      <c r="D227" t="e">
        <f>IF(INDEX( DATOS3!$1:$19996,A227,MATCH("PatientID", DATOS3!$1:$1,0))=0,"",INDEX( DATOS3!$1:$19996,A227,MATCH("PatientID", DATOS3!$1:$1,0)))</f>
        <v>#N/A</v>
      </c>
      <c r="F227" t="e">
        <f>IF(INDEX( DATOS3!$1:$19996,A227,MATCH("SeriesDate", DATOS3!$1:$1,0))=0,"",INDEX( DATOS3!$1:$19996,A227,MATCH("SeriesDate", DATOS3!$1:$1,0)))</f>
        <v>#N/A</v>
      </c>
      <c r="G227" t="e">
        <f>IF(INDEX( DATOS3!$1:$19996,A227,MATCH("SeriesTime", DATOS3!$1:$1,0))=0,"",INDEX( DATOS3!$1:$19996,A227,MATCH("SeriesTime", DATOS3!$1:$1,0)))</f>
        <v>#N/A</v>
      </c>
      <c r="H227" t="e">
        <f>IF(INDEX( DATOS3!$1:$19996,A227,MATCH("StudyDescription", DATOS3!$1:$1,0))=0,"",INDEX( DATOS3!$1:$19996,A227,MATCH("StudyDescription", DATOS3!$1:$1,0)))</f>
        <v>#N/A</v>
      </c>
      <c r="I227" t="e">
        <f>IF(INDEX( DATOS3!$1:$19996,A227,MATCH("Dose_Area_Product_Total", DATOS3!$1:$1,0))=0,0,INDEX( DATOS3!$1:$19996,A227,MATCH("Dose_Area_Product", DATOS3!$1:$1,0)))</f>
        <v>#N/A</v>
      </c>
      <c r="J227" t="e">
        <f>IF(INDEX( DATOS3!$1:$19996,A227,MATCH("Dose_RP_Total", DATOS3!$1:$1,0))=0,0,INDEX( DATOS3!$1:$19996,A227,MATCH("Dose_RP", DATOS3!$1:$1,0)))</f>
        <v>#N/A</v>
      </c>
      <c r="K227" t="e">
        <f>IF(INDEX( DATOS3!$1:$19996,A227,MATCH("Total_Fluoro_Time", DATOS3!$1:$1,0))=0,0,INDEX( DATOS3!$1:$19996,A227,MATCH("Total_Fluoro_Time", DATOS3!$1:$1,0)))</f>
        <v>#N/A</v>
      </c>
    </row>
    <row r="228" spans="1:11" hidden="1" x14ac:dyDescent="0.25">
      <c r="A228">
        <v>228</v>
      </c>
      <c r="B228" t="e">
        <f t="shared" si="6"/>
        <v>#N/A</v>
      </c>
      <c r="C228" t="e">
        <f t="shared" si="7"/>
        <v>#N/A</v>
      </c>
      <c r="D228" t="e">
        <f>IF(INDEX( DATOS3!$1:$19996,A228,MATCH("PatientID", DATOS3!$1:$1,0))=0,"",INDEX( DATOS3!$1:$19996,A228,MATCH("PatientID", DATOS3!$1:$1,0)))</f>
        <v>#N/A</v>
      </c>
      <c r="F228" t="e">
        <f>IF(INDEX( DATOS3!$1:$19996,A228,MATCH("SeriesDate", DATOS3!$1:$1,0))=0,"",INDEX( DATOS3!$1:$19996,A228,MATCH("SeriesDate", DATOS3!$1:$1,0)))</f>
        <v>#N/A</v>
      </c>
      <c r="G228" t="e">
        <f>IF(INDEX( DATOS3!$1:$19996,A228,MATCH("SeriesTime", DATOS3!$1:$1,0))=0,"",INDEX( DATOS3!$1:$19996,A228,MATCH("SeriesTime", DATOS3!$1:$1,0)))</f>
        <v>#N/A</v>
      </c>
      <c r="H228" t="e">
        <f>IF(INDEX( DATOS3!$1:$19996,A228,MATCH("StudyDescription", DATOS3!$1:$1,0))=0,"",INDEX( DATOS3!$1:$19996,A228,MATCH("StudyDescription", DATOS3!$1:$1,0)))</f>
        <v>#N/A</v>
      </c>
      <c r="I228" t="e">
        <f>IF(INDEX( DATOS3!$1:$19996,A228,MATCH("Dose_Area_Product_Total", DATOS3!$1:$1,0))=0,0,INDEX( DATOS3!$1:$19996,A228,MATCH("Dose_Area_Product", DATOS3!$1:$1,0)))</f>
        <v>#N/A</v>
      </c>
      <c r="J228" t="e">
        <f>IF(INDEX( DATOS3!$1:$19996,A228,MATCH("Dose_RP_Total", DATOS3!$1:$1,0))=0,0,INDEX( DATOS3!$1:$19996,A228,MATCH("Dose_RP", DATOS3!$1:$1,0)))</f>
        <v>#N/A</v>
      </c>
      <c r="K228" t="e">
        <f>IF(INDEX( DATOS3!$1:$19996,A228,MATCH("Total_Fluoro_Time", DATOS3!$1:$1,0))=0,0,INDEX( DATOS3!$1:$19996,A228,MATCH("Total_Fluoro_Time", DATOS3!$1:$1,0)))</f>
        <v>#N/A</v>
      </c>
    </row>
    <row r="229" spans="1:11" hidden="1" x14ac:dyDescent="0.25">
      <c r="A229">
        <v>229</v>
      </c>
      <c r="B229" t="e">
        <f t="shared" si="6"/>
        <v>#N/A</v>
      </c>
      <c r="C229" t="e">
        <f t="shared" si="7"/>
        <v>#N/A</v>
      </c>
      <c r="D229" t="e">
        <f>IF(INDEX( DATOS3!$1:$19996,A229,MATCH("PatientID", DATOS3!$1:$1,0))=0,"",INDEX( DATOS3!$1:$19996,A229,MATCH("PatientID", DATOS3!$1:$1,0)))</f>
        <v>#N/A</v>
      </c>
      <c r="F229" t="e">
        <f>IF(INDEX( DATOS3!$1:$19996,A229,MATCH("SeriesDate", DATOS3!$1:$1,0))=0,"",INDEX( DATOS3!$1:$19996,A229,MATCH("SeriesDate", DATOS3!$1:$1,0)))</f>
        <v>#N/A</v>
      </c>
      <c r="G229" t="e">
        <f>IF(INDEX( DATOS3!$1:$19996,A229,MATCH("SeriesTime", DATOS3!$1:$1,0))=0,"",INDEX( DATOS3!$1:$19996,A229,MATCH("SeriesTime", DATOS3!$1:$1,0)))</f>
        <v>#N/A</v>
      </c>
      <c r="H229" t="e">
        <f>IF(INDEX( DATOS3!$1:$19996,A229,MATCH("StudyDescription", DATOS3!$1:$1,0))=0,"",INDEX( DATOS3!$1:$19996,A229,MATCH("StudyDescription", DATOS3!$1:$1,0)))</f>
        <v>#N/A</v>
      </c>
      <c r="I229" t="e">
        <f>IF(INDEX( DATOS3!$1:$19996,A229,MATCH("Dose_Area_Product_Total", DATOS3!$1:$1,0))=0,0,INDEX( DATOS3!$1:$19996,A229,MATCH("Dose_Area_Product", DATOS3!$1:$1,0)))</f>
        <v>#N/A</v>
      </c>
      <c r="J229" t="e">
        <f>IF(INDEX( DATOS3!$1:$19996,A229,MATCH("Dose_RP_Total", DATOS3!$1:$1,0))=0,0,INDEX( DATOS3!$1:$19996,A229,MATCH("Dose_RP", DATOS3!$1:$1,0)))</f>
        <v>#N/A</v>
      </c>
      <c r="K229" t="e">
        <f>IF(INDEX( DATOS3!$1:$19996,A229,MATCH("Total_Fluoro_Time", DATOS3!$1:$1,0))=0,0,INDEX( DATOS3!$1:$19996,A229,MATCH("Total_Fluoro_Time", DATOS3!$1:$1,0)))</f>
        <v>#N/A</v>
      </c>
    </row>
    <row r="230" spans="1:11" hidden="1" x14ac:dyDescent="0.25">
      <c r="A230">
        <v>230</v>
      </c>
      <c r="B230" t="e">
        <f t="shared" si="6"/>
        <v>#N/A</v>
      </c>
      <c r="C230" t="e">
        <f t="shared" si="7"/>
        <v>#N/A</v>
      </c>
      <c r="D230" t="e">
        <f>IF(INDEX( DATOS3!$1:$19996,A230,MATCH("PatientID", DATOS3!$1:$1,0))=0,"",INDEX( DATOS3!$1:$19996,A230,MATCH("PatientID", DATOS3!$1:$1,0)))</f>
        <v>#N/A</v>
      </c>
      <c r="F230" t="e">
        <f>IF(INDEX( DATOS3!$1:$19996,A230,MATCH("SeriesDate", DATOS3!$1:$1,0))=0,"",INDEX( DATOS3!$1:$19996,A230,MATCH("SeriesDate", DATOS3!$1:$1,0)))</f>
        <v>#N/A</v>
      </c>
      <c r="G230" t="e">
        <f>IF(INDEX( DATOS3!$1:$19996,A230,MATCH("SeriesTime", DATOS3!$1:$1,0))=0,"",INDEX( DATOS3!$1:$19996,A230,MATCH("SeriesTime", DATOS3!$1:$1,0)))</f>
        <v>#N/A</v>
      </c>
      <c r="H230" t="e">
        <f>IF(INDEX( DATOS3!$1:$19996,A230,MATCH("StudyDescription", DATOS3!$1:$1,0))=0,"",INDEX( DATOS3!$1:$19996,A230,MATCH("StudyDescription", DATOS3!$1:$1,0)))</f>
        <v>#N/A</v>
      </c>
      <c r="I230" t="e">
        <f>IF(INDEX( DATOS3!$1:$19996,A230,MATCH("Dose_Area_Product_Total", DATOS3!$1:$1,0))=0,0,INDEX( DATOS3!$1:$19996,A230,MATCH("Dose_Area_Product", DATOS3!$1:$1,0)))</f>
        <v>#N/A</v>
      </c>
      <c r="J230" t="e">
        <f>IF(INDEX( DATOS3!$1:$19996,A230,MATCH("Dose_RP_Total", DATOS3!$1:$1,0))=0,0,INDEX( DATOS3!$1:$19996,A230,MATCH("Dose_RP", DATOS3!$1:$1,0)))</f>
        <v>#N/A</v>
      </c>
      <c r="K230" t="e">
        <f>IF(INDEX( DATOS3!$1:$19996,A230,MATCH("Total_Fluoro_Time", DATOS3!$1:$1,0))=0,0,INDEX( DATOS3!$1:$19996,A230,MATCH("Total_Fluoro_Time", DATOS3!$1:$1,0)))</f>
        <v>#N/A</v>
      </c>
    </row>
    <row r="231" spans="1:11" hidden="1" x14ac:dyDescent="0.25">
      <c r="A231">
        <v>231</v>
      </c>
      <c r="B231" t="e">
        <f t="shared" si="6"/>
        <v>#N/A</v>
      </c>
      <c r="C231" t="e">
        <f t="shared" si="7"/>
        <v>#N/A</v>
      </c>
      <c r="D231" t="e">
        <f>IF(INDEX( DATOS3!$1:$19996,A231,MATCH("PatientID", DATOS3!$1:$1,0))=0,"",INDEX( DATOS3!$1:$19996,A231,MATCH("PatientID", DATOS3!$1:$1,0)))</f>
        <v>#N/A</v>
      </c>
      <c r="F231" t="e">
        <f>IF(INDEX( DATOS3!$1:$19996,A231,MATCH("SeriesDate", DATOS3!$1:$1,0))=0,"",INDEX( DATOS3!$1:$19996,A231,MATCH("SeriesDate", DATOS3!$1:$1,0)))</f>
        <v>#N/A</v>
      </c>
      <c r="G231" t="e">
        <f>IF(INDEX( DATOS3!$1:$19996,A231,MATCH("SeriesTime", DATOS3!$1:$1,0))=0,"",INDEX( DATOS3!$1:$19996,A231,MATCH("SeriesTime", DATOS3!$1:$1,0)))</f>
        <v>#N/A</v>
      </c>
      <c r="H231" t="e">
        <f>IF(INDEX( DATOS3!$1:$19996,A231,MATCH("StudyDescription", DATOS3!$1:$1,0))=0,"",INDEX( DATOS3!$1:$19996,A231,MATCH("StudyDescription", DATOS3!$1:$1,0)))</f>
        <v>#N/A</v>
      </c>
      <c r="I231" t="e">
        <f>IF(INDEX( DATOS3!$1:$19996,A231,MATCH("Dose_Area_Product_Total", DATOS3!$1:$1,0))=0,0,INDEX( DATOS3!$1:$19996,A231,MATCH("Dose_Area_Product", DATOS3!$1:$1,0)))</f>
        <v>#N/A</v>
      </c>
      <c r="J231" t="e">
        <f>IF(INDEX( DATOS3!$1:$19996,A231,MATCH("Dose_RP_Total", DATOS3!$1:$1,0))=0,0,INDEX( DATOS3!$1:$19996,A231,MATCH("Dose_RP", DATOS3!$1:$1,0)))</f>
        <v>#N/A</v>
      </c>
      <c r="K231" t="e">
        <f>IF(INDEX( DATOS3!$1:$19996,A231,MATCH("Total_Fluoro_Time", DATOS3!$1:$1,0))=0,0,INDEX( DATOS3!$1:$19996,A231,MATCH("Total_Fluoro_Time", DATOS3!$1:$1,0)))</f>
        <v>#N/A</v>
      </c>
    </row>
    <row r="232" spans="1:11" hidden="1" x14ac:dyDescent="0.25">
      <c r="A232">
        <v>232</v>
      </c>
      <c r="B232" t="e">
        <f t="shared" si="6"/>
        <v>#N/A</v>
      </c>
      <c r="C232" t="e">
        <f t="shared" si="7"/>
        <v>#N/A</v>
      </c>
      <c r="D232" t="e">
        <f>IF(INDEX( DATOS3!$1:$19996,A232,MATCH("PatientID", DATOS3!$1:$1,0))=0,"",INDEX( DATOS3!$1:$19996,A232,MATCH("PatientID", DATOS3!$1:$1,0)))</f>
        <v>#N/A</v>
      </c>
      <c r="F232" t="e">
        <f>IF(INDEX( DATOS3!$1:$19996,A232,MATCH("SeriesDate", DATOS3!$1:$1,0))=0,"",INDEX( DATOS3!$1:$19996,A232,MATCH("SeriesDate", DATOS3!$1:$1,0)))</f>
        <v>#N/A</v>
      </c>
      <c r="G232" t="e">
        <f>IF(INDEX( DATOS3!$1:$19996,A232,MATCH("SeriesTime", DATOS3!$1:$1,0))=0,"",INDEX( DATOS3!$1:$19996,A232,MATCH("SeriesTime", DATOS3!$1:$1,0)))</f>
        <v>#N/A</v>
      </c>
      <c r="H232" t="e">
        <f>IF(INDEX( DATOS3!$1:$19996,A232,MATCH("StudyDescription", DATOS3!$1:$1,0))=0,"",INDEX( DATOS3!$1:$19996,A232,MATCH("StudyDescription", DATOS3!$1:$1,0)))</f>
        <v>#N/A</v>
      </c>
      <c r="I232" t="e">
        <f>IF(INDEX( DATOS3!$1:$19996,A232,MATCH("Dose_Area_Product_Total", DATOS3!$1:$1,0))=0,0,INDEX( DATOS3!$1:$19996,A232,MATCH("Dose_Area_Product", DATOS3!$1:$1,0)))</f>
        <v>#N/A</v>
      </c>
      <c r="J232" t="e">
        <f>IF(INDEX( DATOS3!$1:$19996,A232,MATCH("Dose_RP_Total", DATOS3!$1:$1,0))=0,0,INDEX( DATOS3!$1:$19996,A232,MATCH("Dose_RP", DATOS3!$1:$1,0)))</f>
        <v>#N/A</v>
      </c>
      <c r="K232" t="e">
        <f>IF(INDEX( DATOS3!$1:$19996,A232,MATCH("Total_Fluoro_Time", DATOS3!$1:$1,0))=0,0,INDEX( DATOS3!$1:$19996,A232,MATCH("Total_Fluoro_Time", DATOS3!$1:$1,0)))</f>
        <v>#N/A</v>
      </c>
    </row>
    <row r="233" spans="1:11" hidden="1" x14ac:dyDescent="0.25">
      <c r="A233">
        <v>233</v>
      </c>
      <c r="B233" t="e">
        <f t="shared" si="6"/>
        <v>#N/A</v>
      </c>
      <c r="C233" t="e">
        <f t="shared" si="7"/>
        <v>#N/A</v>
      </c>
      <c r="D233" t="e">
        <f>IF(INDEX( DATOS3!$1:$19996,A233,MATCH("PatientID", DATOS3!$1:$1,0))=0,"",INDEX( DATOS3!$1:$19996,A233,MATCH("PatientID", DATOS3!$1:$1,0)))</f>
        <v>#N/A</v>
      </c>
      <c r="F233" t="e">
        <f>IF(INDEX( DATOS3!$1:$19996,A233,MATCH("SeriesDate", DATOS3!$1:$1,0))=0,"",INDEX( DATOS3!$1:$19996,A233,MATCH("SeriesDate", DATOS3!$1:$1,0)))</f>
        <v>#N/A</v>
      </c>
      <c r="G233" t="e">
        <f>IF(INDEX( DATOS3!$1:$19996,A233,MATCH("SeriesTime", DATOS3!$1:$1,0))=0,"",INDEX( DATOS3!$1:$19996,A233,MATCH("SeriesTime", DATOS3!$1:$1,0)))</f>
        <v>#N/A</v>
      </c>
      <c r="H233" t="e">
        <f>IF(INDEX( DATOS3!$1:$19996,A233,MATCH("StudyDescription", DATOS3!$1:$1,0))=0,"",INDEX( DATOS3!$1:$19996,A233,MATCH("StudyDescription", DATOS3!$1:$1,0)))</f>
        <v>#N/A</v>
      </c>
      <c r="I233" t="e">
        <f>IF(INDEX( DATOS3!$1:$19996,A233,MATCH("Dose_Area_Product_Total", DATOS3!$1:$1,0))=0,0,INDEX( DATOS3!$1:$19996,A233,MATCH("Dose_Area_Product", DATOS3!$1:$1,0)))</f>
        <v>#N/A</v>
      </c>
      <c r="J233" t="e">
        <f>IF(INDEX( DATOS3!$1:$19996,A233,MATCH("Dose_RP_Total", DATOS3!$1:$1,0))=0,0,INDEX( DATOS3!$1:$19996,A233,MATCH("Dose_RP", DATOS3!$1:$1,0)))</f>
        <v>#N/A</v>
      </c>
      <c r="K233" t="e">
        <f>IF(INDEX( DATOS3!$1:$19996,A233,MATCH("Total_Fluoro_Time", DATOS3!$1:$1,0))=0,0,INDEX( DATOS3!$1:$19996,A233,MATCH("Total_Fluoro_Time", DATOS3!$1:$1,0)))</f>
        <v>#N/A</v>
      </c>
    </row>
    <row r="234" spans="1:11" hidden="1" x14ac:dyDescent="0.25">
      <c r="A234">
        <v>234</v>
      </c>
      <c r="B234" t="e">
        <f t="shared" si="6"/>
        <v>#N/A</v>
      </c>
      <c r="C234" t="e">
        <f t="shared" si="7"/>
        <v>#N/A</v>
      </c>
      <c r="D234" t="e">
        <f>IF(INDEX( DATOS3!$1:$19996,A234,MATCH("PatientID", DATOS3!$1:$1,0))=0,"",INDEX( DATOS3!$1:$19996,A234,MATCH("PatientID", DATOS3!$1:$1,0)))</f>
        <v>#N/A</v>
      </c>
      <c r="F234" t="e">
        <f>IF(INDEX( DATOS3!$1:$19996,A234,MATCH("SeriesDate", DATOS3!$1:$1,0))=0,"",INDEX( DATOS3!$1:$19996,A234,MATCH("SeriesDate", DATOS3!$1:$1,0)))</f>
        <v>#N/A</v>
      </c>
      <c r="G234" t="e">
        <f>IF(INDEX( DATOS3!$1:$19996,A234,MATCH("SeriesTime", DATOS3!$1:$1,0))=0,"",INDEX( DATOS3!$1:$19996,A234,MATCH("SeriesTime", DATOS3!$1:$1,0)))</f>
        <v>#N/A</v>
      </c>
      <c r="H234" t="e">
        <f>IF(INDEX( DATOS3!$1:$19996,A234,MATCH("StudyDescription", DATOS3!$1:$1,0))=0,"",INDEX( DATOS3!$1:$19996,A234,MATCH("StudyDescription", DATOS3!$1:$1,0)))</f>
        <v>#N/A</v>
      </c>
      <c r="I234" t="e">
        <f>IF(INDEX( DATOS3!$1:$19996,A234,MATCH("Dose_Area_Product_Total", DATOS3!$1:$1,0))=0,0,INDEX( DATOS3!$1:$19996,A234,MATCH("Dose_Area_Product", DATOS3!$1:$1,0)))</f>
        <v>#N/A</v>
      </c>
      <c r="J234" t="e">
        <f>IF(INDEX( DATOS3!$1:$19996,A234,MATCH("Dose_RP_Total", DATOS3!$1:$1,0))=0,0,INDEX( DATOS3!$1:$19996,A234,MATCH("Dose_RP", DATOS3!$1:$1,0)))</f>
        <v>#N/A</v>
      </c>
      <c r="K234" t="e">
        <f>IF(INDEX( DATOS3!$1:$19996,A234,MATCH("Total_Fluoro_Time", DATOS3!$1:$1,0))=0,0,INDEX( DATOS3!$1:$19996,A234,MATCH("Total_Fluoro_Time", DATOS3!$1:$1,0)))</f>
        <v>#N/A</v>
      </c>
    </row>
    <row r="235" spans="1:11" hidden="1" x14ac:dyDescent="0.25">
      <c r="A235">
        <v>235</v>
      </c>
      <c r="B235" t="e">
        <f t="shared" si="6"/>
        <v>#N/A</v>
      </c>
      <c r="C235" t="e">
        <f t="shared" si="7"/>
        <v>#N/A</v>
      </c>
      <c r="D235" t="e">
        <f>IF(INDEX( DATOS3!$1:$19996,A235,MATCH("PatientID", DATOS3!$1:$1,0))=0,"",INDEX( DATOS3!$1:$19996,A235,MATCH("PatientID", DATOS3!$1:$1,0)))</f>
        <v>#N/A</v>
      </c>
      <c r="F235" t="e">
        <f>IF(INDEX( DATOS3!$1:$19996,A235,MATCH("SeriesDate", DATOS3!$1:$1,0))=0,"",INDEX( DATOS3!$1:$19996,A235,MATCH("SeriesDate", DATOS3!$1:$1,0)))</f>
        <v>#N/A</v>
      </c>
      <c r="G235" t="e">
        <f>IF(INDEX( DATOS3!$1:$19996,A235,MATCH("SeriesTime", DATOS3!$1:$1,0))=0,"",INDEX( DATOS3!$1:$19996,A235,MATCH("SeriesTime", DATOS3!$1:$1,0)))</f>
        <v>#N/A</v>
      </c>
      <c r="H235" t="e">
        <f>IF(INDEX( DATOS3!$1:$19996,A235,MATCH("StudyDescription", DATOS3!$1:$1,0))=0,"",INDEX( DATOS3!$1:$19996,A235,MATCH("StudyDescription", DATOS3!$1:$1,0)))</f>
        <v>#N/A</v>
      </c>
      <c r="I235" t="e">
        <f>IF(INDEX( DATOS3!$1:$19996,A235,MATCH("Dose_Area_Product_Total", DATOS3!$1:$1,0))=0,0,INDEX( DATOS3!$1:$19996,A235,MATCH("Dose_Area_Product", DATOS3!$1:$1,0)))</f>
        <v>#N/A</v>
      </c>
      <c r="J235" t="e">
        <f>IF(INDEX( DATOS3!$1:$19996,A235,MATCH("Dose_RP_Total", DATOS3!$1:$1,0))=0,0,INDEX( DATOS3!$1:$19996,A235,MATCH("Dose_RP", DATOS3!$1:$1,0)))</f>
        <v>#N/A</v>
      </c>
      <c r="K235" t="e">
        <f>IF(INDEX( DATOS3!$1:$19996,A235,MATCH("Total_Fluoro_Time", DATOS3!$1:$1,0))=0,0,INDEX( DATOS3!$1:$19996,A235,MATCH("Total_Fluoro_Time", DATOS3!$1:$1,0)))</f>
        <v>#N/A</v>
      </c>
    </row>
    <row r="236" spans="1:11" hidden="1" x14ac:dyDescent="0.25">
      <c r="A236">
        <v>236</v>
      </c>
      <c r="B236" t="e">
        <f t="shared" si="6"/>
        <v>#N/A</v>
      </c>
      <c r="C236" t="e">
        <f t="shared" si="7"/>
        <v>#N/A</v>
      </c>
      <c r="D236" t="e">
        <f>IF(INDEX( DATOS3!$1:$19996,A236,MATCH("PatientID", DATOS3!$1:$1,0))=0,"",INDEX( DATOS3!$1:$19996,A236,MATCH("PatientID", DATOS3!$1:$1,0)))</f>
        <v>#N/A</v>
      </c>
      <c r="F236" t="e">
        <f>IF(INDEX( DATOS3!$1:$19996,A236,MATCH("SeriesDate", DATOS3!$1:$1,0))=0,"",INDEX( DATOS3!$1:$19996,A236,MATCH("SeriesDate", DATOS3!$1:$1,0)))</f>
        <v>#N/A</v>
      </c>
      <c r="G236" t="e">
        <f>IF(INDEX( DATOS3!$1:$19996,A236,MATCH("SeriesTime", DATOS3!$1:$1,0))=0,"",INDEX( DATOS3!$1:$19996,A236,MATCH("SeriesTime", DATOS3!$1:$1,0)))</f>
        <v>#N/A</v>
      </c>
      <c r="H236" t="e">
        <f>IF(INDEX( DATOS3!$1:$19996,A236,MATCH("StudyDescription", DATOS3!$1:$1,0))=0,"",INDEX( DATOS3!$1:$19996,A236,MATCH("StudyDescription", DATOS3!$1:$1,0)))</f>
        <v>#N/A</v>
      </c>
      <c r="I236" t="e">
        <f>IF(INDEX( DATOS3!$1:$19996,A236,MATCH("Dose_Area_Product_Total", DATOS3!$1:$1,0))=0,0,INDEX( DATOS3!$1:$19996,A236,MATCH("Dose_Area_Product", DATOS3!$1:$1,0)))</f>
        <v>#N/A</v>
      </c>
      <c r="J236" t="e">
        <f>IF(INDEX( DATOS3!$1:$19996,A236,MATCH("Dose_RP_Total", DATOS3!$1:$1,0))=0,0,INDEX( DATOS3!$1:$19996,A236,MATCH("Dose_RP", DATOS3!$1:$1,0)))</f>
        <v>#N/A</v>
      </c>
      <c r="K236" t="e">
        <f>IF(INDEX( DATOS3!$1:$19996,A236,MATCH("Total_Fluoro_Time", DATOS3!$1:$1,0))=0,0,INDEX( DATOS3!$1:$19996,A236,MATCH("Total_Fluoro_Time", DATOS3!$1:$1,0)))</f>
        <v>#N/A</v>
      </c>
    </row>
    <row r="237" spans="1:11" hidden="1" x14ac:dyDescent="0.25">
      <c r="A237">
        <v>237</v>
      </c>
      <c r="B237" t="e">
        <f t="shared" si="6"/>
        <v>#N/A</v>
      </c>
      <c r="C237" t="e">
        <f t="shared" si="7"/>
        <v>#N/A</v>
      </c>
      <c r="D237" t="e">
        <f>IF(INDEX( DATOS3!$1:$19996,A237,MATCH("PatientID", DATOS3!$1:$1,0))=0,"",INDEX( DATOS3!$1:$19996,A237,MATCH("PatientID", DATOS3!$1:$1,0)))</f>
        <v>#N/A</v>
      </c>
      <c r="F237" t="e">
        <f>IF(INDEX( DATOS3!$1:$19996,A237,MATCH("SeriesDate", DATOS3!$1:$1,0))=0,"",INDEX( DATOS3!$1:$19996,A237,MATCH("SeriesDate", DATOS3!$1:$1,0)))</f>
        <v>#N/A</v>
      </c>
      <c r="G237" t="e">
        <f>IF(INDEX( DATOS3!$1:$19996,A237,MATCH("SeriesTime", DATOS3!$1:$1,0))=0,"",INDEX( DATOS3!$1:$19996,A237,MATCH("SeriesTime", DATOS3!$1:$1,0)))</f>
        <v>#N/A</v>
      </c>
      <c r="H237" t="e">
        <f>IF(INDEX( DATOS3!$1:$19996,A237,MATCH("StudyDescription", DATOS3!$1:$1,0))=0,"",INDEX( DATOS3!$1:$19996,A237,MATCH("StudyDescription", DATOS3!$1:$1,0)))</f>
        <v>#N/A</v>
      </c>
      <c r="I237" t="e">
        <f>IF(INDEX( DATOS3!$1:$19996,A237,MATCH("Dose_Area_Product_Total", DATOS3!$1:$1,0))=0,0,INDEX( DATOS3!$1:$19996,A237,MATCH("Dose_Area_Product", DATOS3!$1:$1,0)))</f>
        <v>#N/A</v>
      </c>
      <c r="J237" t="e">
        <f>IF(INDEX( DATOS3!$1:$19996,A237,MATCH("Dose_RP_Total", DATOS3!$1:$1,0))=0,0,INDEX( DATOS3!$1:$19996,A237,MATCH("Dose_RP", DATOS3!$1:$1,0)))</f>
        <v>#N/A</v>
      </c>
      <c r="K237" t="e">
        <f>IF(INDEX( DATOS3!$1:$19996,A237,MATCH("Total_Fluoro_Time", DATOS3!$1:$1,0))=0,0,INDEX( DATOS3!$1:$19996,A237,MATCH("Total_Fluoro_Time", DATOS3!$1:$1,0)))</f>
        <v>#N/A</v>
      </c>
    </row>
    <row r="238" spans="1:11" hidden="1" x14ac:dyDescent="0.25">
      <c r="A238">
        <v>238</v>
      </c>
      <c r="B238" t="e">
        <f t="shared" si="6"/>
        <v>#N/A</v>
      </c>
      <c r="C238" t="e">
        <f t="shared" si="7"/>
        <v>#N/A</v>
      </c>
      <c r="D238" t="e">
        <f>IF(INDEX( DATOS3!$1:$19996,A238,MATCH("PatientID", DATOS3!$1:$1,0))=0,"",INDEX( DATOS3!$1:$19996,A238,MATCH("PatientID", DATOS3!$1:$1,0)))</f>
        <v>#N/A</v>
      </c>
      <c r="F238" t="e">
        <f>IF(INDEX( DATOS3!$1:$19996,A238,MATCH("SeriesDate", DATOS3!$1:$1,0))=0,"",INDEX( DATOS3!$1:$19996,A238,MATCH("SeriesDate", DATOS3!$1:$1,0)))</f>
        <v>#N/A</v>
      </c>
      <c r="G238" t="e">
        <f>IF(INDEX( DATOS3!$1:$19996,A238,MATCH("SeriesTime", DATOS3!$1:$1,0))=0,"",INDEX( DATOS3!$1:$19996,A238,MATCH("SeriesTime", DATOS3!$1:$1,0)))</f>
        <v>#N/A</v>
      </c>
      <c r="H238" t="e">
        <f>IF(INDEX( DATOS3!$1:$19996,A238,MATCH("StudyDescription", DATOS3!$1:$1,0))=0,"",INDEX( DATOS3!$1:$19996,A238,MATCH("StudyDescription", DATOS3!$1:$1,0)))</f>
        <v>#N/A</v>
      </c>
      <c r="I238" t="e">
        <f>IF(INDEX( DATOS3!$1:$19996,A238,MATCH("Dose_Area_Product_Total", DATOS3!$1:$1,0))=0,0,INDEX( DATOS3!$1:$19996,A238,MATCH("Dose_Area_Product", DATOS3!$1:$1,0)))</f>
        <v>#N/A</v>
      </c>
      <c r="J238" t="e">
        <f>IF(INDEX( DATOS3!$1:$19996,A238,MATCH("Dose_RP_Total", DATOS3!$1:$1,0))=0,0,INDEX( DATOS3!$1:$19996,A238,MATCH("Dose_RP", DATOS3!$1:$1,0)))</f>
        <v>#N/A</v>
      </c>
      <c r="K238" t="e">
        <f>IF(INDEX( DATOS3!$1:$19996,A238,MATCH("Total_Fluoro_Time", DATOS3!$1:$1,0))=0,0,INDEX( DATOS3!$1:$19996,A238,MATCH("Total_Fluoro_Time", DATOS3!$1:$1,0)))</f>
        <v>#N/A</v>
      </c>
    </row>
    <row r="239" spans="1:11" hidden="1" x14ac:dyDescent="0.25">
      <c r="A239">
        <v>239</v>
      </c>
      <c r="B239" t="e">
        <f t="shared" si="6"/>
        <v>#N/A</v>
      </c>
      <c r="C239" t="e">
        <f t="shared" si="7"/>
        <v>#N/A</v>
      </c>
      <c r="D239" t="e">
        <f>IF(INDEX( DATOS3!$1:$19996,A239,MATCH("PatientID", DATOS3!$1:$1,0))=0,"",INDEX( DATOS3!$1:$19996,A239,MATCH("PatientID", DATOS3!$1:$1,0)))</f>
        <v>#N/A</v>
      </c>
      <c r="F239" t="e">
        <f>IF(INDEX( DATOS3!$1:$19996,A239,MATCH("SeriesDate", DATOS3!$1:$1,0))=0,"",INDEX( DATOS3!$1:$19996,A239,MATCH("SeriesDate", DATOS3!$1:$1,0)))</f>
        <v>#N/A</v>
      </c>
      <c r="G239" t="e">
        <f>IF(INDEX( DATOS3!$1:$19996,A239,MATCH("SeriesTime", DATOS3!$1:$1,0))=0,"",INDEX( DATOS3!$1:$19996,A239,MATCH("SeriesTime", DATOS3!$1:$1,0)))</f>
        <v>#N/A</v>
      </c>
      <c r="H239" t="e">
        <f>IF(INDEX( DATOS3!$1:$19996,A239,MATCH("StudyDescription", DATOS3!$1:$1,0))=0,"",INDEX( DATOS3!$1:$19996,A239,MATCH("StudyDescription", DATOS3!$1:$1,0)))</f>
        <v>#N/A</v>
      </c>
      <c r="I239" t="e">
        <f>IF(INDEX( DATOS3!$1:$19996,A239,MATCH("Dose_Area_Product_Total", DATOS3!$1:$1,0))=0,0,INDEX( DATOS3!$1:$19996,A239,MATCH("Dose_Area_Product", DATOS3!$1:$1,0)))</f>
        <v>#N/A</v>
      </c>
      <c r="J239" t="e">
        <f>IF(INDEX( DATOS3!$1:$19996,A239,MATCH("Dose_RP_Total", DATOS3!$1:$1,0))=0,0,INDEX( DATOS3!$1:$19996,A239,MATCH("Dose_RP", DATOS3!$1:$1,0)))</f>
        <v>#N/A</v>
      </c>
      <c r="K239" t="e">
        <f>IF(INDEX( DATOS3!$1:$19996,A239,MATCH("Total_Fluoro_Time", DATOS3!$1:$1,0))=0,0,INDEX( DATOS3!$1:$19996,A239,MATCH("Total_Fluoro_Time", DATOS3!$1:$1,0)))</f>
        <v>#N/A</v>
      </c>
    </row>
    <row r="240" spans="1:11" hidden="1" x14ac:dyDescent="0.25">
      <c r="A240">
        <v>240</v>
      </c>
      <c r="B240" t="e">
        <f t="shared" si="6"/>
        <v>#N/A</v>
      </c>
      <c r="C240" t="e">
        <f t="shared" si="7"/>
        <v>#N/A</v>
      </c>
      <c r="D240" t="e">
        <f>IF(INDEX( DATOS3!$1:$19996,A240,MATCH("PatientID", DATOS3!$1:$1,0))=0,"",INDEX( DATOS3!$1:$19996,A240,MATCH("PatientID", DATOS3!$1:$1,0)))</f>
        <v>#N/A</v>
      </c>
      <c r="F240" t="e">
        <f>IF(INDEX( DATOS3!$1:$19996,A240,MATCH("SeriesDate", DATOS3!$1:$1,0))=0,"",INDEX( DATOS3!$1:$19996,A240,MATCH("SeriesDate", DATOS3!$1:$1,0)))</f>
        <v>#N/A</v>
      </c>
      <c r="G240" t="e">
        <f>IF(INDEX( DATOS3!$1:$19996,A240,MATCH("SeriesTime", DATOS3!$1:$1,0))=0,"",INDEX( DATOS3!$1:$19996,A240,MATCH("SeriesTime", DATOS3!$1:$1,0)))</f>
        <v>#N/A</v>
      </c>
      <c r="H240" t="e">
        <f>IF(INDEX( DATOS3!$1:$19996,A240,MATCH("StudyDescription", DATOS3!$1:$1,0))=0,"",INDEX( DATOS3!$1:$19996,A240,MATCH("StudyDescription", DATOS3!$1:$1,0)))</f>
        <v>#N/A</v>
      </c>
      <c r="I240" t="e">
        <f>IF(INDEX( DATOS3!$1:$19996,A240,MATCH("Dose_Area_Product_Total", DATOS3!$1:$1,0))=0,0,INDEX( DATOS3!$1:$19996,A240,MATCH("Dose_Area_Product", DATOS3!$1:$1,0)))</f>
        <v>#N/A</v>
      </c>
      <c r="J240" t="e">
        <f>IF(INDEX( DATOS3!$1:$19996,A240,MATCH("Dose_RP_Total", DATOS3!$1:$1,0))=0,0,INDEX( DATOS3!$1:$19996,A240,MATCH("Dose_RP", DATOS3!$1:$1,0)))</f>
        <v>#N/A</v>
      </c>
      <c r="K240" t="e">
        <f>IF(INDEX( DATOS3!$1:$19996,A240,MATCH("Total_Fluoro_Time", DATOS3!$1:$1,0))=0,0,INDEX( DATOS3!$1:$19996,A240,MATCH("Total_Fluoro_Time", DATOS3!$1:$1,0)))</f>
        <v>#N/A</v>
      </c>
    </row>
    <row r="241" spans="1:11" hidden="1" x14ac:dyDescent="0.25">
      <c r="A241">
        <v>241</v>
      </c>
      <c r="B241" t="e">
        <f t="shared" si="6"/>
        <v>#N/A</v>
      </c>
      <c r="C241" t="e">
        <f t="shared" si="7"/>
        <v>#N/A</v>
      </c>
      <c r="D241" t="e">
        <f>IF(INDEX( DATOS3!$1:$19996,A241,MATCH("PatientID", DATOS3!$1:$1,0))=0,"",INDEX( DATOS3!$1:$19996,A241,MATCH("PatientID", DATOS3!$1:$1,0)))</f>
        <v>#N/A</v>
      </c>
      <c r="F241" t="e">
        <f>IF(INDEX( DATOS3!$1:$19996,A241,MATCH("SeriesDate", DATOS3!$1:$1,0))=0,"",INDEX( DATOS3!$1:$19996,A241,MATCH("SeriesDate", DATOS3!$1:$1,0)))</f>
        <v>#N/A</v>
      </c>
      <c r="G241" t="e">
        <f>IF(INDEX( DATOS3!$1:$19996,A241,MATCH("SeriesTime", DATOS3!$1:$1,0))=0,"",INDEX( DATOS3!$1:$19996,A241,MATCH("SeriesTime", DATOS3!$1:$1,0)))</f>
        <v>#N/A</v>
      </c>
      <c r="H241" t="e">
        <f>IF(INDEX( DATOS3!$1:$19996,A241,MATCH("StudyDescription", DATOS3!$1:$1,0))=0,"",INDEX( DATOS3!$1:$19996,A241,MATCH("StudyDescription", DATOS3!$1:$1,0)))</f>
        <v>#N/A</v>
      </c>
      <c r="I241" t="e">
        <f>IF(INDEX( DATOS3!$1:$19996,A241,MATCH("Dose_Area_Product_Total", DATOS3!$1:$1,0))=0,0,INDEX( DATOS3!$1:$19996,A241,MATCH("Dose_Area_Product", DATOS3!$1:$1,0)))</f>
        <v>#N/A</v>
      </c>
      <c r="J241" t="e">
        <f>IF(INDEX( DATOS3!$1:$19996,A241,MATCH("Dose_RP_Total", DATOS3!$1:$1,0))=0,0,INDEX( DATOS3!$1:$19996,A241,MATCH("Dose_RP", DATOS3!$1:$1,0)))</f>
        <v>#N/A</v>
      </c>
      <c r="K241" t="e">
        <f>IF(INDEX( DATOS3!$1:$19996,A241,MATCH("Total_Fluoro_Time", DATOS3!$1:$1,0))=0,0,INDEX( DATOS3!$1:$19996,A241,MATCH("Total_Fluoro_Time", DATOS3!$1:$1,0)))</f>
        <v>#N/A</v>
      </c>
    </row>
    <row r="242" spans="1:11" hidden="1" x14ac:dyDescent="0.25">
      <c r="A242">
        <v>242</v>
      </c>
      <c r="B242" t="e">
        <f t="shared" si="6"/>
        <v>#N/A</v>
      </c>
      <c r="C242" t="e">
        <f t="shared" si="7"/>
        <v>#N/A</v>
      </c>
      <c r="D242" t="e">
        <f>IF(INDEX( DATOS3!$1:$19996,A242,MATCH("PatientID", DATOS3!$1:$1,0))=0,"",INDEX( DATOS3!$1:$19996,A242,MATCH("PatientID", DATOS3!$1:$1,0)))</f>
        <v>#N/A</v>
      </c>
      <c r="F242" t="e">
        <f>IF(INDEX( DATOS3!$1:$19996,A242,MATCH("SeriesDate", DATOS3!$1:$1,0))=0,"",INDEX( DATOS3!$1:$19996,A242,MATCH("SeriesDate", DATOS3!$1:$1,0)))</f>
        <v>#N/A</v>
      </c>
      <c r="G242" t="e">
        <f>IF(INDEX( DATOS3!$1:$19996,A242,MATCH("SeriesTime", DATOS3!$1:$1,0))=0,"",INDEX( DATOS3!$1:$19996,A242,MATCH("SeriesTime", DATOS3!$1:$1,0)))</f>
        <v>#N/A</v>
      </c>
      <c r="H242" t="e">
        <f>IF(INDEX( DATOS3!$1:$19996,A242,MATCH("StudyDescription", DATOS3!$1:$1,0))=0,"",INDEX( DATOS3!$1:$19996,A242,MATCH("StudyDescription", DATOS3!$1:$1,0)))</f>
        <v>#N/A</v>
      </c>
      <c r="I242" t="e">
        <f>IF(INDEX( DATOS3!$1:$19996,A242,MATCH("Dose_Area_Product_Total", DATOS3!$1:$1,0))=0,0,INDEX( DATOS3!$1:$19996,A242,MATCH("Dose_Area_Product", DATOS3!$1:$1,0)))</f>
        <v>#N/A</v>
      </c>
      <c r="J242" t="e">
        <f>IF(INDEX( DATOS3!$1:$19996,A242,MATCH("Dose_RP_Total", DATOS3!$1:$1,0))=0,0,INDEX( DATOS3!$1:$19996,A242,MATCH("Dose_RP", DATOS3!$1:$1,0)))</f>
        <v>#N/A</v>
      </c>
      <c r="K242" t="e">
        <f>IF(INDEX( DATOS3!$1:$19996,A242,MATCH("Total_Fluoro_Time", DATOS3!$1:$1,0))=0,0,INDEX( DATOS3!$1:$19996,A242,MATCH("Total_Fluoro_Time", DATOS3!$1:$1,0)))</f>
        <v>#N/A</v>
      </c>
    </row>
    <row r="243" spans="1:11" hidden="1" x14ac:dyDescent="0.25">
      <c r="A243">
        <v>243</v>
      </c>
      <c r="B243" t="e">
        <f t="shared" si="6"/>
        <v>#N/A</v>
      </c>
      <c r="C243" t="e">
        <f t="shared" si="7"/>
        <v>#N/A</v>
      </c>
      <c r="D243" t="e">
        <f>IF(INDEX( DATOS3!$1:$19996,A243,MATCH("PatientID", DATOS3!$1:$1,0))=0,"",INDEX( DATOS3!$1:$19996,A243,MATCH("PatientID", DATOS3!$1:$1,0)))</f>
        <v>#N/A</v>
      </c>
      <c r="F243" t="e">
        <f>IF(INDEX( DATOS3!$1:$19996,A243,MATCH("SeriesDate", DATOS3!$1:$1,0))=0,"",INDEX( DATOS3!$1:$19996,A243,MATCH("SeriesDate", DATOS3!$1:$1,0)))</f>
        <v>#N/A</v>
      </c>
      <c r="G243" t="e">
        <f>IF(INDEX( DATOS3!$1:$19996,A243,MATCH("SeriesTime", DATOS3!$1:$1,0))=0,"",INDEX( DATOS3!$1:$19996,A243,MATCH("SeriesTime", DATOS3!$1:$1,0)))</f>
        <v>#N/A</v>
      </c>
      <c r="H243" t="e">
        <f>IF(INDEX( DATOS3!$1:$19996,A243,MATCH("StudyDescription", DATOS3!$1:$1,0))=0,"",INDEX( DATOS3!$1:$19996,A243,MATCH("StudyDescription", DATOS3!$1:$1,0)))</f>
        <v>#N/A</v>
      </c>
      <c r="I243" t="e">
        <f>IF(INDEX( DATOS3!$1:$19996,A243,MATCH("Dose_Area_Product_Total", DATOS3!$1:$1,0))=0,0,INDEX( DATOS3!$1:$19996,A243,MATCH("Dose_Area_Product", DATOS3!$1:$1,0)))</f>
        <v>#N/A</v>
      </c>
      <c r="J243" t="e">
        <f>IF(INDEX( DATOS3!$1:$19996,A243,MATCH("Dose_RP_Total", DATOS3!$1:$1,0))=0,0,INDEX( DATOS3!$1:$19996,A243,MATCH("Dose_RP", DATOS3!$1:$1,0)))</f>
        <v>#N/A</v>
      </c>
      <c r="K243" t="e">
        <f>IF(INDEX( DATOS3!$1:$19996,A243,MATCH("Total_Fluoro_Time", DATOS3!$1:$1,0))=0,0,INDEX( DATOS3!$1:$19996,A243,MATCH("Total_Fluoro_Time", DATOS3!$1:$1,0)))</f>
        <v>#N/A</v>
      </c>
    </row>
    <row r="244" spans="1:11" hidden="1" x14ac:dyDescent="0.25">
      <c r="A244">
        <v>244</v>
      </c>
      <c r="B244" t="e">
        <f t="shared" si="6"/>
        <v>#N/A</v>
      </c>
      <c r="C244" t="e">
        <f t="shared" si="7"/>
        <v>#N/A</v>
      </c>
      <c r="D244" t="e">
        <f>IF(INDEX( DATOS3!$1:$19996,A244,MATCH("PatientID", DATOS3!$1:$1,0))=0,"",INDEX( DATOS3!$1:$19996,A244,MATCH("PatientID", DATOS3!$1:$1,0)))</f>
        <v>#N/A</v>
      </c>
      <c r="F244" t="e">
        <f>IF(INDEX( DATOS3!$1:$19996,A244,MATCH("SeriesDate", DATOS3!$1:$1,0))=0,"",INDEX( DATOS3!$1:$19996,A244,MATCH("SeriesDate", DATOS3!$1:$1,0)))</f>
        <v>#N/A</v>
      </c>
      <c r="G244" t="e">
        <f>IF(INDEX( DATOS3!$1:$19996,A244,MATCH("SeriesTime", DATOS3!$1:$1,0))=0,"",INDEX( DATOS3!$1:$19996,A244,MATCH("SeriesTime", DATOS3!$1:$1,0)))</f>
        <v>#N/A</v>
      </c>
      <c r="H244" t="e">
        <f>IF(INDEX( DATOS3!$1:$19996,A244,MATCH("StudyDescription", DATOS3!$1:$1,0))=0,"",INDEX( DATOS3!$1:$19996,A244,MATCH("StudyDescription", DATOS3!$1:$1,0)))</f>
        <v>#N/A</v>
      </c>
      <c r="I244" t="e">
        <f>IF(INDEX( DATOS3!$1:$19996,A244,MATCH("Dose_Area_Product_Total", DATOS3!$1:$1,0))=0,0,INDEX( DATOS3!$1:$19996,A244,MATCH("Dose_Area_Product", DATOS3!$1:$1,0)))</f>
        <v>#N/A</v>
      </c>
      <c r="J244" t="e">
        <f>IF(INDEX( DATOS3!$1:$19996,A244,MATCH("Dose_RP_Total", DATOS3!$1:$1,0))=0,0,INDEX( DATOS3!$1:$19996,A244,MATCH("Dose_RP", DATOS3!$1:$1,0)))</f>
        <v>#N/A</v>
      </c>
      <c r="K244" t="e">
        <f>IF(INDEX( DATOS3!$1:$19996,A244,MATCH("Total_Fluoro_Time", DATOS3!$1:$1,0))=0,0,INDEX( DATOS3!$1:$19996,A244,MATCH("Total_Fluoro_Time", DATOS3!$1:$1,0)))</f>
        <v>#N/A</v>
      </c>
    </row>
    <row r="245" spans="1:11" hidden="1" x14ac:dyDescent="0.25">
      <c r="A245">
        <v>245</v>
      </c>
      <c r="B245" t="e">
        <f t="shared" si="6"/>
        <v>#N/A</v>
      </c>
      <c r="C245" t="e">
        <f t="shared" si="7"/>
        <v>#N/A</v>
      </c>
      <c r="D245" t="e">
        <f>IF(INDEX( DATOS3!$1:$19996,A245,MATCH("PatientID", DATOS3!$1:$1,0))=0,"",INDEX( DATOS3!$1:$19996,A245,MATCH("PatientID", DATOS3!$1:$1,0)))</f>
        <v>#N/A</v>
      </c>
      <c r="F245" t="e">
        <f>IF(INDEX( DATOS3!$1:$19996,A245,MATCH("SeriesDate", DATOS3!$1:$1,0))=0,"",INDEX( DATOS3!$1:$19996,A245,MATCH("SeriesDate", DATOS3!$1:$1,0)))</f>
        <v>#N/A</v>
      </c>
      <c r="G245" t="e">
        <f>IF(INDEX( DATOS3!$1:$19996,A245,MATCH("SeriesTime", DATOS3!$1:$1,0))=0,"",INDEX( DATOS3!$1:$19996,A245,MATCH("SeriesTime", DATOS3!$1:$1,0)))</f>
        <v>#N/A</v>
      </c>
      <c r="H245" t="e">
        <f>IF(INDEX( DATOS3!$1:$19996,A245,MATCH("StudyDescription", DATOS3!$1:$1,0))=0,"",INDEX( DATOS3!$1:$19996,A245,MATCH("StudyDescription", DATOS3!$1:$1,0)))</f>
        <v>#N/A</v>
      </c>
      <c r="I245" t="e">
        <f>IF(INDEX( DATOS3!$1:$19996,A245,MATCH("Dose_Area_Product_Total", DATOS3!$1:$1,0))=0,0,INDEX( DATOS3!$1:$19996,A245,MATCH("Dose_Area_Product", DATOS3!$1:$1,0)))</f>
        <v>#N/A</v>
      </c>
      <c r="J245" t="e">
        <f>IF(INDEX( DATOS3!$1:$19996,A245,MATCH("Dose_RP_Total", DATOS3!$1:$1,0))=0,0,INDEX( DATOS3!$1:$19996,A245,MATCH("Dose_RP", DATOS3!$1:$1,0)))</f>
        <v>#N/A</v>
      </c>
      <c r="K245" t="e">
        <f>IF(INDEX( DATOS3!$1:$19996,A245,MATCH("Total_Fluoro_Time", DATOS3!$1:$1,0))=0,0,INDEX( DATOS3!$1:$19996,A245,MATCH("Total_Fluoro_Time", DATOS3!$1:$1,0)))</f>
        <v>#N/A</v>
      </c>
    </row>
    <row r="246" spans="1:11" hidden="1" x14ac:dyDescent="0.25">
      <c r="A246">
        <v>246</v>
      </c>
      <c r="B246" t="e">
        <f t="shared" si="6"/>
        <v>#N/A</v>
      </c>
      <c r="C246" t="e">
        <f t="shared" si="7"/>
        <v>#N/A</v>
      </c>
      <c r="D246" t="e">
        <f>IF(INDEX( DATOS3!$1:$19996,A246,MATCH("PatientID", DATOS3!$1:$1,0))=0,"",INDEX( DATOS3!$1:$19996,A246,MATCH("PatientID", DATOS3!$1:$1,0)))</f>
        <v>#N/A</v>
      </c>
      <c r="F246" t="e">
        <f>IF(INDEX( DATOS3!$1:$19996,A246,MATCH("SeriesDate", DATOS3!$1:$1,0))=0,"",INDEX( DATOS3!$1:$19996,A246,MATCH("SeriesDate", DATOS3!$1:$1,0)))</f>
        <v>#N/A</v>
      </c>
      <c r="G246" t="e">
        <f>IF(INDEX( DATOS3!$1:$19996,A246,MATCH("SeriesTime", DATOS3!$1:$1,0))=0,"",INDEX( DATOS3!$1:$19996,A246,MATCH("SeriesTime", DATOS3!$1:$1,0)))</f>
        <v>#N/A</v>
      </c>
      <c r="H246" t="e">
        <f>IF(INDEX( DATOS3!$1:$19996,A246,MATCH("StudyDescription", DATOS3!$1:$1,0))=0,"",INDEX( DATOS3!$1:$19996,A246,MATCH("StudyDescription", DATOS3!$1:$1,0)))</f>
        <v>#N/A</v>
      </c>
      <c r="I246" t="e">
        <f>IF(INDEX( DATOS3!$1:$19996,A246,MATCH("Dose_Area_Product_Total", DATOS3!$1:$1,0))=0,0,INDEX( DATOS3!$1:$19996,A246,MATCH("Dose_Area_Product", DATOS3!$1:$1,0)))</f>
        <v>#N/A</v>
      </c>
      <c r="J246" t="e">
        <f>IF(INDEX( DATOS3!$1:$19996,A246,MATCH("Dose_RP_Total", DATOS3!$1:$1,0))=0,0,INDEX( DATOS3!$1:$19996,A246,MATCH("Dose_RP", DATOS3!$1:$1,0)))</f>
        <v>#N/A</v>
      </c>
      <c r="K246" t="e">
        <f>IF(INDEX( DATOS3!$1:$19996,A246,MATCH("Total_Fluoro_Time", DATOS3!$1:$1,0))=0,0,INDEX( DATOS3!$1:$19996,A246,MATCH("Total_Fluoro_Time", DATOS3!$1:$1,0)))</f>
        <v>#N/A</v>
      </c>
    </row>
    <row r="247" spans="1:11" hidden="1" x14ac:dyDescent="0.25">
      <c r="A247">
        <v>247</v>
      </c>
      <c r="B247" t="e">
        <f t="shared" si="6"/>
        <v>#N/A</v>
      </c>
      <c r="C247" t="e">
        <f t="shared" si="7"/>
        <v>#N/A</v>
      </c>
      <c r="D247" t="e">
        <f>IF(INDEX( DATOS3!$1:$19996,A247,MATCH("PatientID", DATOS3!$1:$1,0))=0,"",INDEX( DATOS3!$1:$19996,A247,MATCH("PatientID", DATOS3!$1:$1,0)))</f>
        <v>#N/A</v>
      </c>
      <c r="F247" t="e">
        <f>IF(INDEX( DATOS3!$1:$19996,A247,MATCH("SeriesDate", DATOS3!$1:$1,0))=0,"",INDEX( DATOS3!$1:$19996,A247,MATCH("SeriesDate", DATOS3!$1:$1,0)))</f>
        <v>#N/A</v>
      </c>
      <c r="G247" t="e">
        <f>IF(INDEX( DATOS3!$1:$19996,A247,MATCH("SeriesTime", DATOS3!$1:$1,0))=0,"",INDEX( DATOS3!$1:$19996,A247,MATCH("SeriesTime", DATOS3!$1:$1,0)))</f>
        <v>#N/A</v>
      </c>
      <c r="H247" t="e">
        <f>IF(INDEX( DATOS3!$1:$19996,A247,MATCH("StudyDescription", DATOS3!$1:$1,0))=0,"",INDEX( DATOS3!$1:$19996,A247,MATCH("StudyDescription", DATOS3!$1:$1,0)))</f>
        <v>#N/A</v>
      </c>
      <c r="I247" t="e">
        <f>IF(INDEX( DATOS3!$1:$19996,A247,MATCH("Dose_Area_Product_Total", DATOS3!$1:$1,0))=0,0,INDEX( DATOS3!$1:$19996,A247,MATCH("Dose_Area_Product", DATOS3!$1:$1,0)))</f>
        <v>#N/A</v>
      </c>
      <c r="J247" t="e">
        <f>IF(INDEX( DATOS3!$1:$19996,A247,MATCH("Dose_RP_Total", DATOS3!$1:$1,0))=0,0,INDEX( DATOS3!$1:$19996,A247,MATCH("Dose_RP", DATOS3!$1:$1,0)))</f>
        <v>#N/A</v>
      </c>
      <c r="K247" t="e">
        <f>IF(INDEX( DATOS3!$1:$19996,A247,MATCH("Total_Fluoro_Time", DATOS3!$1:$1,0))=0,0,INDEX( DATOS3!$1:$19996,A247,MATCH("Total_Fluoro_Time", DATOS3!$1:$1,0)))</f>
        <v>#N/A</v>
      </c>
    </row>
    <row r="248" spans="1:11" hidden="1" x14ac:dyDescent="0.25">
      <c r="A248">
        <v>248</v>
      </c>
      <c r="B248" t="e">
        <f t="shared" si="6"/>
        <v>#N/A</v>
      </c>
      <c r="C248" t="e">
        <f t="shared" si="7"/>
        <v>#N/A</v>
      </c>
      <c r="D248" t="e">
        <f>IF(INDEX( DATOS3!$1:$19996,A248,MATCH("PatientID", DATOS3!$1:$1,0))=0,"",INDEX( DATOS3!$1:$19996,A248,MATCH("PatientID", DATOS3!$1:$1,0)))</f>
        <v>#N/A</v>
      </c>
      <c r="F248" t="e">
        <f>IF(INDEX( DATOS3!$1:$19996,A248,MATCH("SeriesDate", DATOS3!$1:$1,0))=0,"",INDEX( DATOS3!$1:$19996,A248,MATCH("SeriesDate", DATOS3!$1:$1,0)))</f>
        <v>#N/A</v>
      </c>
      <c r="G248" t="e">
        <f>IF(INDEX( DATOS3!$1:$19996,A248,MATCH("SeriesTime", DATOS3!$1:$1,0))=0,"",INDEX( DATOS3!$1:$19996,A248,MATCH("SeriesTime", DATOS3!$1:$1,0)))</f>
        <v>#N/A</v>
      </c>
      <c r="H248" t="e">
        <f>IF(INDEX( DATOS3!$1:$19996,A248,MATCH("StudyDescription", DATOS3!$1:$1,0))=0,"",INDEX( DATOS3!$1:$19996,A248,MATCH("StudyDescription", DATOS3!$1:$1,0)))</f>
        <v>#N/A</v>
      </c>
      <c r="I248" t="e">
        <f>IF(INDEX( DATOS3!$1:$19996,A248,MATCH("Dose_Area_Product_Total", DATOS3!$1:$1,0))=0,0,INDEX( DATOS3!$1:$19996,A248,MATCH("Dose_Area_Product", DATOS3!$1:$1,0)))</f>
        <v>#N/A</v>
      </c>
      <c r="J248" t="e">
        <f>IF(INDEX( DATOS3!$1:$19996,A248,MATCH("Dose_RP_Total", DATOS3!$1:$1,0))=0,0,INDEX( DATOS3!$1:$19996,A248,MATCH("Dose_RP", DATOS3!$1:$1,0)))</f>
        <v>#N/A</v>
      </c>
      <c r="K248" t="e">
        <f>IF(INDEX( DATOS3!$1:$19996,A248,MATCH("Total_Fluoro_Time", DATOS3!$1:$1,0))=0,0,INDEX( DATOS3!$1:$19996,A248,MATCH("Total_Fluoro_Time", DATOS3!$1:$1,0)))</f>
        <v>#N/A</v>
      </c>
    </row>
    <row r="249" spans="1:11" hidden="1" x14ac:dyDescent="0.25">
      <c r="A249">
        <v>249</v>
      </c>
      <c r="B249" t="e">
        <f t="shared" si="6"/>
        <v>#N/A</v>
      </c>
      <c r="C249" t="e">
        <f t="shared" si="7"/>
        <v>#N/A</v>
      </c>
      <c r="D249" t="e">
        <f>IF(INDEX( DATOS3!$1:$19996,A249,MATCH("PatientID", DATOS3!$1:$1,0))=0,"",INDEX( DATOS3!$1:$19996,A249,MATCH("PatientID", DATOS3!$1:$1,0)))</f>
        <v>#N/A</v>
      </c>
      <c r="F249" t="e">
        <f>IF(INDEX( DATOS3!$1:$19996,A249,MATCH("SeriesDate", DATOS3!$1:$1,0))=0,"",INDEX( DATOS3!$1:$19996,A249,MATCH("SeriesDate", DATOS3!$1:$1,0)))</f>
        <v>#N/A</v>
      </c>
      <c r="G249" t="e">
        <f>IF(INDEX( DATOS3!$1:$19996,A249,MATCH("SeriesTime", DATOS3!$1:$1,0))=0,"",INDEX( DATOS3!$1:$19996,A249,MATCH("SeriesTime", DATOS3!$1:$1,0)))</f>
        <v>#N/A</v>
      </c>
      <c r="H249" t="e">
        <f>IF(INDEX( DATOS3!$1:$19996,A249,MATCH("StudyDescription", DATOS3!$1:$1,0))=0,"",INDEX( DATOS3!$1:$19996,A249,MATCH("StudyDescription", DATOS3!$1:$1,0)))</f>
        <v>#N/A</v>
      </c>
      <c r="I249" t="e">
        <f>IF(INDEX( DATOS3!$1:$19996,A249,MATCH("Dose_Area_Product_Total", DATOS3!$1:$1,0))=0,0,INDEX( DATOS3!$1:$19996,A249,MATCH("Dose_Area_Product", DATOS3!$1:$1,0)))</f>
        <v>#N/A</v>
      </c>
      <c r="J249" t="e">
        <f>IF(INDEX( DATOS3!$1:$19996,A249,MATCH("Dose_RP_Total", DATOS3!$1:$1,0))=0,0,INDEX( DATOS3!$1:$19996,A249,MATCH("Dose_RP", DATOS3!$1:$1,0)))</f>
        <v>#N/A</v>
      </c>
      <c r="K249" t="e">
        <f>IF(INDEX( DATOS3!$1:$19996,A249,MATCH("Total_Fluoro_Time", DATOS3!$1:$1,0))=0,0,INDEX( DATOS3!$1:$19996,A249,MATCH("Total_Fluoro_Time", DATOS3!$1:$1,0)))</f>
        <v>#N/A</v>
      </c>
    </row>
    <row r="250" spans="1:11" hidden="1" x14ac:dyDescent="0.25">
      <c r="A250">
        <v>250</v>
      </c>
      <c r="B250" t="e">
        <f t="shared" si="6"/>
        <v>#N/A</v>
      </c>
      <c r="C250" t="e">
        <f t="shared" si="7"/>
        <v>#N/A</v>
      </c>
      <c r="D250" t="e">
        <f>IF(INDEX( DATOS3!$1:$19996,A250,MATCH("PatientID", DATOS3!$1:$1,0))=0,"",INDEX( DATOS3!$1:$19996,A250,MATCH("PatientID", DATOS3!$1:$1,0)))</f>
        <v>#N/A</v>
      </c>
      <c r="F250" t="e">
        <f>IF(INDEX( DATOS3!$1:$19996,A250,MATCH("SeriesDate", DATOS3!$1:$1,0))=0,"",INDEX( DATOS3!$1:$19996,A250,MATCH("SeriesDate", DATOS3!$1:$1,0)))</f>
        <v>#N/A</v>
      </c>
      <c r="G250" t="e">
        <f>IF(INDEX( DATOS3!$1:$19996,A250,MATCH("SeriesTime", DATOS3!$1:$1,0))=0,"",INDEX( DATOS3!$1:$19996,A250,MATCH("SeriesTime", DATOS3!$1:$1,0)))</f>
        <v>#N/A</v>
      </c>
      <c r="H250" t="e">
        <f>IF(INDEX( DATOS3!$1:$19996,A250,MATCH("StudyDescription", DATOS3!$1:$1,0))=0,"",INDEX( DATOS3!$1:$19996,A250,MATCH("StudyDescription", DATOS3!$1:$1,0)))</f>
        <v>#N/A</v>
      </c>
      <c r="I250" t="e">
        <f>IF(INDEX( DATOS3!$1:$19996,A250,MATCH("Dose_Area_Product_Total", DATOS3!$1:$1,0))=0,0,INDEX( DATOS3!$1:$19996,A250,MATCH("Dose_Area_Product", DATOS3!$1:$1,0)))</f>
        <v>#N/A</v>
      </c>
      <c r="J250" t="e">
        <f>IF(INDEX( DATOS3!$1:$19996,A250,MATCH("Dose_RP_Total", DATOS3!$1:$1,0))=0,0,INDEX( DATOS3!$1:$19996,A250,MATCH("Dose_RP", DATOS3!$1:$1,0)))</f>
        <v>#N/A</v>
      </c>
      <c r="K250" t="e">
        <f>IF(INDEX( DATOS3!$1:$19996,A250,MATCH("Total_Fluoro_Time", DATOS3!$1:$1,0))=0,0,INDEX( DATOS3!$1:$19996,A250,MATCH("Total_Fluoro_Time", DATOS3!$1:$1,0)))</f>
        <v>#N/A</v>
      </c>
    </row>
    <row r="251" spans="1:11" hidden="1" x14ac:dyDescent="0.25">
      <c r="A251">
        <v>251</v>
      </c>
      <c r="B251" t="e">
        <f t="shared" si="6"/>
        <v>#N/A</v>
      </c>
      <c r="C251" t="e">
        <f t="shared" si="7"/>
        <v>#N/A</v>
      </c>
      <c r="D251" t="e">
        <f>IF(INDEX( DATOS3!$1:$19996,A251,MATCH("PatientID", DATOS3!$1:$1,0))=0,"",INDEX( DATOS3!$1:$19996,A251,MATCH("PatientID", DATOS3!$1:$1,0)))</f>
        <v>#N/A</v>
      </c>
      <c r="F251" t="e">
        <f>IF(INDEX( DATOS3!$1:$19996,A251,MATCH("SeriesDate", DATOS3!$1:$1,0))=0,"",INDEX( DATOS3!$1:$19996,A251,MATCH("SeriesDate", DATOS3!$1:$1,0)))</f>
        <v>#N/A</v>
      </c>
      <c r="G251" t="e">
        <f>IF(INDEX( DATOS3!$1:$19996,A251,MATCH("SeriesTime", DATOS3!$1:$1,0))=0,"",INDEX( DATOS3!$1:$19996,A251,MATCH("SeriesTime", DATOS3!$1:$1,0)))</f>
        <v>#N/A</v>
      </c>
      <c r="H251" t="e">
        <f>IF(INDEX( DATOS3!$1:$19996,A251,MATCH("StudyDescription", DATOS3!$1:$1,0))=0,"",INDEX( DATOS3!$1:$19996,A251,MATCH("StudyDescription", DATOS3!$1:$1,0)))</f>
        <v>#N/A</v>
      </c>
      <c r="I251" t="e">
        <f>IF(INDEX( DATOS3!$1:$19996,A251,MATCH("Dose_Area_Product_Total", DATOS3!$1:$1,0))=0,0,INDEX( DATOS3!$1:$19996,A251,MATCH("Dose_Area_Product", DATOS3!$1:$1,0)))</f>
        <v>#N/A</v>
      </c>
      <c r="J251" t="e">
        <f>IF(INDEX( DATOS3!$1:$19996,A251,MATCH("Dose_RP_Total", DATOS3!$1:$1,0))=0,0,INDEX( DATOS3!$1:$19996,A251,MATCH("Dose_RP", DATOS3!$1:$1,0)))</f>
        <v>#N/A</v>
      </c>
      <c r="K251" t="e">
        <f>IF(INDEX( DATOS3!$1:$19996,A251,MATCH("Total_Fluoro_Time", DATOS3!$1:$1,0))=0,0,INDEX( DATOS3!$1:$19996,A251,MATCH("Total_Fluoro_Time", DATOS3!$1:$1,0)))</f>
        <v>#N/A</v>
      </c>
    </row>
    <row r="252" spans="1:11" hidden="1" x14ac:dyDescent="0.25">
      <c r="A252">
        <v>252</v>
      </c>
      <c r="B252" t="e">
        <f t="shared" si="6"/>
        <v>#N/A</v>
      </c>
      <c r="C252" t="e">
        <f t="shared" si="7"/>
        <v>#N/A</v>
      </c>
      <c r="D252" t="e">
        <f>IF(INDEX( DATOS3!$1:$19996,A252,MATCH("PatientID", DATOS3!$1:$1,0))=0,"",INDEX( DATOS3!$1:$19996,A252,MATCH("PatientID", DATOS3!$1:$1,0)))</f>
        <v>#N/A</v>
      </c>
      <c r="F252" t="e">
        <f>IF(INDEX( DATOS3!$1:$19996,A252,MATCH("SeriesDate", DATOS3!$1:$1,0))=0,"",INDEX( DATOS3!$1:$19996,A252,MATCH("SeriesDate", DATOS3!$1:$1,0)))</f>
        <v>#N/A</v>
      </c>
      <c r="G252" t="e">
        <f>IF(INDEX( DATOS3!$1:$19996,A252,MATCH("SeriesTime", DATOS3!$1:$1,0))=0,"",INDEX( DATOS3!$1:$19996,A252,MATCH("SeriesTime", DATOS3!$1:$1,0)))</f>
        <v>#N/A</v>
      </c>
      <c r="H252" t="e">
        <f>IF(INDEX( DATOS3!$1:$19996,A252,MATCH("StudyDescription", DATOS3!$1:$1,0))=0,"",INDEX( DATOS3!$1:$19996,A252,MATCH("StudyDescription", DATOS3!$1:$1,0)))</f>
        <v>#N/A</v>
      </c>
      <c r="I252" t="e">
        <f>IF(INDEX( DATOS3!$1:$19996,A252,MATCH("Dose_Area_Product_Total", DATOS3!$1:$1,0))=0,0,INDEX( DATOS3!$1:$19996,A252,MATCH("Dose_Area_Product", DATOS3!$1:$1,0)))</f>
        <v>#N/A</v>
      </c>
      <c r="J252" t="e">
        <f>IF(INDEX( DATOS3!$1:$19996,A252,MATCH("Dose_RP_Total", DATOS3!$1:$1,0))=0,0,INDEX( DATOS3!$1:$19996,A252,MATCH("Dose_RP", DATOS3!$1:$1,0)))</f>
        <v>#N/A</v>
      </c>
      <c r="K252" t="e">
        <f>IF(INDEX( DATOS3!$1:$19996,A252,MATCH("Total_Fluoro_Time", DATOS3!$1:$1,0))=0,0,INDEX( DATOS3!$1:$19996,A252,MATCH("Total_Fluoro_Time", DATOS3!$1:$1,0)))</f>
        <v>#N/A</v>
      </c>
    </row>
    <row r="253" spans="1:11" hidden="1" x14ac:dyDescent="0.25">
      <c r="A253">
        <v>253</v>
      </c>
      <c r="B253" t="e">
        <f t="shared" si="6"/>
        <v>#N/A</v>
      </c>
      <c r="C253" t="e">
        <f t="shared" si="7"/>
        <v>#N/A</v>
      </c>
      <c r="D253" t="e">
        <f>IF(INDEX( DATOS3!$1:$19996,A253,MATCH("PatientID", DATOS3!$1:$1,0))=0,"",INDEX( DATOS3!$1:$19996,A253,MATCH("PatientID", DATOS3!$1:$1,0)))</f>
        <v>#N/A</v>
      </c>
      <c r="F253" t="e">
        <f>IF(INDEX( DATOS3!$1:$19996,A253,MATCH("SeriesDate", DATOS3!$1:$1,0))=0,"",INDEX( DATOS3!$1:$19996,A253,MATCH("SeriesDate", DATOS3!$1:$1,0)))</f>
        <v>#N/A</v>
      </c>
      <c r="G253" t="e">
        <f>IF(INDEX( DATOS3!$1:$19996,A253,MATCH("SeriesTime", DATOS3!$1:$1,0))=0,"",INDEX( DATOS3!$1:$19996,A253,MATCH("SeriesTime", DATOS3!$1:$1,0)))</f>
        <v>#N/A</v>
      </c>
      <c r="H253" t="e">
        <f>IF(INDEX( DATOS3!$1:$19996,A253,MATCH("StudyDescription", DATOS3!$1:$1,0))=0,"",INDEX( DATOS3!$1:$19996,A253,MATCH("StudyDescription", DATOS3!$1:$1,0)))</f>
        <v>#N/A</v>
      </c>
      <c r="I253" t="e">
        <f>IF(INDEX( DATOS3!$1:$19996,A253,MATCH("Dose_Area_Product_Total", DATOS3!$1:$1,0))=0,0,INDEX( DATOS3!$1:$19996,A253,MATCH("Dose_Area_Product", DATOS3!$1:$1,0)))</f>
        <v>#N/A</v>
      </c>
      <c r="J253" t="e">
        <f>IF(INDEX( DATOS3!$1:$19996,A253,MATCH("Dose_RP_Total", DATOS3!$1:$1,0))=0,0,INDEX( DATOS3!$1:$19996,A253,MATCH("Dose_RP", DATOS3!$1:$1,0)))</f>
        <v>#N/A</v>
      </c>
      <c r="K253" t="e">
        <f>IF(INDEX( DATOS3!$1:$19996,A253,MATCH("Total_Fluoro_Time", DATOS3!$1:$1,0))=0,0,INDEX( DATOS3!$1:$19996,A253,MATCH("Total_Fluoro_Time", DATOS3!$1:$1,0)))</f>
        <v>#N/A</v>
      </c>
    </row>
    <row r="254" spans="1:11" hidden="1" x14ac:dyDescent="0.25">
      <c r="A254">
        <v>254</v>
      </c>
      <c r="B254" t="e">
        <f t="shared" si="6"/>
        <v>#N/A</v>
      </c>
      <c r="C254" t="e">
        <f t="shared" si="7"/>
        <v>#N/A</v>
      </c>
      <c r="D254" t="e">
        <f>IF(INDEX( DATOS3!$1:$19996,A254,MATCH("PatientID", DATOS3!$1:$1,0))=0,"",INDEX( DATOS3!$1:$19996,A254,MATCH("PatientID", DATOS3!$1:$1,0)))</f>
        <v>#N/A</v>
      </c>
      <c r="F254" t="e">
        <f>IF(INDEX( DATOS3!$1:$19996,A254,MATCH("SeriesDate", DATOS3!$1:$1,0))=0,"",INDEX( DATOS3!$1:$19996,A254,MATCH("SeriesDate", DATOS3!$1:$1,0)))</f>
        <v>#N/A</v>
      </c>
      <c r="G254" t="e">
        <f>IF(INDEX( DATOS3!$1:$19996,A254,MATCH("SeriesTime", DATOS3!$1:$1,0))=0,"",INDEX( DATOS3!$1:$19996,A254,MATCH("SeriesTime", DATOS3!$1:$1,0)))</f>
        <v>#N/A</v>
      </c>
      <c r="H254" t="e">
        <f>IF(INDEX( DATOS3!$1:$19996,A254,MATCH("StudyDescription", DATOS3!$1:$1,0))=0,"",INDEX( DATOS3!$1:$19996,A254,MATCH("StudyDescription", DATOS3!$1:$1,0)))</f>
        <v>#N/A</v>
      </c>
      <c r="I254" t="e">
        <f>IF(INDEX( DATOS3!$1:$19996,A254,MATCH("Dose_Area_Product_Total", DATOS3!$1:$1,0))=0,0,INDEX( DATOS3!$1:$19996,A254,MATCH("Dose_Area_Product", DATOS3!$1:$1,0)))</f>
        <v>#N/A</v>
      </c>
      <c r="J254" t="e">
        <f>IF(INDEX( DATOS3!$1:$19996,A254,MATCH("Dose_RP_Total", DATOS3!$1:$1,0))=0,0,INDEX( DATOS3!$1:$19996,A254,MATCH("Dose_RP", DATOS3!$1:$1,0)))</f>
        <v>#N/A</v>
      </c>
      <c r="K254" t="e">
        <f>IF(INDEX( DATOS3!$1:$19996,A254,MATCH("Total_Fluoro_Time", DATOS3!$1:$1,0))=0,0,INDEX( DATOS3!$1:$19996,A254,MATCH("Total_Fluoro_Time", DATOS3!$1:$1,0)))</f>
        <v>#N/A</v>
      </c>
    </row>
    <row r="255" spans="1:11" hidden="1" x14ac:dyDescent="0.25">
      <c r="A255">
        <v>255</v>
      </c>
      <c r="B255" t="e">
        <f t="shared" si="6"/>
        <v>#N/A</v>
      </c>
      <c r="C255" t="e">
        <f t="shared" si="7"/>
        <v>#N/A</v>
      </c>
      <c r="D255" t="e">
        <f>IF(INDEX( DATOS3!$1:$19996,A255,MATCH("PatientID", DATOS3!$1:$1,0))=0,"",INDEX( DATOS3!$1:$19996,A255,MATCH("PatientID", DATOS3!$1:$1,0)))</f>
        <v>#N/A</v>
      </c>
      <c r="F255" t="e">
        <f>IF(INDEX( DATOS3!$1:$19996,A255,MATCH("SeriesDate", DATOS3!$1:$1,0))=0,"",INDEX( DATOS3!$1:$19996,A255,MATCH("SeriesDate", DATOS3!$1:$1,0)))</f>
        <v>#N/A</v>
      </c>
      <c r="G255" t="e">
        <f>IF(INDEX( DATOS3!$1:$19996,A255,MATCH("SeriesTime", DATOS3!$1:$1,0))=0,"",INDEX( DATOS3!$1:$19996,A255,MATCH("SeriesTime", DATOS3!$1:$1,0)))</f>
        <v>#N/A</v>
      </c>
      <c r="H255" t="e">
        <f>IF(INDEX( DATOS3!$1:$19996,A255,MATCH("StudyDescription", DATOS3!$1:$1,0))=0,"",INDEX( DATOS3!$1:$19996,A255,MATCH("StudyDescription", DATOS3!$1:$1,0)))</f>
        <v>#N/A</v>
      </c>
      <c r="I255" t="e">
        <f>IF(INDEX( DATOS3!$1:$19996,A255,MATCH("Dose_Area_Product_Total", DATOS3!$1:$1,0))=0,0,INDEX( DATOS3!$1:$19996,A255,MATCH("Dose_Area_Product", DATOS3!$1:$1,0)))</f>
        <v>#N/A</v>
      </c>
      <c r="J255" t="e">
        <f>IF(INDEX( DATOS3!$1:$19996,A255,MATCH("Dose_RP_Total", DATOS3!$1:$1,0))=0,0,INDEX( DATOS3!$1:$19996,A255,MATCH("Dose_RP", DATOS3!$1:$1,0)))</f>
        <v>#N/A</v>
      </c>
      <c r="K255" t="e">
        <f>IF(INDEX( DATOS3!$1:$19996,A255,MATCH("Total_Fluoro_Time", DATOS3!$1:$1,0))=0,0,INDEX( DATOS3!$1:$19996,A255,MATCH("Total_Fluoro_Time", DATOS3!$1:$1,0)))</f>
        <v>#N/A</v>
      </c>
    </row>
    <row r="256" spans="1:11" hidden="1" x14ac:dyDescent="0.25">
      <c r="A256">
        <v>256</v>
      </c>
      <c r="B256" t="e">
        <f t="shared" si="6"/>
        <v>#N/A</v>
      </c>
      <c r="C256" t="e">
        <f t="shared" si="7"/>
        <v>#N/A</v>
      </c>
      <c r="D256" t="e">
        <f>IF(INDEX( DATOS3!$1:$19996,A256,MATCH("PatientID", DATOS3!$1:$1,0))=0,"",INDEX( DATOS3!$1:$19996,A256,MATCH("PatientID", DATOS3!$1:$1,0)))</f>
        <v>#N/A</v>
      </c>
      <c r="F256" t="e">
        <f>IF(INDEX( DATOS3!$1:$19996,A256,MATCH("SeriesDate", DATOS3!$1:$1,0))=0,"",INDEX( DATOS3!$1:$19996,A256,MATCH("SeriesDate", DATOS3!$1:$1,0)))</f>
        <v>#N/A</v>
      </c>
      <c r="G256" t="e">
        <f>IF(INDEX( DATOS3!$1:$19996,A256,MATCH("SeriesTime", DATOS3!$1:$1,0))=0,"",INDEX( DATOS3!$1:$19996,A256,MATCH("SeriesTime", DATOS3!$1:$1,0)))</f>
        <v>#N/A</v>
      </c>
      <c r="H256" t="e">
        <f>IF(INDEX( DATOS3!$1:$19996,A256,MATCH("StudyDescription", DATOS3!$1:$1,0))=0,"",INDEX( DATOS3!$1:$19996,A256,MATCH("StudyDescription", DATOS3!$1:$1,0)))</f>
        <v>#N/A</v>
      </c>
      <c r="I256" t="e">
        <f>IF(INDEX( DATOS3!$1:$19996,A256,MATCH("Dose_Area_Product_Total", DATOS3!$1:$1,0))=0,0,INDEX( DATOS3!$1:$19996,A256,MATCH("Dose_Area_Product", DATOS3!$1:$1,0)))</f>
        <v>#N/A</v>
      </c>
      <c r="J256" t="e">
        <f>IF(INDEX( DATOS3!$1:$19996,A256,MATCH("Dose_RP_Total", DATOS3!$1:$1,0))=0,0,INDEX( DATOS3!$1:$19996,A256,MATCH("Dose_RP", DATOS3!$1:$1,0)))</f>
        <v>#N/A</v>
      </c>
      <c r="K256" t="e">
        <f>IF(INDEX( DATOS3!$1:$19996,A256,MATCH("Total_Fluoro_Time", DATOS3!$1:$1,0))=0,0,INDEX( DATOS3!$1:$19996,A256,MATCH("Total_Fluoro_Time", DATOS3!$1:$1,0)))</f>
        <v>#N/A</v>
      </c>
    </row>
    <row r="257" spans="1:11" hidden="1" x14ac:dyDescent="0.25">
      <c r="A257">
        <v>257</v>
      </c>
      <c r="B257" t="e">
        <f t="shared" si="6"/>
        <v>#N/A</v>
      </c>
      <c r="C257" t="e">
        <f t="shared" si="7"/>
        <v>#N/A</v>
      </c>
      <c r="D257" t="e">
        <f>IF(INDEX( DATOS3!$1:$19996,A257,MATCH("PatientID", DATOS3!$1:$1,0))=0,"",INDEX( DATOS3!$1:$19996,A257,MATCH("PatientID", DATOS3!$1:$1,0)))</f>
        <v>#N/A</v>
      </c>
      <c r="F257" t="e">
        <f>IF(INDEX( DATOS3!$1:$19996,A257,MATCH("SeriesDate", DATOS3!$1:$1,0))=0,"",INDEX( DATOS3!$1:$19996,A257,MATCH("SeriesDate", DATOS3!$1:$1,0)))</f>
        <v>#N/A</v>
      </c>
      <c r="G257" t="e">
        <f>IF(INDEX( DATOS3!$1:$19996,A257,MATCH("SeriesTime", DATOS3!$1:$1,0))=0,"",INDEX( DATOS3!$1:$19996,A257,MATCH("SeriesTime", DATOS3!$1:$1,0)))</f>
        <v>#N/A</v>
      </c>
      <c r="H257" t="e">
        <f>IF(INDEX( DATOS3!$1:$19996,A257,MATCH("StudyDescription", DATOS3!$1:$1,0))=0,"",INDEX( DATOS3!$1:$19996,A257,MATCH("StudyDescription", DATOS3!$1:$1,0)))</f>
        <v>#N/A</v>
      </c>
      <c r="I257" t="e">
        <f>IF(INDEX( DATOS3!$1:$19996,A257,MATCH("Dose_Area_Product_Total", DATOS3!$1:$1,0))=0,0,INDEX( DATOS3!$1:$19996,A257,MATCH("Dose_Area_Product", DATOS3!$1:$1,0)))</f>
        <v>#N/A</v>
      </c>
      <c r="J257" t="e">
        <f>IF(INDEX( DATOS3!$1:$19996,A257,MATCH("Dose_RP_Total", DATOS3!$1:$1,0))=0,0,INDEX( DATOS3!$1:$19996,A257,MATCH("Dose_RP", DATOS3!$1:$1,0)))</f>
        <v>#N/A</v>
      </c>
      <c r="K257" t="e">
        <f>IF(INDEX( DATOS3!$1:$19996,A257,MATCH("Total_Fluoro_Time", DATOS3!$1:$1,0))=0,0,INDEX( DATOS3!$1:$19996,A257,MATCH("Total_Fluoro_Time", DATOS3!$1:$1,0)))</f>
        <v>#N/A</v>
      </c>
    </row>
    <row r="258" spans="1:11" hidden="1" x14ac:dyDescent="0.25">
      <c r="A258">
        <v>258</v>
      </c>
      <c r="B258" t="e">
        <f t="shared" si="6"/>
        <v>#N/A</v>
      </c>
      <c r="C258" t="e">
        <f t="shared" si="7"/>
        <v>#N/A</v>
      </c>
      <c r="D258" t="e">
        <f>IF(INDEX( DATOS3!$1:$19996,A258,MATCH("PatientID", DATOS3!$1:$1,0))=0,"",INDEX( DATOS3!$1:$19996,A258,MATCH("PatientID", DATOS3!$1:$1,0)))</f>
        <v>#N/A</v>
      </c>
      <c r="F258" t="e">
        <f>IF(INDEX( DATOS3!$1:$19996,A258,MATCH("SeriesDate", DATOS3!$1:$1,0))=0,"",INDEX( DATOS3!$1:$19996,A258,MATCH("SeriesDate", DATOS3!$1:$1,0)))</f>
        <v>#N/A</v>
      </c>
      <c r="G258" t="e">
        <f>IF(INDEX( DATOS3!$1:$19996,A258,MATCH("SeriesTime", DATOS3!$1:$1,0))=0,"",INDEX( DATOS3!$1:$19996,A258,MATCH("SeriesTime", DATOS3!$1:$1,0)))</f>
        <v>#N/A</v>
      </c>
      <c r="H258" t="e">
        <f>IF(INDEX( DATOS3!$1:$19996,A258,MATCH("StudyDescription", DATOS3!$1:$1,0))=0,"",INDEX( DATOS3!$1:$19996,A258,MATCH("StudyDescription", DATOS3!$1:$1,0)))</f>
        <v>#N/A</v>
      </c>
      <c r="I258" t="e">
        <f>IF(INDEX( DATOS3!$1:$19996,A258,MATCH("Dose_Area_Product_Total", DATOS3!$1:$1,0))=0,0,INDEX( DATOS3!$1:$19996,A258,MATCH("Dose_Area_Product", DATOS3!$1:$1,0)))</f>
        <v>#N/A</v>
      </c>
      <c r="J258" t="e">
        <f>IF(INDEX( DATOS3!$1:$19996,A258,MATCH("Dose_RP_Total", DATOS3!$1:$1,0))=0,0,INDEX( DATOS3!$1:$19996,A258,MATCH("Dose_RP", DATOS3!$1:$1,0)))</f>
        <v>#N/A</v>
      </c>
      <c r="K258" t="e">
        <f>IF(INDEX( DATOS3!$1:$19996,A258,MATCH("Total_Fluoro_Time", DATOS3!$1:$1,0))=0,0,INDEX( DATOS3!$1:$19996,A258,MATCH("Total_Fluoro_Time", DATOS3!$1:$1,0)))</f>
        <v>#N/A</v>
      </c>
    </row>
    <row r="259" spans="1:11" hidden="1" x14ac:dyDescent="0.25">
      <c r="A259">
        <v>259</v>
      </c>
      <c r="B259" t="e">
        <f t="shared" ref="B259:B322" si="8">IF(D259="","","ARTISZEE")</f>
        <v>#N/A</v>
      </c>
      <c r="C259" t="e">
        <f t="shared" ref="C259:C322" si="9">IF(B259="ARTISZEE","Cardiología","")</f>
        <v>#N/A</v>
      </c>
      <c r="D259" t="e">
        <f>IF(INDEX( DATOS3!$1:$19996,A259,MATCH("PatientID", DATOS3!$1:$1,0))=0,"",INDEX( DATOS3!$1:$19996,A259,MATCH("PatientID", DATOS3!$1:$1,0)))</f>
        <v>#N/A</v>
      </c>
      <c r="F259" t="e">
        <f>IF(INDEX( DATOS3!$1:$19996,A259,MATCH("SeriesDate", DATOS3!$1:$1,0))=0,"",INDEX( DATOS3!$1:$19996,A259,MATCH("SeriesDate", DATOS3!$1:$1,0)))</f>
        <v>#N/A</v>
      </c>
      <c r="G259" t="e">
        <f>IF(INDEX( DATOS3!$1:$19996,A259,MATCH("SeriesTime", DATOS3!$1:$1,0))=0,"",INDEX( DATOS3!$1:$19996,A259,MATCH("SeriesTime", DATOS3!$1:$1,0)))</f>
        <v>#N/A</v>
      </c>
      <c r="H259" t="e">
        <f>IF(INDEX( DATOS3!$1:$19996,A259,MATCH("StudyDescription", DATOS3!$1:$1,0))=0,"",INDEX( DATOS3!$1:$19996,A259,MATCH("StudyDescription", DATOS3!$1:$1,0)))</f>
        <v>#N/A</v>
      </c>
      <c r="I259" t="e">
        <f>IF(INDEX( DATOS3!$1:$19996,A259,MATCH("Dose_Area_Product_Total", DATOS3!$1:$1,0))=0,0,INDEX( DATOS3!$1:$19996,A259,MATCH("Dose_Area_Product", DATOS3!$1:$1,0)))</f>
        <v>#N/A</v>
      </c>
      <c r="J259" t="e">
        <f>IF(INDEX( DATOS3!$1:$19996,A259,MATCH("Dose_RP_Total", DATOS3!$1:$1,0))=0,0,INDEX( DATOS3!$1:$19996,A259,MATCH("Dose_RP", DATOS3!$1:$1,0)))</f>
        <v>#N/A</v>
      </c>
      <c r="K259" t="e">
        <f>IF(INDEX( DATOS3!$1:$19996,A259,MATCH("Total_Fluoro_Time", DATOS3!$1:$1,0))=0,0,INDEX( DATOS3!$1:$19996,A259,MATCH("Total_Fluoro_Time", DATOS3!$1:$1,0)))</f>
        <v>#N/A</v>
      </c>
    </row>
    <row r="260" spans="1:11" hidden="1" x14ac:dyDescent="0.25">
      <c r="A260">
        <v>260</v>
      </c>
      <c r="B260" t="e">
        <f t="shared" si="8"/>
        <v>#N/A</v>
      </c>
      <c r="C260" t="e">
        <f t="shared" si="9"/>
        <v>#N/A</v>
      </c>
      <c r="D260" t="e">
        <f>IF(INDEX( DATOS3!$1:$19996,A260,MATCH("PatientID", DATOS3!$1:$1,0))=0,"",INDEX( DATOS3!$1:$19996,A260,MATCH("PatientID", DATOS3!$1:$1,0)))</f>
        <v>#N/A</v>
      </c>
      <c r="F260" t="e">
        <f>IF(INDEX( DATOS3!$1:$19996,A260,MATCH("SeriesDate", DATOS3!$1:$1,0))=0,"",INDEX( DATOS3!$1:$19996,A260,MATCH("SeriesDate", DATOS3!$1:$1,0)))</f>
        <v>#N/A</v>
      </c>
      <c r="G260" t="e">
        <f>IF(INDEX( DATOS3!$1:$19996,A260,MATCH("SeriesTime", DATOS3!$1:$1,0))=0,"",INDEX( DATOS3!$1:$19996,A260,MATCH("SeriesTime", DATOS3!$1:$1,0)))</f>
        <v>#N/A</v>
      </c>
      <c r="H260" t="e">
        <f>IF(INDEX( DATOS3!$1:$19996,A260,MATCH("StudyDescription", DATOS3!$1:$1,0))=0,"",INDEX( DATOS3!$1:$19996,A260,MATCH("StudyDescription", DATOS3!$1:$1,0)))</f>
        <v>#N/A</v>
      </c>
      <c r="I260" t="e">
        <f>IF(INDEX( DATOS3!$1:$19996,A260,MATCH("Dose_Area_Product_Total", DATOS3!$1:$1,0))=0,0,INDEX( DATOS3!$1:$19996,A260,MATCH("Dose_Area_Product", DATOS3!$1:$1,0)))</f>
        <v>#N/A</v>
      </c>
      <c r="J260" t="e">
        <f>IF(INDEX( DATOS3!$1:$19996,A260,MATCH("Dose_RP_Total", DATOS3!$1:$1,0))=0,0,INDEX( DATOS3!$1:$19996,A260,MATCH("Dose_RP", DATOS3!$1:$1,0)))</f>
        <v>#N/A</v>
      </c>
      <c r="K260" t="e">
        <f>IF(INDEX( DATOS3!$1:$19996,A260,MATCH("Total_Fluoro_Time", DATOS3!$1:$1,0))=0,0,INDEX( DATOS3!$1:$19996,A260,MATCH("Total_Fluoro_Time", DATOS3!$1:$1,0)))</f>
        <v>#N/A</v>
      </c>
    </row>
    <row r="261" spans="1:11" hidden="1" x14ac:dyDescent="0.25">
      <c r="A261">
        <v>261</v>
      </c>
      <c r="B261" t="e">
        <f t="shared" si="8"/>
        <v>#N/A</v>
      </c>
      <c r="C261" t="e">
        <f t="shared" si="9"/>
        <v>#N/A</v>
      </c>
      <c r="D261" t="e">
        <f>IF(INDEX( DATOS3!$1:$19996,A261,MATCH("PatientID", DATOS3!$1:$1,0))=0,"",INDEX( DATOS3!$1:$19996,A261,MATCH("PatientID", DATOS3!$1:$1,0)))</f>
        <v>#N/A</v>
      </c>
      <c r="F261" t="e">
        <f>IF(INDEX( DATOS3!$1:$19996,A261,MATCH("SeriesDate", DATOS3!$1:$1,0))=0,"",INDEX( DATOS3!$1:$19996,A261,MATCH("SeriesDate", DATOS3!$1:$1,0)))</f>
        <v>#N/A</v>
      </c>
      <c r="G261" t="e">
        <f>IF(INDEX( DATOS3!$1:$19996,A261,MATCH("SeriesTime", DATOS3!$1:$1,0))=0,"",INDEX( DATOS3!$1:$19996,A261,MATCH("SeriesTime", DATOS3!$1:$1,0)))</f>
        <v>#N/A</v>
      </c>
      <c r="H261" t="e">
        <f>IF(INDEX( DATOS3!$1:$19996,A261,MATCH("StudyDescription", DATOS3!$1:$1,0))=0,"",INDEX( DATOS3!$1:$19996,A261,MATCH("StudyDescription", DATOS3!$1:$1,0)))</f>
        <v>#N/A</v>
      </c>
      <c r="I261" t="e">
        <f>IF(INDEX( DATOS3!$1:$19996,A261,MATCH("Dose_Area_Product_Total", DATOS3!$1:$1,0))=0,0,INDEX( DATOS3!$1:$19996,A261,MATCH("Dose_Area_Product", DATOS3!$1:$1,0)))</f>
        <v>#N/A</v>
      </c>
      <c r="J261" t="e">
        <f>IF(INDEX( DATOS3!$1:$19996,A261,MATCH("Dose_RP_Total", DATOS3!$1:$1,0))=0,0,INDEX( DATOS3!$1:$19996,A261,MATCH("Dose_RP", DATOS3!$1:$1,0)))</f>
        <v>#N/A</v>
      </c>
      <c r="K261" t="e">
        <f>IF(INDEX( DATOS3!$1:$19996,A261,MATCH("Total_Fluoro_Time", DATOS3!$1:$1,0))=0,0,INDEX( DATOS3!$1:$19996,A261,MATCH("Total_Fluoro_Time", DATOS3!$1:$1,0)))</f>
        <v>#N/A</v>
      </c>
    </row>
    <row r="262" spans="1:11" hidden="1" x14ac:dyDescent="0.25">
      <c r="A262">
        <v>262</v>
      </c>
      <c r="B262" t="e">
        <f t="shared" si="8"/>
        <v>#N/A</v>
      </c>
      <c r="C262" t="e">
        <f t="shared" si="9"/>
        <v>#N/A</v>
      </c>
      <c r="D262" t="e">
        <f>IF(INDEX( DATOS3!$1:$19996,A262,MATCH("PatientID", DATOS3!$1:$1,0))=0,"",INDEX( DATOS3!$1:$19996,A262,MATCH("PatientID", DATOS3!$1:$1,0)))</f>
        <v>#N/A</v>
      </c>
      <c r="F262" t="e">
        <f>IF(INDEX( DATOS3!$1:$19996,A262,MATCH("SeriesDate", DATOS3!$1:$1,0))=0,"",INDEX( DATOS3!$1:$19996,A262,MATCH("SeriesDate", DATOS3!$1:$1,0)))</f>
        <v>#N/A</v>
      </c>
      <c r="G262" t="e">
        <f>IF(INDEX( DATOS3!$1:$19996,A262,MATCH("SeriesTime", DATOS3!$1:$1,0))=0,"",INDEX( DATOS3!$1:$19996,A262,MATCH("SeriesTime", DATOS3!$1:$1,0)))</f>
        <v>#N/A</v>
      </c>
      <c r="H262" t="e">
        <f>IF(INDEX( DATOS3!$1:$19996,A262,MATCH("StudyDescription", DATOS3!$1:$1,0))=0,"",INDEX( DATOS3!$1:$19996,A262,MATCH("StudyDescription", DATOS3!$1:$1,0)))</f>
        <v>#N/A</v>
      </c>
      <c r="I262" t="e">
        <f>IF(INDEX( DATOS3!$1:$19996,A262,MATCH("Dose_Area_Product_Total", DATOS3!$1:$1,0))=0,0,INDEX( DATOS3!$1:$19996,A262,MATCH("Dose_Area_Product", DATOS3!$1:$1,0)))</f>
        <v>#N/A</v>
      </c>
      <c r="J262" t="e">
        <f>IF(INDEX( DATOS3!$1:$19996,A262,MATCH("Dose_RP_Total", DATOS3!$1:$1,0))=0,0,INDEX( DATOS3!$1:$19996,A262,MATCH("Dose_RP", DATOS3!$1:$1,0)))</f>
        <v>#N/A</v>
      </c>
      <c r="K262" t="e">
        <f>IF(INDEX( DATOS3!$1:$19996,A262,MATCH("Total_Fluoro_Time", DATOS3!$1:$1,0))=0,0,INDEX( DATOS3!$1:$19996,A262,MATCH("Total_Fluoro_Time", DATOS3!$1:$1,0)))</f>
        <v>#N/A</v>
      </c>
    </row>
    <row r="263" spans="1:11" hidden="1" x14ac:dyDescent="0.25">
      <c r="A263">
        <v>263</v>
      </c>
      <c r="B263" t="e">
        <f t="shared" si="8"/>
        <v>#N/A</v>
      </c>
      <c r="C263" t="e">
        <f t="shared" si="9"/>
        <v>#N/A</v>
      </c>
      <c r="D263" t="e">
        <f>IF(INDEX( DATOS3!$1:$19996,A263,MATCH("PatientID", DATOS3!$1:$1,0))=0,"",INDEX( DATOS3!$1:$19996,A263,MATCH("PatientID", DATOS3!$1:$1,0)))</f>
        <v>#N/A</v>
      </c>
      <c r="F263" t="e">
        <f>IF(INDEX( DATOS3!$1:$19996,A263,MATCH("SeriesDate", DATOS3!$1:$1,0))=0,"",INDEX( DATOS3!$1:$19996,A263,MATCH("SeriesDate", DATOS3!$1:$1,0)))</f>
        <v>#N/A</v>
      </c>
      <c r="G263" t="e">
        <f>IF(INDEX( DATOS3!$1:$19996,A263,MATCH("SeriesTime", DATOS3!$1:$1,0))=0,"",INDEX( DATOS3!$1:$19996,A263,MATCH("SeriesTime", DATOS3!$1:$1,0)))</f>
        <v>#N/A</v>
      </c>
      <c r="H263" t="e">
        <f>IF(INDEX( DATOS3!$1:$19996,A263,MATCH("StudyDescription", DATOS3!$1:$1,0))=0,"",INDEX( DATOS3!$1:$19996,A263,MATCH("StudyDescription", DATOS3!$1:$1,0)))</f>
        <v>#N/A</v>
      </c>
      <c r="I263" t="e">
        <f>IF(INDEX( DATOS3!$1:$19996,A263,MATCH("Dose_Area_Product_Total", DATOS3!$1:$1,0))=0,0,INDEX( DATOS3!$1:$19996,A263,MATCH("Dose_Area_Product", DATOS3!$1:$1,0)))</f>
        <v>#N/A</v>
      </c>
      <c r="J263" t="e">
        <f>IF(INDEX( DATOS3!$1:$19996,A263,MATCH("Dose_RP_Total", DATOS3!$1:$1,0))=0,0,INDEX( DATOS3!$1:$19996,A263,MATCH("Dose_RP", DATOS3!$1:$1,0)))</f>
        <v>#N/A</v>
      </c>
      <c r="K263" t="e">
        <f>IF(INDEX( DATOS3!$1:$19996,A263,MATCH("Total_Fluoro_Time", DATOS3!$1:$1,0))=0,0,INDEX( DATOS3!$1:$19996,A263,MATCH("Total_Fluoro_Time", DATOS3!$1:$1,0)))</f>
        <v>#N/A</v>
      </c>
    </row>
    <row r="264" spans="1:11" hidden="1" x14ac:dyDescent="0.25">
      <c r="A264">
        <v>264</v>
      </c>
      <c r="B264" t="e">
        <f t="shared" si="8"/>
        <v>#N/A</v>
      </c>
      <c r="C264" t="e">
        <f t="shared" si="9"/>
        <v>#N/A</v>
      </c>
      <c r="D264" t="e">
        <f>IF(INDEX( DATOS3!$1:$19996,A264,MATCH("PatientID", DATOS3!$1:$1,0))=0,"",INDEX( DATOS3!$1:$19996,A264,MATCH("PatientID", DATOS3!$1:$1,0)))</f>
        <v>#N/A</v>
      </c>
      <c r="F264" t="e">
        <f>IF(INDEX( DATOS3!$1:$19996,A264,MATCH("SeriesDate", DATOS3!$1:$1,0))=0,"",INDEX( DATOS3!$1:$19996,A264,MATCH("SeriesDate", DATOS3!$1:$1,0)))</f>
        <v>#N/A</v>
      </c>
      <c r="G264" t="e">
        <f>IF(INDEX( DATOS3!$1:$19996,A264,MATCH("SeriesTime", DATOS3!$1:$1,0))=0,"",INDEX( DATOS3!$1:$19996,A264,MATCH("SeriesTime", DATOS3!$1:$1,0)))</f>
        <v>#N/A</v>
      </c>
      <c r="H264" t="e">
        <f>IF(INDEX( DATOS3!$1:$19996,A264,MATCH("StudyDescription", DATOS3!$1:$1,0))=0,"",INDEX( DATOS3!$1:$19996,A264,MATCH("StudyDescription", DATOS3!$1:$1,0)))</f>
        <v>#N/A</v>
      </c>
      <c r="I264" t="e">
        <f>IF(INDEX( DATOS3!$1:$19996,A264,MATCH("Dose_Area_Product_Total", DATOS3!$1:$1,0))=0,0,INDEX( DATOS3!$1:$19996,A264,MATCH("Dose_Area_Product", DATOS3!$1:$1,0)))</f>
        <v>#N/A</v>
      </c>
      <c r="J264" t="e">
        <f>IF(INDEX( DATOS3!$1:$19996,A264,MATCH("Dose_RP_Total", DATOS3!$1:$1,0))=0,0,INDEX( DATOS3!$1:$19996,A264,MATCH("Dose_RP", DATOS3!$1:$1,0)))</f>
        <v>#N/A</v>
      </c>
      <c r="K264" t="e">
        <f>IF(INDEX( DATOS3!$1:$19996,A264,MATCH("Total_Fluoro_Time", DATOS3!$1:$1,0))=0,0,INDEX( DATOS3!$1:$19996,A264,MATCH("Total_Fluoro_Time", DATOS3!$1:$1,0)))</f>
        <v>#N/A</v>
      </c>
    </row>
    <row r="265" spans="1:11" hidden="1" x14ac:dyDescent="0.25">
      <c r="A265">
        <v>265</v>
      </c>
      <c r="B265" t="e">
        <f t="shared" si="8"/>
        <v>#N/A</v>
      </c>
      <c r="C265" t="e">
        <f t="shared" si="9"/>
        <v>#N/A</v>
      </c>
      <c r="D265" t="e">
        <f>IF(INDEX( DATOS3!$1:$19996,A265,MATCH("PatientID", DATOS3!$1:$1,0))=0,"",INDEX( DATOS3!$1:$19996,A265,MATCH("PatientID", DATOS3!$1:$1,0)))</f>
        <v>#N/A</v>
      </c>
      <c r="F265" t="e">
        <f>IF(INDEX( DATOS3!$1:$19996,A265,MATCH("SeriesDate", DATOS3!$1:$1,0))=0,"",INDEX( DATOS3!$1:$19996,A265,MATCH("SeriesDate", DATOS3!$1:$1,0)))</f>
        <v>#N/A</v>
      </c>
      <c r="G265" t="e">
        <f>IF(INDEX( DATOS3!$1:$19996,A265,MATCH("SeriesTime", DATOS3!$1:$1,0))=0,"",INDEX( DATOS3!$1:$19996,A265,MATCH("SeriesTime", DATOS3!$1:$1,0)))</f>
        <v>#N/A</v>
      </c>
      <c r="H265" t="e">
        <f>IF(INDEX( DATOS3!$1:$19996,A265,MATCH("StudyDescription", DATOS3!$1:$1,0))=0,"",INDEX( DATOS3!$1:$19996,A265,MATCH("StudyDescription", DATOS3!$1:$1,0)))</f>
        <v>#N/A</v>
      </c>
      <c r="I265" t="e">
        <f>IF(INDEX( DATOS3!$1:$19996,A265,MATCH("Dose_Area_Product_Total", DATOS3!$1:$1,0))=0,0,INDEX( DATOS3!$1:$19996,A265,MATCH("Dose_Area_Product", DATOS3!$1:$1,0)))</f>
        <v>#N/A</v>
      </c>
      <c r="J265" t="e">
        <f>IF(INDEX( DATOS3!$1:$19996,A265,MATCH("Dose_RP_Total", DATOS3!$1:$1,0))=0,0,INDEX( DATOS3!$1:$19996,A265,MATCH("Dose_RP", DATOS3!$1:$1,0)))</f>
        <v>#N/A</v>
      </c>
      <c r="K265" t="e">
        <f>IF(INDEX( DATOS3!$1:$19996,A265,MATCH("Total_Fluoro_Time", DATOS3!$1:$1,0))=0,0,INDEX( DATOS3!$1:$19996,A265,MATCH("Total_Fluoro_Time", DATOS3!$1:$1,0)))</f>
        <v>#N/A</v>
      </c>
    </row>
    <row r="266" spans="1:11" hidden="1" x14ac:dyDescent="0.25">
      <c r="A266">
        <v>266</v>
      </c>
      <c r="B266" t="e">
        <f t="shared" si="8"/>
        <v>#N/A</v>
      </c>
      <c r="C266" t="e">
        <f t="shared" si="9"/>
        <v>#N/A</v>
      </c>
      <c r="D266" t="e">
        <f>IF(INDEX( DATOS3!$1:$19996,A266,MATCH("PatientID", DATOS3!$1:$1,0))=0,"",INDEX( DATOS3!$1:$19996,A266,MATCH("PatientID", DATOS3!$1:$1,0)))</f>
        <v>#N/A</v>
      </c>
      <c r="F266" t="e">
        <f>IF(INDEX( DATOS3!$1:$19996,A266,MATCH("SeriesDate", DATOS3!$1:$1,0))=0,"",INDEX( DATOS3!$1:$19996,A266,MATCH("SeriesDate", DATOS3!$1:$1,0)))</f>
        <v>#N/A</v>
      </c>
      <c r="G266" t="e">
        <f>IF(INDEX( DATOS3!$1:$19996,A266,MATCH("SeriesTime", DATOS3!$1:$1,0))=0,"",INDEX( DATOS3!$1:$19996,A266,MATCH("SeriesTime", DATOS3!$1:$1,0)))</f>
        <v>#N/A</v>
      </c>
      <c r="H266" t="e">
        <f>IF(INDEX( DATOS3!$1:$19996,A266,MATCH("StudyDescription", DATOS3!$1:$1,0))=0,"",INDEX( DATOS3!$1:$19996,A266,MATCH("StudyDescription", DATOS3!$1:$1,0)))</f>
        <v>#N/A</v>
      </c>
      <c r="I266" t="e">
        <f>IF(INDEX( DATOS3!$1:$19996,A266,MATCH("Dose_Area_Product_Total", DATOS3!$1:$1,0))=0,0,INDEX( DATOS3!$1:$19996,A266,MATCH("Dose_Area_Product", DATOS3!$1:$1,0)))</f>
        <v>#N/A</v>
      </c>
      <c r="J266" t="e">
        <f>IF(INDEX( DATOS3!$1:$19996,A266,MATCH("Dose_RP_Total", DATOS3!$1:$1,0))=0,0,INDEX( DATOS3!$1:$19996,A266,MATCH("Dose_RP", DATOS3!$1:$1,0)))</f>
        <v>#N/A</v>
      </c>
      <c r="K266" t="e">
        <f>IF(INDEX( DATOS3!$1:$19996,A266,MATCH("Total_Fluoro_Time", DATOS3!$1:$1,0))=0,0,INDEX( DATOS3!$1:$19996,A266,MATCH("Total_Fluoro_Time", DATOS3!$1:$1,0)))</f>
        <v>#N/A</v>
      </c>
    </row>
    <row r="267" spans="1:11" hidden="1" x14ac:dyDescent="0.25">
      <c r="A267">
        <v>267</v>
      </c>
      <c r="B267" t="e">
        <f t="shared" si="8"/>
        <v>#N/A</v>
      </c>
      <c r="C267" t="e">
        <f t="shared" si="9"/>
        <v>#N/A</v>
      </c>
      <c r="D267" t="e">
        <f>IF(INDEX( DATOS3!$1:$19996,A267,MATCH("PatientID", DATOS3!$1:$1,0))=0,"",INDEX( DATOS3!$1:$19996,A267,MATCH("PatientID", DATOS3!$1:$1,0)))</f>
        <v>#N/A</v>
      </c>
      <c r="F267" t="e">
        <f>IF(INDEX( DATOS3!$1:$19996,A267,MATCH("SeriesDate", DATOS3!$1:$1,0))=0,"",INDEX( DATOS3!$1:$19996,A267,MATCH("SeriesDate", DATOS3!$1:$1,0)))</f>
        <v>#N/A</v>
      </c>
      <c r="G267" t="e">
        <f>IF(INDEX( DATOS3!$1:$19996,A267,MATCH("SeriesTime", DATOS3!$1:$1,0))=0,"",INDEX( DATOS3!$1:$19996,A267,MATCH("SeriesTime", DATOS3!$1:$1,0)))</f>
        <v>#N/A</v>
      </c>
      <c r="H267" t="e">
        <f>IF(INDEX( DATOS3!$1:$19996,A267,MATCH("StudyDescription", DATOS3!$1:$1,0))=0,"",INDEX( DATOS3!$1:$19996,A267,MATCH("StudyDescription", DATOS3!$1:$1,0)))</f>
        <v>#N/A</v>
      </c>
      <c r="I267" t="e">
        <f>IF(INDEX( DATOS3!$1:$19996,A267,MATCH("Dose_Area_Product_Total", DATOS3!$1:$1,0))=0,0,INDEX( DATOS3!$1:$19996,A267,MATCH("Dose_Area_Product", DATOS3!$1:$1,0)))</f>
        <v>#N/A</v>
      </c>
      <c r="J267" t="e">
        <f>IF(INDEX( DATOS3!$1:$19996,A267,MATCH("Dose_RP_Total", DATOS3!$1:$1,0))=0,0,INDEX( DATOS3!$1:$19996,A267,MATCH("Dose_RP", DATOS3!$1:$1,0)))</f>
        <v>#N/A</v>
      </c>
      <c r="K267" t="e">
        <f>IF(INDEX( DATOS3!$1:$19996,A267,MATCH("Total_Fluoro_Time", DATOS3!$1:$1,0))=0,0,INDEX( DATOS3!$1:$19996,A267,MATCH("Total_Fluoro_Time", DATOS3!$1:$1,0)))</f>
        <v>#N/A</v>
      </c>
    </row>
    <row r="268" spans="1:11" hidden="1" x14ac:dyDescent="0.25">
      <c r="A268">
        <v>268</v>
      </c>
      <c r="B268" t="e">
        <f t="shared" si="8"/>
        <v>#N/A</v>
      </c>
      <c r="C268" t="e">
        <f t="shared" si="9"/>
        <v>#N/A</v>
      </c>
      <c r="D268" t="e">
        <f>IF(INDEX( DATOS3!$1:$19996,A268,MATCH("PatientID", DATOS3!$1:$1,0))=0,"",INDEX( DATOS3!$1:$19996,A268,MATCH("PatientID", DATOS3!$1:$1,0)))</f>
        <v>#N/A</v>
      </c>
      <c r="F268" t="e">
        <f>IF(INDEX( DATOS3!$1:$19996,A268,MATCH("SeriesDate", DATOS3!$1:$1,0))=0,"",INDEX( DATOS3!$1:$19996,A268,MATCH("SeriesDate", DATOS3!$1:$1,0)))</f>
        <v>#N/A</v>
      </c>
      <c r="G268" t="e">
        <f>IF(INDEX( DATOS3!$1:$19996,A268,MATCH("SeriesTime", DATOS3!$1:$1,0))=0,"",INDEX( DATOS3!$1:$19996,A268,MATCH("SeriesTime", DATOS3!$1:$1,0)))</f>
        <v>#N/A</v>
      </c>
      <c r="H268" t="e">
        <f>IF(INDEX( DATOS3!$1:$19996,A268,MATCH("StudyDescription", DATOS3!$1:$1,0))=0,"",INDEX( DATOS3!$1:$19996,A268,MATCH("StudyDescription", DATOS3!$1:$1,0)))</f>
        <v>#N/A</v>
      </c>
      <c r="I268" t="e">
        <f>IF(INDEX( DATOS3!$1:$19996,A268,MATCH("Dose_Area_Product_Total", DATOS3!$1:$1,0))=0,0,INDEX( DATOS3!$1:$19996,A268,MATCH("Dose_Area_Product", DATOS3!$1:$1,0)))</f>
        <v>#N/A</v>
      </c>
      <c r="J268" t="e">
        <f>IF(INDEX( DATOS3!$1:$19996,A268,MATCH("Dose_RP_Total", DATOS3!$1:$1,0))=0,0,INDEX( DATOS3!$1:$19996,A268,MATCH("Dose_RP", DATOS3!$1:$1,0)))</f>
        <v>#N/A</v>
      </c>
      <c r="K268" t="e">
        <f>IF(INDEX( DATOS3!$1:$19996,A268,MATCH("Total_Fluoro_Time", DATOS3!$1:$1,0))=0,0,INDEX( DATOS3!$1:$19996,A268,MATCH("Total_Fluoro_Time", DATOS3!$1:$1,0)))</f>
        <v>#N/A</v>
      </c>
    </row>
    <row r="269" spans="1:11" hidden="1" x14ac:dyDescent="0.25">
      <c r="A269">
        <v>269</v>
      </c>
      <c r="B269" t="e">
        <f t="shared" si="8"/>
        <v>#N/A</v>
      </c>
      <c r="C269" t="e">
        <f t="shared" si="9"/>
        <v>#N/A</v>
      </c>
      <c r="D269" t="e">
        <f>IF(INDEX( DATOS3!$1:$19996,A269,MATCH("PatientID", DATOS3!$1:$1,0))=0,"",INDEX( DATOS3!$1:$19996,A269,MATCH("PatientID", DATOS3!$1:$1,0)))</f>
        <v>#N/A</v>
      </c>
      <c r="F269" t="e">
        <f>IF(INDEX( DATOS3!$1:$19996,A269,MATCH("SeriesDate", DATOS3!$1:$1,0))=0,"",INDEX( DATOS3!$1:$19996,A269,MATCH("SeriesDate", DATOS3!$1:$1,0)))</f>
        <v>#N/A</v>
      </c>
      <c r="G269" t="e">
        <f>IF(INDEX( DATOS3!$1:$19996,A269,MATCH("SeriesTime", DATOS3!$1:$1,0))=0,"",INDEX( DATOS3!$1:$19996,A269,MATCH("SeriesTime", DATOS3!$1:$1,0)))</f>
        <v>#N/A</v>
      </c>
      <c r="H269" t="e">
        <f>IF(INDEX( DATOS3!$1:$19996,A269,MATCH("StudyDescription", DATOS3!$1:$1,0))=0,"",INDEX( DATOS3!$1:$19996,A269,MATCH("StudyDescription", DATOS3!$1:$1,0)))</f>
        <v>#N/A</v>
      </c>
      <c r="I269" t="e">
        <f>IF(INDEX( DATOS3!$1:$19996,A269,MATCH("Dose_Area_Product_Total", DATOS3!$1:$1,0))=0,0,INDEX( DATOS3!$1:$19996,A269,MATCH("Dose_Area_Product", DATOS3!$1:$1,0)))</f>
        <v>#N/A</v>
      </c>
      <c r="J269" t="e">
        <f>IF(INDEX( DATOS3!$1:$19996,A269,MATCH("Dose_RP_Total", DATOS3!$1:$1,0))=0,0,INDEX( DATOS3!$1:$19996,A269,MATCH("Dose_RP", DATOS3!$1:$1,0)))</f>
        <v>#N/A</v>
      </c>
      <c r="K269" t="e">
        <f>IF(INDEX( DATOS3!$1:$19996,A269,MATCH("Total_Fluoro_Time", DATOS3!$1:$1,0))=0,0,INDEX( DATOS3!$1:$19996,A269,MATCH("Total_Fluoro_Time", DATOS3!$1:$1,0)))</f>
        <v>#N/A</v>
      </c>
    </row>
    <row r="270" spans="1:11" hidden="1" x14ac:dyDescent="0.25">
      <c r="A270">
        <v>270</v>
      </c>
      <c r="B270" t="e">
        <f t="shared" si="8"/>
        <v>#N/A</v>
      </c>
      <c r="C270" t="e">
        <f t="shared" si="9"/>
        <v>#N/A</v>
      </c>
      <c r="D270" t="e">
        <f>IF(INDEX( DATOS3!$1:$19996,A270,MATCH("PatientID", DATOS3!$1:$1,0))=0,"",INDEX( DATOS3!$1:$19996,A270,MATCH("PatientID", DATOS3!$1:$1,0)))</f>
        <v>#N/A</v>
      </c>
      <c r="F270" t="e">
        <f>IF(INDEX( DATOS3!$1:$19996,A270,MATCH("SeriesDate", DATOS3!$1:$1,0))=0,"",INDEX( DATOS3!$1:$19996,A270,MATCH("SeriesDate", DATOS3!$1:$1,0)))</f>
        <v>#N/A</v>
      </c>
      <c r="G270" t="e">
        <f>IF(INDEX( DATOS3!$1:$19996,A270,MATCH("SeriesTime", DATOS3!$1:$1,0))=0,"",INDEX( DATOS3!$1:$19996,A270,MATCH("SeriesTime", DATOS3!$1:$1,0)))</f>
        <v>#N/A</v>
      </c>
      <c r="H270" t="e">
        <f>IF(INDEX( DATOS3!$1:$19996,A270,MATCH("StudyDescription", DATOS3!$1:$1,0))=0,"",INDEX( DATOS3!$1:$19996,A270,MATCH("StudyDescription", DATOS3!$1:$1,0)))</f>
        <v>#N/A</v>
      </c>
      <c r="I270" t="e">
        <f>IF(INDEX( DATOS3!$1:$19996,A270,MATCH("Dose_Area_Product_Total", DATOS3!$1:$1,0))=0,0,INDEX( DATOS3!$1:$19996,A270,MATCH("Dose_Area_Product", DATOS3!$1:$1,0)))</f>
        <v>#N/A</v>
      </c>
      <c r="J270" t="e">
        <f>IF(INDEX( DATOS3!$1:$19996,A270,MATCH("Dose_RP_Total", DATOS3!$1:$1,0))=0,0,INDEX( DATOS3!$1:$19996,A270,MATCH("Dose_RP", DATOS3!$1:$1,0)))</f>
        <v>#N/A</v>
      </c>
      <c r="K270" t="e">
        <f>IF(INDEX( DATOS3!$1:$19996,A270,MATCH("Total_Fluoro_Time", DATOS3!$1:$1,0))=0,0,INDEX( DATOS3!$1:$19996,A270,MATCH("Total_Fluoro_Time", DATOS3!$1:$1,0)))</f>
        <v>#N/A</v>
      </c>
    </row>
    <row r="271" spans="1:11" hidden="1" x14ac:dyDescent="0.25">
      <c r="A271">
        <v>271</v>
      </c>
      <c r="B271" t="e">
        <f t="shared" si="8"/>
        <v>#N/A</v>
      </c>
      <c r="C271" t="e">
        <f t="shared" si="9"/>
        <v>#N/A</v>
      </c>
      <c r="D271" t="e">
        <f>IF(INDEX( DATOS3!$1:$19996,A271,MATCH("PatientID", DATOS3!$1:$1,0))=0,"",INDEX( DATOS3!$1:$19996,A271,MATCH("PatientID", DATOS3!$1:$1,0)))</f>
        <v>#N/A</v>
      </c>
      <c r="F271" t="e">
        <f>IF(INDEX( DATOS3!$1:$19996,A271,MATCH("SeriesDate", DATOS3!$1:$1,0))=0,"",INDEX( DATOS3!$1:$19996,A271,MATCH("SeriesDate", DATOS3!$1:$1,0)))</f>
        <v>#N/A</v>
      </c>
      <c r="G271" t="e">
        <f>IF(INDEX( DATOS3!$1:$19996,A271,MATCH("SeriesTime", DATOS3!$1:$1,0))=0,"",INDEX( DATOS3!$1:$19996,A271,MATCH("SeriesTime", DATOS3!$1:$1,0)))</f>
        <v>#N/A</v>
      </c>
      <c r="H271" t="e">
        <f>IF(INDEX( DATOS3!$1:$19996,A271,MATCH("StudyDescription", DATOS3!$1:$1,0))=0,"",INDEX( DATOS3!$1:$19996,A271,MATCH("StudyDescription", DATOS3!$1:$1,0)))</f>
        <v>#N/A</v>
      </c>
      <c r="I271" t="e">
        <f>IF(INDEX( DATOS3!$1:$19996,A271,MATCH("Dose_Area_Product_Total", DATOS3!$1:$1,0))=0,0,INDEX( DATOS3!$1:$19996,A271,MATCH("Dose_Area_Product", DATOS3!$1:$1,0)))</f>
        <v>#N/A</v>
      </c>
      <c r="J271" t="e">
        <f>IF(INDEX( DATOS3!$1:$19996,A271,MATCH("Dose_RP_Total", DATOS3!$1:$1,0))=0,0,INDEX( DATOS3!$1:$19996,A271,MATCH("Dose_RP", DATOS3!$1:$1,0)))</f>
        <v>#N/A</v>
      </c>
      <c r="K271" t="e">
        <f>IF(INDEX( DATOS3!$1:$19996,A271,MATCH("Total_Fluoro_Time", DATOS3!$1:$1,0))=0,0,INDEX( DATOS3!$1:$19996,A271,MATCH("Total_Fluoro_Time", DATOS3!$1:$1,0)))</f>
        <v>#N/A</v>
      </c>
    </row>
    <row r="272" spans="1:11" hidden="1" x14ac:dyDescent="0.25">
      <c r="A272">
        <v>272</v>
      </c>
      <c r="B272" t="e">
        <f t="shared" si="8"/>
        <v>#N/A</v>
      </c>
      <c r="C272" t="e">
        <f t="shared" si="9"/>
        <v>#N/A</v>
      </c>
      <c r="D272" t="e">
        <f>IF(INDEX( DATOS3!$1:$19996,A272,MATCH("PatientID", DATOS3!$1:$1,0))=0,"",INDEX( DATOS3!$1:$19996,A272,MATCH("PatientID", DATOS3!$1:$1,0)))</f>
        <v>#N/A</v>
      </c>
      <c r="F272" t="e">
        <f>IF(INDEX( DATOS3!$1:$19996,A272,MATCH("SeriesDate", DATOS3!$1:$1,0))=0,"",INDEX( DATOS3!$1:$19996,A272,MATCH("SeriesDate", DATOS3!$1:$1,0)))</f>
        <v>#N/A</v>
      </c>
      <c r="G272" t="e">
        <f>IF(INDEX( DATOS3!$1:$19996,A272,MATCH("SeriesTime", DATOS3!$1:$1,0))=0,"",INDEX( DATOS3!$1:$19996,A272,MATCH("SeriesTime", DATOS3!$1:$1,0)))</f>
        <v>#N/A</v>
      </c>
      <c r="H272" t="e">
        <f>IF(INDEX( DATOS3!$1:$19996,A272,MATCH("StudyDescription", DATOS3!$1:$1,0))=0,"",INDEX( DATOS3!$1:$19996,A272,MATCH("StudyDescription", DATOS3!$1:$1,0)))</f>
        <v>#N/A</v>
      </c>
      <c r="I272" t="e">
        <f>IF(INDEX( DATOS3!$1:$19996,A272,MATCH("Dose_Area_Product_Total", DATOS3!$1:$1,0))=0,0,INDEX( DATOS3!$1:$19996,A272,MATCH("Dose_Area_Product", DATOS3!$1:$1,0)))</f>
        <v>#N/A</v>
      </c>
      <c r="J272" t="e">
        <f>IF(INDEX( DATOS3!$1:$19996,A272,MATCH("Dose_RP_Total", DATOS3!$1:$1,0))=0,0,INDEX( DATOS3!$1:$19996,A272,MATCH("Dose_RP", DATOS3!$1:$1,0)))</f>
        <v>#N/A</v>
      </c>
      <c r="K272" t="e">
        <f>IF(INDEX( DATOS3!$1:$19996,A272,MATCH("Total_Fluoro_Time", DATOS3!$1:$1,0))=0,0,INDEX( DATOS3!$1:$19996,A272,MATCH("Total_Fluoro_Time", DATOS3!$1:$1,0)))</f>
        <v>#N/A</v>
      </c>
    </row>
    <row r="273" spans="1:11" hidden="1" x14ac:dyDescent="0.25">
      <c r="A273">
        <v>273</v>
      </c>
      <c r="B273" t="e">
        <f t="shared" si="8"/>
        <v>#N/A</v>
      </c>
      <c r="C273" t="e">
        <f t="shared" si="9"/>
        <v>#N/A</v>
      </c>
      <c r="D273" t="e">
        <f>IF(INDEX( DATOS3!$1:$19996,A273,MATCH("PatientID", DATOS3!$1:$1,0))=0,"",INDEX( DATOS3!$1:$19996,A273,MATCH("PatientID", DATOS3!$1:$1,0)))</f>
        <v>#N/A</v>
      </c>
      <c r="F273" t="e">
        <f>IF(INDEX( DATOS3!$1:$19996,A273,MATCH("SeriesDate", DATOS3!$1:$1,0))=0,"",INDEX( DATOS3!$1:$19996,A273,MATCH("SeriesDate", DATOS3!$1:$1,0)))</f>
        <v>#N/A</v>
      </c>
      <c r="G273" t="e">
        <f>IF(INDEX( DATOS3!$1:$19996,A273,MATCH("SeriesTime", DATOS3!$1:$1,0))=0,"",INDEX( DATOS3!$1:$19996,A273,MATCH("SeriesTime", DATOS3!$1:$1,0)))</f>
        <v>#N/A</v>
      </c>
      <c r="H273" t="e">
        <f>IF(INDEX( DATOS3!$1:$19996,A273,MATCH("StudyDescription", DATOS3!$1:$1,0))=0,"",INDEX( DATOS3!$1:$19996,A273,MATCH("StudyDescription", DATOS3!$1:$1,0)))</f>
        <v>#N/A</v>
      </c>
      <c r="I273" t="e">
        <f>IF(INDEX( DATOS3!$1:$19996,A273,MATCH("Dose_Area_Product_Total", DATOS3!$1:$1,0))=0,0,INDEX( DATOS3!$1:$19996,A273,MATCH("Dose_Area_Product", DATOS3!$1:$1,0)))</f>
        <v>#N/A</v>
      </c>
      <c r="J273" t="e">
        <f>IF(INDEX( DATOS3!$1:$19996,A273,MATCH("Dose_RP_Total", DATOS3!$1:$1,0))=0,0,INDEX( DATOS3!$1:$19996,A273,MATCH("Dose_RP", DATOS3!$1:$1,0)))</f>
        <v>#N/A</v>
      </c>
      <c r="K273" t="e">
        <f>IF(INDEX( DATOS3!$1:$19996,A273,MATCH("Total_Fluoro_Time", DATOS3!$1:$1,0))=0,0,INDEX( DATOS3!$1:$19996,A273,MATCH("Total_Fluoro_Time", DATOS3!$1:$1,0)))</f>
        <v>#N/A</v>
      </c>
    </row>
    <row r="274" spans="1:11" hidden="1" x14ac:dyDescent="0.25">
      <c r="A274">
        <v>274</v>
      </c>
      <c r="B274" t="e">
        <f t="shared" si="8"/>
        <v>#N/A</v>
      </c>
      <c r="C274" t="e">
        <f t="shared" si="9"/>
        <v>#N/A</v>
      </c>
      <c r="D274" t="e">
        <f>IF(INDEX( DATOS3!$1:$19996,A274,MATCH("PatientID", DATOS3!$1:$1,0))=0,"",INDEX( DATOS3!$1:$19996,A274,MATCH("PatientID", DATOS3!$1:$1,0)))</f>
        <v>#N/A</v>
      </c>
      <c r="F274" t="e">
        <f>IF(INDEX( DATOS3!$1:$19996,A274,MATCH("SeriesDate", DATOS3!$1:$1,0))=0,"",INDEX( DATOS3!$1:$19996,A274,MATCH("SeriesDate", DATOS3!$1:$1,0)))</f>
        <v>#N/A</v>
      </c>
      <c r="G274" t="e">
        <f>IF(INDEX( DATOS3!$1:$19996,A274,MATCH("SeriesTime", DATOS3!$1:$1,0))=0,"",INDEX( DATOS3!$1:$19996,A274,MATCH("SeriesTime", DATOS3!$1:$1,0)))</f>
        <v>#N/A</v>
      </c>
      <c r="H274" t="e">
        <f>IF(INDEX( DATOS3!$1:$19996,A274,MATCH("StudyDescription", DATOS3!$1:$1,0))=0,"",INDEX( DATOS3!$1:$19996,A274,MATCH("StudyDescription", DATOS3!$1:$1,0)))</f>
        <v>#N/A</v>
      </c>
      <c r="I274" t="e">
        <f>IF(INDEX( DATOS3!$1:$19996,A274,MATCH("Dose_Area_Product_Total", DATOS3!$1:$1,0))=0,0,INDEX( DATOS3!$1:$19996,A274,MATCH("Dose_Area_Product", DATOS3!$1:$1,0)))</f>
        <v>#N/A</v>
      </c>
      <c r="J274" t="e">
        <f>IF(INDEX( DATOS3!$1:$19996,A274,MATCH("Dose_RP_Total", DATOS3!$1:$1,0))=0,0,INDEX( DATOS3!$1:$19996,A274,MATCH("Dose_RP", DATOS3!$1:$1,0)))</f>
        <v>#N/A</v>
      </c>
      <c r="K274" t="e">
        <f>IF(INDEX( DATOS3!$1:$19996,A274,MATCH("Total_Fluoro_Time", DATOS3!$1:$1,0))=0,0,INDEX( DATOS3!$1:$19996,A274,MATCH("Total_Fluoro_Time", DATOS3!$1:$1,0)))</f>
        <v>#N/A</v>
      </c>
    </row>
    <row r="275" spans="1:11" hidden="1" x14ac:dyDescent="0.25">
      <c r="A275">
        <v>275</v>
      </c>
      <c r="B275" t="e">
        <f t="shared" si="8"/>
        <v>#N/A</v>
      </c>
      <c r="C275" t="e">
        <f t="shared" si="9"/>
        <v>#N/A</v>
      </c>
      <c r="D275" t="e">
        <f>IF(INDEX( DATOS3!$1:$19996,A275,MATCH("PatientID", DATOS3!$1:$1,0))=0,"",INDEX( DATOS3!$1:$19996,A275,MATCH("PatientID", DATOS3!$1:$1,0)))</f>
        <v>#N/A</v>
      </c>
      <c r="F275" t="e">
        <f>IF(INDEX( DATOS3!$1:$19996,A275,MATCH("SeriesDate", DATOS3!$1:$1,0))=0,"",INDEX( DATOS3!$1:$19996,A275,MATCH("SeriesDate", DATOS3!$1:$1,0)))</f>
        <v>#N/A</v>
      </c>
      <c r="G275" t="e">
        <f>IF(INDEX( DATOS3!$1:$19996,A275,MATCH("SeriesTime", DATOS3!$1:$1,0))=0,"",INDEX( DATOS3!$1:$19996,A275,MATCH("SeriesTime", DATOS3!$1:$1,0)))</f>
        <v>#N/A</v>
      </c>
      <c r="H275" t="e">
        <f>IF(INDEX( DATOS3!$1:$19996,A275,MATCH("StudyDescription", DATOS3!$1:$1,0))=0,"",INDEX( DATOS3!$1:$19996,A275,MATCH("StudyDescription", DATOS3!$1:$1,0)))</f>
        <v>#N/A</v>
      </c>
      <c r="I275" t="e">
        <f>IF(INDEX( DATOS3!$1:$19996,A275,MATCH("Dose_Area_Product_Total", DATOS3!$1:$1,0))=0,0,INDEX( DATOS3!$1:$19996,A275,MATCH("Dose_Area_Product", DATOS3!$1:$1,0)))</f>
        <v>#N/A</v>
      </c>
      <c r="J275" t="e">
        <f>IF(INDEX( DATOS3!$1:$19996,A275,MATCH("Dose_RP_Total", DATOS3!$1:$1,0))=0,0,INDEX( DATOS3!$1:$19996,A275,MATCH("Dose_RP", DATOS3!$1:$1,0)))</f>
        <v>#N/A</v>
      </c>
      <c r="K275" t="e">
        <f>IF(INDEX( DATOS3!$1:$19996,A275,MATCH("Total_Fluoro_Time", DATOS3!$1:$1,0))=0,0,INDEX( DATOS3!$1:$19996,A275,MATCH("Total_Fluoro_Time", DATOS3!$1:$1,0)))</f>
        <v>#N/A</v>
      </c>
    </row>
    <row r="276" spans="1:11" hidden="1" x14ac:dyDescent="0.25">
      <c r="A276">
        <v>276</v>
      </c>
      <c r="B276" t="e">
        <f t="shared" si="8"/>
        <v>#N/A</v>
      </c>
      <c r="C276" t="e">
        <f t="shared" si="9"/>
        <v>#N/A</v>
      </c>
      <c r="D276" t="e">
        <f>IF(INDEX( DATOS3!$1:$19996,A276,MATCH("PatientID", DATOS3!$1:$1,0))=0,"",INDEX( DATOS3!$1:$19996,A276,MATCH("PatientID", DATOS3!$1:$1,0)))</f>
        <v>#N/A</v>
      </c>
      <c r="F276" t="e">
        <f>IF(INDEX( DATOS3!$1:$19996,A276,MATCH("SeriesDate", DATOS3!$1:$1,0))=0,"",INDEX( DATOS3!$1:$19996,A276,MATCH("SeriesDate", DATOS3!$1:$1,0)))</f>
        <v>#N/A</v>
      </c>
      <c r="G276" t="e">
        <f>IF(INDEX( DATOS3!$1:$19996,A276,MATCH("SeriesTime", DATOS3!$1:$1,0))=0,"",INDEX( DATOS3!$1:$19996,A276,MATCH("SeriesTime", DATOS3!$1:$1,0)))</f>
        <v>#N/A</v>
      </c>
      <c r="H276" t="e">
        <f>IF(INDEX( DATOS3!$1:$19996,A276,MATCH("StudyDescription", DATOS3!$1:$1,0))=0,"",INDEX( DATOS3!$1:$19996,A276,MATCH("StudyDescription", DATOS3!$1:$1,0)))</f>
        <v>#N/A</v>
      </c>
      <c r="I276" t="e">
        <f>IF(INDEX( DATOS3!$1:$19996,A276,MATCH("Dose_Area_Product_Total", DATOS3!$1:$1,0))=0,0,INDEX( DATOS3!$1:$19996,A276,MATCH("Dose_Area_Product", DATOS3!$1:$1,0)))</f>
        <v>#N/A</v>
      </c>
      <c r="J276" t="e">
        <f>IF(INDEX( DATOS3!$1:$19996,A276,MATCH("Dose_RP_Total", DATOS3!$1:$1,0))=0,0,INDEX( DATOS3!$1:$19996,A276,MATCH("Dose_RP", DATOS3!$1:$1,0)))</f>
        <v>#N/A</v>
      </c>
      <c r="K276" t="e">
        <f>IF(INDEX( DATOS3!$1:$19996,A276,MATCH("Total_Fluoro_Time", DATOS3!$1:$1,0))=0,0,INDEX( DATOS3!$1:$19996,A276,MATCH("Total_Fluoro_Time", DATOS3!$1:$1,0)))</f>
        <v>#N/A</v>
      </c>
    </row>
    <row r="277" spans="1:11" hidden="1" x14ac:dyDescent="0.25">
      <c r="A277">
        <v>277</v>
      </c>
      <c r="B277" t="e">
        <f t="shared" si="8"/>
        <v>#N/A</v>
      </c>
      <c r="C277" t="e">
        <f t="shared" si="9"/>
        <v>#N/A</v>
      </c>
      <c r="D277" t="e">
        <f>IF(INDEX( DATOS3!$1:$19996,A277,MATCH("PatientID", DATOS3!$1:$1,0))=0,"",INDEX( DATOS3!$1:$19996,A277,MATCH("PatientID", DATOS3!$1:$1,0)))</f>
        <v>#N/A</v>
      </c>
      <c r="F277" t="e">
        <f>IF(INDEX( DATOS3!$1:$19996,A277,MATCH("SeriesDate", DATOS3!$1:$1,0))=0,"",INDEX( DATOS3!$1:$19996,A277,MATCH("SeriesDate", DATOS3!$1:$1,0)))</f>
        <v>#N/A</v>
      </c>
      <c r="G277" t="e">
        <f>IF(INDEX( DATOS3!$1:$19996,A277,MATCH("SeriesTime", DATOS3!$1:$1,0))=0,"",INDEX( DATOS3!$1:$19996,A277,MATCH("SeriesTime", DATOS3!$1:$1,0)))</f>
        <v>#N/A</v>
      </c>
      <c r="H277" t="e">
        <f>IF(INDEX( DATOS3!$1:$19996,A277,MATCH("StudyDescription", DATOS3!$1:$1,0))=0,"",INDEX( DATOS3!$1:$19996,A277,MATCH("StudyDescription", DATOS3!$1:$1,0)))</f>
        <v>#N/A</v>
      </c>
      <c r="I277" t="e">
        <f>IF(INDEX( DATOS3!$1:$19996,A277,MATCH("Dose_Area_Product_Total", DATOS3!$1:$1,0))=0,0,INDEX( DATOS3!$1:$19996,A277,MATCH("Dose_Area_Product", DATOS3!$1:$1,0)))</f>
        <v>#N/A</v>
      </c>
      <c r="J277" t="e">
        <f>IF(INDEX( DATOS3!$1:$19996,A277,MATCH("Dose_RP_Total", DATOS3!$1:$1,0))=0,0,INDEX( DATOS3!$1:$19996,A277,MATCH("Dose_RP", DATOS3!$1:$1,0)))</f>
        <v>#N/A</v>
      </c>
      <c r="K277" t="e">
        <f>IF(INDEX( DATOS3!$1:$19996,A277,MATCH("Total_Fluoro_Time", DATOS3!$1:$1,0))=0,0,INDEX( DATOS3!$1:$19996,A277,MATCH("Total_Fluoro_Time", DATOS3!$1:$1,0)))</f>
        <v>#N/A</v>
      </c>
    </row>
    <row r="278" spans="1:11" hidden="1" x14ac:dyDescent="0.25">
      <c r="A278">
        <v>278</v>
      </c>
      <c r="B278" t="e">
        <f t="shared" si="8"/>
        <v>#N/A</v>
      </c>
      <c r="C278" t="e">
        <f t="shared" si="9"/>
        <v>#N/A</v>
      </c>
      <c r="D278" t="e">
        <f>IF(INDEX( DATOS3!$1:$19996,A278,MATCH("PatientID", DATOS3!$1:$1,0))=0,"",INDEX( DATOS3!$1:$19996,A278,MATCH("PatientID", DATOS3!$1:$1,0)))</f>
        <v>#N/A</v>
      </c>
      <c r="F278" t="e">
        <f>IF(INDEX( DATOS3!$1:$19996,A278,MATCH("SeriesDate", DATOS3!$1:$1,0))=0,"",INDEX( DATOS3!$1:$19996,A278,MATCH("SeriesDate", DATOS3!$1:$1,0)))</f>
        <v>#N/A</v>
      </c>
      <c r="G278" t="e">
        <f>IF(INDEX( DATOS3!$1:$19996,A278,MATCH("SeriesTime", DATOS3!$1:$1,0))=0,"",INDEX( DATOS3!$1:$19996,A278,MATCH("SeriesTime", DATOS3!$1:$1,0)))</f>
        <v>#N/A</v>
      </c>
      <c r="H278" t="e">
        <f>IF(INDEX( DATOS3!$1:$19996,A278,MATCH("StudyDescription", DATOS3!$1:$1,0))=0,"",INDEX( DATOS3!$1:$19996,A278,MATCH("StudyDescription", DATOS3!$1:$1,0)))</f>
        <v>#N/A</v>
      </c>
      <c r="I278" t="e">
        <f>IF(INDEX( DATOS3!$1:$19996,A278,MATCH("Dose_Area_Product_Total", DATOS3!$1:$1,0))=0,0,INDEX( DATOS3!$1:$19996,A278,MATCH("Dose_Area_Product", DATOS3!$1:$1,0)))</f>
        <v>#N/A</v>
      </c>
      <c r="J278" t="e">
        <f>IF(INDEX( DATOS3!$1:$19996,A278,MATCH("Dose_RP_Total", DATOS3!$1:$1,0))=0,0,INDEX( DATOS3!$1:$19996,A278,MATCH("Dose_RP", DATOS3!$1:$1,0)))</f>
        <v>#N/A</v>
      </c>
      <c r="K278" t="e">
        <f>IF(INDEX( DATOS3!$1:$19996,A278,MATCH("Total_Fluoro_Time", DATOS3!$1:$1,0))=0,0,INDEX( DATOS3!$1:$19996,A278,MATCH("Total_Fluoro_Time", DATOS3!$1:$1,0)))</f>
        <v>#N/A</v>
      </c>
    </row>
    <row r="279" spans="1:11" hidden="1" x14ac:dyDescent="0.25">
      <c r="A279">
        <v>279</v>
      </c>
      <c r="B279" t="e">
        <f t="shared" si="8"/>
        <v>#N/A</v>
      </c>
      <c r="C279" t="e">
        <f t="shared" si="9"/>
        <v>#N/A</v>
      </c>
      <c r="D279" t="e">
        <f>IF(INDEX( DATOS3!$1:$19996,A279,MATCH("PatientID", DATOS3!$1:$1,0))=0,"",INDEX( DATOS3!$1:$19996,A279,MATCH("PatientID", DATOS3!$1:$1,0)))</f>
        <v>#N/A</v>
      </c>
      <c r="F279" t="e">
        <f>IF(INDEX( DATOS3!$1:$19996,A279,MATCH("SeriesDate", DATOS3!$1:$1,0))=0,"",INDEX( DATOS3!$1:$19996,A279,MATCH("SeriesDate", DATOS3!$1:$1,0)))</f>
        <v>#N/A</v>
      </c>
      <c r="G279" t="e">
        <f>IF(INDEX( DATOS3!$1:$19996,A279,MATCH("SeriesTime", DATOS3!$1:$1,0))=0,"",INDEX( DATOS3!$1:$19996,A279,MATCH("SeriesTime", DATOS3!$1:$1,0)))</f>
        <v>#N/A</v>
      </c>
      <c r="H279" t="e">
        <f>IF(INDEX( DATOS3!$1:$19996,A279,MATCH("StudyDescription", DATOS3!$1:$1,0))=0,"",INDEX( DATOS3!$1:$19996,A279,MATCH("StudyDescription", DATOS3!$1:$1,0)))</f>
        <v>#N/A</v>
      </c>
      <c r="I279" t="e">
        <f>IF(INDEX( DATOS3!$1:$19996,A279,MATCH("Dose_Area_Product_Total", DATOS3!$1:$1,0))=0,0,INDEX( DATOS3!$1:$19996,A279,MATCH("Dose_Area_Product", DATOS3!$1:$1,0)))</f>
        <v>#N/A</v>
      </c>
      <c r="J279" t="e">
        <f>IF(INDEX( DATOS3!$1:$19996,A279,MATCH("Dose_RP_Total", DATOS3!$1:$1,0))=0,0,INDEX( DATOS3!$1:$19996,A279,MATCH("Dose_RP", DATOS3!$1:$1,0)))</f>
        <v>#N/A</v>
      </c>
      <c r="K279" t="e">
        <f>IF(INDEX( DATOS3!$1:$19996,A279,MATCH("Total_Fluoro_Time", DATOS3!$1:$1,0))=0,0,INDEX( DATOS3!$1:$19996,A279,MATCH("Total_Fluoro_Time", DATOS3!$1:$1,0)))</f>
        <v>#N/A</v>
      </c>
    </row>
    <row r="280" spans="1:11" hidden="1" x14ac:dyDescent="0.25">
      <c r="A280">
        <v>280</v>
      </c>
      <c r="B280" t="e">
        <f t="shared" si="8"/>
        <v>#N/A</v>
      </c>
      <c r="C280" t="e">
        <f t="shared" si="9"/>
        <v>#N/A</v>
      </c>
      <c r="D280" t="e">
        <f>IF(INDEX( DATOS3!$1:$19996,A280,MATCH("PatientID", DATOS3!$1:$1,0))=0,"",INDEX( DATOS3!$1:$19996,A280,MATCH("PatientID", DATOS3!$1:$1,0)))</f>
        <v>#N/A</v>
      </c>
      <c r="F280" t="e">
        <f>IF(INDEX( DATOS3!$1:$19996,A280,MATCH("SeriesDate", DATOS3!$1:$1,0))=0,"",INDEX( DATOS3!$1:$19996,A280,MATCH("SeriesDate", DATOS3!$1:$1,0)))</f>
        <v>#N/A</v>
      </c>
      <c r="G280" t="e">
        <f>IF(INDEX( DATOS3!$1:$19996,A280,MATCH("SeriesTime", DATOS3!$1:$1,0))=0,"",INDEX( DATOS3!$1:$19996,A280,MATCH("SeriesTime", DATOS3!$1:$1,0)))</f>
        <v>#N/A</v>
      </c>
      <c r="H280" t="e">
        <f>IF(INDEX( DATOS3!$1:$19996,A280,MATCH("StudyDescription", DATOS3!$1:$1,0))=0,"",INDEX( DATOS3!$1:$19996,A280,MATCH("StudyDescription", DATOS3!$1:$1,0)))</f>
        <v>#N/A</v>
      </c>
      <c r="I280" t="e">
        <f>IF(INDEX( DATOS3!$1:$19996,A280,MATCH("Dose_Area_Product_Total", DATOS3!$1:$1,0))=0,0,INDEX( DATOS3!$1:$19996,A280,MATCH("Dose_Area_Product", DATOS3!$1:$1,0)))</f>
        <v>#N/A</v>
      </c>
      <c r="J280" t="e">
        <f>IF(INDEX( DATOS3!$1:$19996,A280,MATCH("Dose_RP_Total", DATOS3!$1:$1,0))=0,0,INDEX( DATOS3!$1:$19996,A280,MATCH("Dose_RP", DATOS3!$1:$1,0)))</f>
        <v>#N/A</v>
      </c>
      <c r="K280" t="e">
        <f>IF(INDEX( DATOS3!$1:$19996,A280,MATCH("Total_Fluoro_Time", DATOS3!$1:$1,0))=0,0,INDEX( DATOS3!$1:$19996,A280,MATCH("Total_Fluoro_Time", DATOS3!$1:$1,0)))</f>
        <v>#N/A</v>
      </c>
    </row>
    <row r="281" spans="1:11" hidden="1" x14ac:dyDescent="0.25">
      <c r="A281">
        <v>281</v>
      </c>
      <c r="B281" t="e">
        <f t="shared" si="8"/>
        <v>#N/A</v>
      </c>
      <c r="C281" t="e">
        <f t="shared" si="9"/>
        <v>#N/A</v>
      </c>
      <c r="D281" t="e">
        <f>IF(INDEX( DATOS3!$1:$19996,A281,MATCH("PatientID", DATOS3!$1:$1,0))=0,"",INDEX( DATOS3!$1:$19996,A281,MATCH("PatientID", DATOS3!$1:$1,0)))</f>
        <v>#N/A</v>
      </c>
      <c r="F281" t="e">
        <f>IF(INDEX( DATOS3!$1:$19996,A281,MATCH("SeriesDate", DATOS3!$1:$1,0))=0,"",INDEX( DATOS3!$1:$19996,A281,MATCH("SeriesDate", DATOS3!$1:$1,0)))</f>
        <v>#N/A</v>
      </c>
      <c r="G281" t="e">
        <f>IF(INDEX( DATOS3!$1:$19996,A281,MATCH("SeriesTime", DATOS3!$1:$1,0))=0,"",INDEX( DATOS3!$1:$19996,A281,MATCH("SeriesTime", DATOS3!$1:$1,0)))</f>
        <v>#N/A</v>
      </c>
      <c r="H281" t="e">
        <f>IF(INDEX( DATOS3!$1:$19996,A281,MATCH("StudyDescription", DATOS3!$1:$1,0))=0,"",INDEX( DATOS3!$1:$19996,A281,MATCH("StudyDescription", DATOS3!$1:$1,0)))</f>
        <v>#N/A</v>
      </c>
      <c r="I281" t="e">
        <f>IF(INDEX( DATOS3!$1:$19996,A281,MATCH("Dose_Area_Product_Total", DATOS3!$1:$1,0))=0,0,INDEX( DATOS3!$1:$19996,A281,MATCH("Dose_Area_Product", DATOS3!$1:$1,0)))</f>
        <v>#N/A</v>
      </c>
      <c r="J281" t="e">
        <f>IF(INDEX( DATOS3!$1:$19996,A281,MATCH("Dose_RP_Total", DATOS3!$1:$1,0))=0,0,INDEX( DATOS3!$1:$19996,A281,MATCH("Dose_RP", DATOS3!$1:$1,0)))</f>
        <v>#N/A</v>
      </c>
      <c r="K281" t="e">
        <f>IF(INDEX( DATOS3!$1:$19996,A281,MATCH("Total_Fluoro_Time", DATOS3!$1:$1,0))=0,0,INDEX( DATOS3!$1:$19996,A281,MATCH("Total_Fluoro_Time", DATOS3!$1:$1,0)))</f>
        <v>#N/A</v>
      </c>
    </row>
    <row r="282" spans="1:11" hidden="1" x14ac:dyDescent="0.25">
      <c r="A282">
        <v>282</v>
      </c>
      <c r="B282" t="e">
        <f t="shared" si="8"/>
        <v>#N/A</v>
      </c>
      <c r="C282" t="e">
        <f t="shared" si="9"/>
        <v>#N/A</v>
      </c>
      <c r="D282" t="e">
        <f>IF(INDEX( DATOS3!$1:$19996,A282,MATCH("PatientID", DATOS3!$1:$1,0))=0,"",INDEX( DATOS3!$1:$19996,A282,MATCH("PatientID", DATOS3!$1:$1,0)))</f>
        <v>#N/A</v>
      </c>
      <c r="F282" t="e">
        <f>IF(INDEX( DATOS3!$1:$19996,A282,MATCH("SeriesDate", DATOS3!$1:$1,0))=0,"",INDEX( DATOS3!$1:$19996,A282,MATCH("SeriesDate", DATOS3!$1:$1,0)))</f>
        <v>#N/A</v>
      </c>
      <c r="G282" t="e">
        <f>IF(INDEX( DATOS3!$1:$19996,A282,MATCH("SeriesTime", DATOS3!$1:$1,0))=0,"",INDEX( DATOS3!$1:$19996,A282,MATCH("SeriesTime", DATOS3!$1:$1,0)))</f>
        <v>#N/A</v>
      </c>
      <c r="H282" t="e">
        <f>IF(INDEX( DATOS3!$1:$19996,A282,MATCH("StudyDescription", DATOS3!$1:$1,0))=0,"",INDEX( DATOS3!$1:$19996,A282,MATCH("StudyDescription", DATOS3!$1:$1,0)))</f>
        <v>#N/A</v>
      </c>
      <c r="I282" t="e">
        <f>IF(INDEX( DATOS3!$1:$19996,A282,MATCH("Dose_Area_Product_Total", DATOS3!$1:$1,0))=0,0,INDEX( DATOS3!$1:$19996,A282,MATCH("Dose_Area_Product", DATOS3!$1:$1,0)))</f>
        <v>#N/A</v>
      </c>
      <c r="J282" t="e">
        <f>IF(INDEX( DATOS3!$1:$19996,A282,MATCH("Dose_RP_Total", DATOS3!$1:$1,0))=0,0,INDEX( DATOS3!$1:$19996,A282,MATCH("Dose_RP", DATOS3!$1:$1,0)))</f>
        <v>#N/A</v>
      </c>
      <c r="K282" t="e">
        <f>IF(INDEX( DATOS3!$1:$19996,A282,MATCH("Total_Fluoro_Time", DATOS3!$1:$1,0))=0,0,INDEX( DATOS3!$1:$19996,A282,MATCH("Total_Fluoro_Time", DATOS3!$1:$1,0)))</f>
        <v>#N/A</v>
      </c>
    </row>
    <row r="283" spans="1:11" hidden="1" x14ac:dyDescent="0.25">
      <c r="A283">
        <v>283</v>
      </c>
      <c r="B283" t="e">
        <f t="shared" si="8"/>
        <v>#N/A</v>
      </c>
      <c r="C283" t="e">
        <f t="shared" si="9"/>
        <v>#N/A</v>
      </c>
      <c r="D283" t="e">
        <f>IF(INDEX( DATOS3!$1:$19996,A283,MATCH("PatientID", DATOS3!$1:$1,0))=0,"",INDEX( DATOS3!$1:$19996,A283,MATCH("PatientID", DATOS3!$1:$1,0)))</f>
        <v>#N/A</v>
      </c>
      <c r="F283" t="e">
        <f>IF(INDEX( DATOS3!$1:$19996,A283,MATCH("SeriesDate", DATOS3!$1:$1,0))=0,"",INDEX( DATOS3!$1:$19996,A283,MATCH("SeriesDate", DATOS3!$1:$1,0)))</f>
        <v>#N/A</v>
      </c>
      <c r="G283" t="e">
        <f>IF(INDEX( DATOS3!$1:$19996,A283,MATCH("SeriesTime", DATOS3!$1:$1,0))=0,"",INDEX( DATOS3!$1:$19996,A283,MATCH("SeriesTime", DATOS3!$1:$1,0)))</f>
        <v>#N/A</v>
      </c>
      <c r="H283" t="e">
        <f>IF(INDEX( DATOS3!$1:$19996,A283,MATCH("StudyDescription", DATOS3!$1:$1,0))=0,"",INDEX( DATOS3!$1:$19996,A283,MATCH("StudyDescription", DATOS3!$1:$1,0)))</f>
        <v>#N/A</v>
      </c>
      <c r="I283" t="e">
        <f>IF(INDEX( DATOS3!$1:$19996,A283,MATCH("Dose_Area_Product_Total", DATOS3!$1:$1,0))=0,0,INDEX( DATOS3!$1:$19996,A283,MATCH("Dose_Area_Product", DATOS3!$1:$1,0)))</f>
        <v>#N/A</v>
      </c>
      <c r="J283" t="e">
        <f>IF(INDEX( DATOS3!$1:$19996,A283,MATCH("Dose_RP_Total", DATOS3!$1:$1,0))=0,0,INDEX( DATOS3!$1:$19996,A283,MATCH("Dose_RP", DATOS3!$1:$1,0)))</f>
        <v>#N/A</v>
      </c>
      <c r="K283" t="e">
        <f>IF(INDEX( DATOS3!$1:$19996,A283,MATCH("Total_Fluoro_Time", DATOS3!$1:$1,0))=0,0,INDEX( DATOS3!$1:$19996,A283,MATCH("Total_Fluoro_Time", DATOS3!$1:$1,0)))</f>
        <v>#N/A</v>
      </c>
    </row>
    <row r="284" spans="1:11" hidden="1" x14ac:dyDescent="0.25">
      <c r="A284">
        <v>284</v>
      </c>
      <c r="B284" t="e">
        <f t="shared" si="8"/>
        <v>#N/A</v>
      </c>
      <c r="C284" t="e">
        <f t="shared" si="9"/>
        <v>#N/A</v>
      </c>
      <c r="D284" t="e">
        <f>IF(INDEX( DATOS3!$1:$19996,A284,MATCH("PatientID", DATOS3!$1:$1,0))=0,"",INDEX( DATOS3!$1:$19996,A284,MATCH("PatientID", DATOS3!$1:$1,0)))</f>
        <v>#N/A</v>
      </c>
      <c r="F284" t="e">
        <f>IF(INDEX( DATOS3!$1:$19996,A284,MATCH("SeriesDate", DATOS3!$1:$1,0))=0,"",INDEX( DATOS3!$1:$19996,A284,MATCH("SeriesDate", DATOS3!$1:$1,0)))</f>
        <v>#N/A</v>
      </c>
      <c r="G284" t="e">
        <f>IF(INDEX( DATOS3!$1:$19996,A284,MATCH("SeriesTime", DATOS3!$1:$1,0))=0,"",INDEX( DATOS3!$1:$19996,A284,MATCH("SeriesTime", DATOS3!$1:$1,0)))</f>
        <v>#N/A</v>
      </c>
      <c r="H284" t="e">
        <f>IF(INDEX( DATOS3!$1:$19996,A284,MATCH("StudyDescription", DATOS3!$1:$1,0))=0,"",INDEX( DATOS3!$1:$19996,A284,MATCH("StudyDescription", DATOS3!$1:$1,0)))</f>
        <v>#N/A</v>
      </c>
      <c r="I284" t="e">
        <f>IF(INDEX( DATOS3!$1:$19996,A284,MATCH("Dose_Area_Product_Total", DATOS3!$1:$1,0))=0,0,INDEX( DATOS3!$1:$19996,A284,MATCH("Dose_Area_Product", DATOS3!$1:$1,0)))</f>
        <v>#N/A</v>
      </c>
      <c r="J284" t="e">
        <f>IF(INDEX( DATOS3!$1:$19996,A284,MATCH("Dose_RP_Total", DATOS3!$1:$1,0))=0,0,INDEX( DATOS3!$1:$19996,A284,MATCH("Dose_RP", DATOS3!$1:$1,0)))</f>
        <v>#N/A</v>
      </c>
      <c r="K284" t="e">
        <f>IF(INDEX( DATOS3!$1:$19996,A284,MATCH("Total_Fluoro_Time", DATOS3!$1:$1,0))=0,0,INDEX( DATOS3!$1:$19996,A284,MATCH("Total_Fluoro_Time", DATOS3!$1:$1,0)))</f>
        <v>#N/A</v>
      </c>
    </row>
    <row r="285" spans="1:11" hidden="1" x14ac:dyDescent="0.25">
      <c r="A285">
        <v>285</v>
      </c>
      <c r="B285" t="e">
        <f t="shared" si="8"/>
        <v>#N/A</v>
      </c>
      <c r="C285" t="e">
        <f t="shared" si="9"/>
        <v>#N/A</v>
      </c>
      <c r="D285" t="e">
        <f>IF(INDEX( DATOS3!$1:$19996,A285,MATCH("PatientID", DATOS3!$1:$1,0))=0,"",INDEX( DATOS3!$1:$19996,A285,MATCH("PatientID", DATOS3!$1:$1,0)))</f>
        <v>#N/A</v>
      </c>
      <c r="F285" t="e">
        <f>IF(INDEX( DATOS3!$1:$19996,A285,MATCH("SeriesDate", DATOS3!$1:$1,0))=0,"",INDEX( DATOS3!$1:$19996,A285,MATCH("SeriesDate", DATOS3!$1:$1,0)))</f>
        <v>#N/A</v>
      </c>
      <c r="G285" t="e">
        <f>IF(INDEX( DATOS3!$1:$19996,A285,MATCH("SeriesTime", DATOS3!$1:$1,0))=0,"",INDEX( DATOS3!$1:$19996,A285,MATCH("SeriesTime", DATOS3!$1:$1,0)))</f>
        <v>#N/A</v>
      </c>
      <c r="H285" t="e">
        <f>IF(INDEX( DATOS3!$1:$19996,A285,MATCH("StudyDescription", DATOS3!$1:$1,0))=0,"",INDEX( DATOS3!$1:$19996,A285,MATCH("StudyDescription", DATOS3!$1:$1,0)))</f>
        <v>#N/A</v>
      </c>
      <c r="I285" t="e">
        <f>IF(INDEX( DATOS3!$1:$19996,A285,MATCH("Dose_Area_Product_Total", DATOS3!$1:$1,0))=0,0,INDEX( DATOS3!$1:$19996,A285,MATCH("Dose_Area_Product", DATOS3!$1:$1,0)))</f>
        <v>#N/A</v>
      </c>
      <c r="J285" t="e">
        <f>IF(INDEX( DATOS3!$1:$19996,A285,MATCH("Dose_RP_Total", DATOS3!$1:$1,0))=0,0,INDEX( DATOS3!$1:$19996,A285,MATCH("Dose_RP", DATOS3!$1:$1,0)))</f>
        <v>#N/A</v>
      </c>
      <c r="K285" t="e">
        <f>IF(INDEX( DATOS3!$1:$19996,A285,MATCH("Total_Fluoro_Time", DATOS3!$1:$1,0))=0,0,INDEX( DATOS3!$1:$19996,A285,MATCH("Total_Fluoro_Time", DATOS3!$1:$1,0)))</f>
        <v>#N/A</v>
      </c>
    </row>
    <row r="286" spans="1:11" hidden="1" x14ac:dyDescent="0.25">
      <c r="A286">
        <v>286</v>
      </c>
      <c r="B286" t="e">
        <f t="shared" si="8"/>
        <v>#N/A</v>
      </c>
      <c r="C286" t="e">
        <f t="shared" si="9"/>
        <v>#N/A</v>
      </c>
      <c r="D286" t="e">
        <f>IF(INDEX( DATOS3!$1:$19996,A286,MATCH("PatientID", DATOS3!$1:$1,0))=0,"",INDEX( DATOS3!$1:$19996,A286,MATCH("PatientID", DATOS3!$1:$1,0)))</f>
        <v>#N/A</v>
      </c>
      <c r="F286" t="e">
        <f>IF(INDEX( DATOS3!$1:$19996,A286,MATCH("SeriesDate", DATOS3!$1:$1,0))=0,"",INDEX( DATOS3!$1:$19996,A286,MATCH("SeriesDate", DATOS3!$1:$1,0)))</f>
        <v>#N/A</v>
      </c>
      <c r="G286" t="e">
        <f>IF(INDEX( DATOS3!$1:$19996,A286,MATCH("SeriesTime", DATOS3!$1:$1,0))=0,"",INDEX( DATOS3!$1:$19996,A286,MATCH("SeriesTime", DATOS3!$1:$1,0)))</f>
        <v>#N/A</v>
      </c>
      <c r="H286" t="e">
        <f>IF(INDEX( DATOS3!$1:$19996,A286,MATCH("StudyDescription", DATOS3!$1:$1,0))=0,"",INDEX( DATOS3!$1:$19996,A286,MATCH("StudyDescription", DATOS3!$1:$1,0)))</f>
        <v>#N/A</v>
      </c>
      <c r="I286" t="e">
        <f>IF(INDEX( DATOS3!$1:$19996,A286,MATCH("Dose_Area_Product_Total", DATOS3!$1:$1,0))=0,0,INDEX( DATOS3!$1:$19996,A286,MATCH("Dose_Area_Product", DATOS3!$1:$1,0)))</f>
        <v>#N/A</v>
      </c>
      <c r="J286" t="e">
        <f>IF(INDEX( DATOS3!$1:$19996,A286,MATCH("Dose_RP_Total", DATOS3!$1:$1,0))=0,0,INDEX( DATOS3!$1:$19996,A286,MATCH("Dose_RP", DATOS3!$1:$1,0)))</f>
        <v>#N/A</v>
      </c>
      <c r="K286" t="e">
        <f>IF(INDEX( DATOS3!$1:$19996,A286,MATCH("Total_Fluoro_Time", DATOS3!$1:$1,0))=0,0,INDEX( DATOS3!$1:$19996,A286,MATCH("Total_Fluoro_Time", DATOS3!$1:$1,0)))</f>
        <v>#N/A</v>
      </c>
    </row>
    <row r="287" spans="1:11" hidden="1" x14ac:dyDescent="0.25">
      <c r="A287">
        <v>287</v>
      </c>
      <c r="B287" t="e">
        <f t="shared" si="8"/>
        <v>#N/A</v>
      </c>
      <c r="C287" t="e">
        <f t="shared" si="9"/>
        <v>#N/A</v>
      </c>
      <c r="D287" t="e">
        <f>IF(INDEX( DATOS3!$1:$19996,A287,MATCH("PatientID", DATOS3!$1:$1,0))=0,"",INDEX( DATOS3!$1:$19996,A287,MATCH("PatientID", DATOS3!$1:$1,0)))</f>
        <v>#N/A</v>
      </c>
      <c r="F287" t="e">
        <f>IF(INDEX( DATOS3!$1:$19996,A287,MATCH("SeriesDate", DATOS3!$1:$1,0))=0,"",INDEX( DATOS3!$1:$19996,A287,MATCH("SeriesDate", DATOS3!$1:$1,0)))</f>
        <v>#N/A</v>
      </c>
      <c r="G287" t="e">
        <f>IF(INDEX( DATOS3!$1:$19996,A287,MATCH("SeriesTime", DATOS3!$1:$1,0))=0,"",INDEX( DATOS3!$1:$19996,A287,MATCH("SeriesTime", DATOS3!$1:$1,0)))</f>
        <v>#N/A</v>
      </c>
      <c r="H287" t="e">
        <f>IF(INDEX( DATOS3!$1:$19996,A287,MATCH("StudyDescription", DATOS3!$1:$1,0))=0,"",INDEX( DATOS3!$1:$19996,A287,MATCH("StudyDescription", DATOS3!$1:$1,0)))</f>
        <v>#N/A</v>
      </c>
      <c r="I287" t="e">
        <f>IF(INDEX( DATOS3!$1:$19996,A287,MATCH("Dose_Area_Product_Total", DATOS3!$1:$1,0))=0,0,INDEX( DATOS3!$1:$19996,A287,MATCH("Dose_Area_Product", DATOS3!$1:$1,0)))</f>
        <v>#N/A</v>
      </c>
      <c r="J287" t="e">
        <f>IF(INDEX( DATOS3!$1:$19996,A287,MATCH("Dose_RP_Total", DATOS3!$1:$1,0))=0,0,INDEX( DATOS3!$1:$19996,A287,MATCH("Dose_RP", DATOS3!$1:$1,0)))</f>
        <v>#N/A</v>
      </c>
      <c r="K287" t="e">
        <f>IF(INDEX( DATOS3!$1:$19996,A287,MATCH("Total_Fluoro_Time", DATOS3!$1:$1,0))=0,0,INDEX( DATOS3!$1:$19996,A287,MATCH("Total_Fluoro_Time", DATOS3!$1:$1,0)))</f>
        <v>#N/A</v>
      </c>
    </row>
    <row r="288" spans="1:11" hidden="1" x14ac:dyDescent="0.25">
      <c r="A288">
        <v>288</v>
      </c>
      <c r="B288" t="e">
        <f t="shared" si="8"/>
        <v>#N/A</v>
      </c>
      <c r="C288" t="e">
        <f t="shared" si="9"/>
        <v>#N/A</v>
      </c>
      <c r="D288" t="e">
        <f>IF(INDEX( DATOS3!$1:$19996,A288,MATCH("PatientID", DATOS3!$1:$1,0))=0,"",INDEX( DATOS3!$1:$19996,A288,MATCH("PatientID", DATOS3!$1:$1,0)))</f>
        <v>#N/A</v>
      </c>
      <c r="F288" t="e">
        <f>IF(INDEX( DATOS3!$1:$19996,A288,MATCH("SeriesDate", DATOS3!$1:$1,0))=0,"",INDEX( DATOS3!$1:$19996,A288,MATCH("SeriesDate", DATOS3!$1:$1,0)))</f>
        <v>#N/A</v>
      </c>
      <c r="G288" t="e">
        <f>IF(INDEX( DATOS3!$1:$19996,A288,MATCH("SeriesTime", DATOS3!$1:$1,0))=0,"",INDEX( DATOS3!$1:$19996,A288,MATCH("SeriesTime", DATOS3!$1:$1,0)))</f>
        <v>#N/A</v>
      </c>
      <c r="H288" t="e">
        <f>IF(INDEX( DATOS3!$1:$19996,A288,MATCH("StudyDescription", DATOS3!$1:$1,0))=0,"",INDEX( DATOS3!$1:$19996,A288,MATCH("StudyDescription", DATOS3!$1:$1,0)))</f>
        <v>#N/A</v>
      </c>
      <c r="I288" t="e">
        <f>IF(INDEX( DATOS3!$1:$19996,A288,MATCH("Dose_Area_Product_Total", DATOS3!$1:$1,0))=0,0,INDEX( DATOS3!$1:$19996,A288,MATCH("Dose_Area_Product", DATOS3!$1:$1,0)))</f>
        <v>#N/A</v>
      </c>
      <c r="J288" t="e">
        <f>IF(INDEX( DATOS3!$1:$19996,A288,MATCH("Dose_RP_Total", DATOS3!$1:$1,0))=0,0,INDEX( DATOS3!$1:$19996,A288,MATCH("Dose_RP", DATOS3!$1:$1,0)))</f>
        <v>#N/A</v>
      </c>
      <c r="K288" t="e">
        <f>IF(INDEX( DATOS3!$1:$19996,A288,MATCH("Total_Fluoro_Time", DATOS3!$1:$1,0))=0,0,INDEX( DATOS3!$1:$19996,A288,MATCH("Total_Fluoro_Time", DATOS3!$1:$1,0)))</f>
        <v>#N/A</v>
      </c>
    </row>
    <row r="289" spans="1:11" hidden="1" x14ac:dyDescent="0.25">
      <c r="A289">
        <v>289</v>
      </c>
      <c r="B289" t="e">
        <f t="shared" si="8"/>
        <v>#N/A</v>
      </c>
      <c r="C289" t="e">
        <f t="shared" si="9"/>
        <v>#N/A</v>
      </c>
      <c r="D289" t="e">
        <f>IF(INDEX( DATOS3!$1:$19996,A289,MATCH("PatientID", DATOS3!$1:$1,0))=0,"",INDEX( DATOS3!$1:$19996,A289,MATCH("PatientID", DATOS3!$1:$1,0)))</f>
        <v>#N/A</v>
      </c>
      <c r="F289" t="e">
        <f>IF(INDEX( DATOS3!$1:$19996,A289,MATCH("SeriesDate", DATOS3!$1:$1,0))=0,"",INDEX( DATOS3!$1:$19996,A289,MATCH("SeriesDate", DATOS3!$1:$1,0)))</f>
        <v>#N/A</v>
      </c>
      <c r="G289" t="e">
        <f>IF(INDEX( DATOS3!$1:$19996,A289,MATCH("SeriesTime", DATOS3!$1:$1,0))=0,"",INDEX( DATOS3!$1:$19996,A289,MATCH("SeriesTime", DATOS3!$1:$1,0)))</f>
        <v>#N/A</v>
      </c>
      <c r="H289" t="e">
        <f>IF(INDEX( DATOS3!$1:$19996,A289,MATCH("StudyDescription", DATOS3!$1:$1,0))=0,"",INDEX( DATOS3!$1:$19996,A289,MATCH("StudyDescription", DATOS3!$1:$1,0)))</f>
        <v>#N/A</v>
      </c>
      <c r="I289" t="e">
        <f>IF(INDEX( DATOS3!$1:$19996,A289,MATCH("Dose_Area_Product_Total", DATOS3!$1:$1,0))=0,0,INDEX( DATOS3!$1:$19996,A289,MATCH("Dose_Area_Product", DATOS3!$1:$1,0)))</f>
        <v>#N/A</v>
      </c>
      <c r="J289" t="e">
        <f>IF(INDEX( DATOS3!$1:$19996,A289,MATCH("Dose_RP_Total", DATOS3!$1:$1,0))=0,0,INDEX( DATOS3!$1:$19996,A289,MATCH("Dose_RP", DATOS3!$1:$1,0)))</f>
        <v>#N/A</v>
      </c>
      <c r="K289" t="e">
        <f>IF(INDEX( DATOS3!$1:$19996,A289,MATCH("Total_Fluoro_Time", DATOS3!$1:$1,0))=0,0,INDEX( DATOS3!$1:$19996,A289,MATCH("Total_Fluoro_Time", DATOS3!$1:$1,0)))</f>
        <v>#N/A</v>
      </c>
    </row>
    <row r="290" spans="1:11" hidden="1" x14ac:dyDescent="0.25">
      <c r="A290">
        <v>290</v>
      </c>
      <c r="B290" t="e">
        <f t="shared" si="8"/>
        <v>#N/A</v>
      </c>
      <c r="C290" t="e">
        <f t="shared" si="9"/>
        <v>#N/A</v>
      </c>
      <c r="D290" t="e">
        <f>IF(INDEX( DATOS3!$1:$19996,A290,MATCH("PatientID", DATOS3!$1:$1,0))=0,"",INDEX( DATOS3!$1:$19996,A290,MATCH("PatientID", DATOS3!$1:$1,0)))</f>
        <v>#N/A</v>
      </c>
      <c r="F290" t="e">
        <f>IF(INDEX( DATOS3!$1:$19996,A290,MATCH("SeriesDate", DATOS3!$1:$1,0))=0,"",INDEX( DATOS3!$1:$19996,A290,MATCH("SeriesDate", DATOS3!$1:$1,0)))</f>
        <v>#N/A</v>
      </c>
      <c r="G290" t="e">
        <f>IF(INDEX( DATOS3!$1:$19996,A290,MATCH("SeriesTime", DATOS3!$1:$1,0))=0,"",INDEX( DATOS3!$1:$19996,A290,MATCH("SeriesTime", DATOS3!$1:$1,0)))</f>
        <v>#N/A</v>
      </c>
      <c r="H290" t="e">
        <f>IF(INDEX( DATOS3!$1:$19996,A290,MATCH("StudyDescription", DATOS3!$1:$1,0))=0,"",INDEX( DATOS3!$1:$19996,A290,MATCH("StudyDescription", DATOS3!$1:$1,0)))</f>
        <v>#N/A</v>
      </c>
      <c r="I290" t="e">
        <f>IF(INDEX( DATOS3!$1:$19996,A290,MATCH("Dose_Area_Product_Total", DATOS3!$1:$1,0))=0,0,INDEX( DATOS3!$1:$19996,A290,MATCH("Dose_Area_Product", DATOS3!$1:$1,0)))</f>
        <v>#N/A</v>
      </c>
      <c r="J290" t="e">
        <f>IF(INDEX( DATOS3!$1:$19996,A290,MATCH("Dose_RP_Total", DATOS3!$1:$1,0))=0,0,INDEX( DATOS3!$1:$19996,A290,MATCH("Dose_RP", DATOS3!$1:$1,0)))</f>
        <v>#N/A</v>
      </c>
      <c r="K290" t="e">
        <f>IF(INDEX( DATOS3!$1:$19996,A290,MATCH("Total_Fluoro_Time", DATOS3!$1:$1,0))=0,0,INDEX( DATOS3!$1:$19996,A290,MATCH("Total_Fluoro_Time", DATOS3!$1:$1,0)))</f>
        <v>#N/A</v>
      </c>
    </row>
    <row r="291" spans="1:11" hidden="1" x14ac:dyDescent="0.25">
      <c r="A291">
        <v>291</v>
      </c>
      <c r="B291" t="e">
        <f t="shared" si="8"/>
        <v>#N/A</v>
      </c>
      <c r="C291" t="e">
        <f t="shared" si="9"/>
        <v>#N/A</v>
      </c>
      <c r="D291" t="e">
        <f>IF(INDEX( DATOS3!$1:$19996,A291,MATCH("PatientID", DATOS3!$1:$1,0))=0,"",INDEX( DATOS3!$1:$19996,A291,MATCH("PatientID", DATOS3!$1:$1,0)))</f>
        <v>#N/A</v>
      </c>
      <c r="F291" t="e">
        <f>IF(INDEX( DATOS3!$1:$19996,A291,MATCH("SeriesDate", DATOS3!$1:$1,0))=0,"",INDEX( DATOS3!$1:$19996,A291,MATCH("SeriesDate", DATOS3!$1:$1,0)))</f>
        <v>#N/A</v>
      </c>
      <c r="G291" t="e">
        <f>IF(INDEX( DATOS3!$1:$19996,A291,MATCH("SeriesTime", DATOS3!$1:$1,0))=0,"",INDEX( DATOS3!$1:$19996,A291,MATCH("SeriesTime", DATOS3!$1:$1,0)))</f>
        <v>#N/A</v>
      </c>
      <c r="H291" t="e">
        <f>IF(INDEX( DATOS3!$1:$19996,A291,MATCH("StudyDescription", DATOS3!$1:$1,0))=0,"",INDEX( DATOS3!$1:$19996,A291,MATCH("StudyDescription", DATOS3!$1:$1,0)))</f>
        <v>#N/A</v>
      </c>
      <c r="I291" t="e">
        <f>IF(INDEX( DATOS3!$1:$19996,A291,MATCH("Dose_Area_Product_Total", DATOS3!$1:$1,0))=0,0,INDEX( DATOS3!$1:$19996,A291,MATCH("Dose_Area_Product", DATOS3!$1:$1,0)))</f>
        <v>#N/A</v>
      </c>
      <c r="J291" t="e">
        <f>IF(INDEX( DATOS3!$1:$19996,A291,MATCH("Dose_RP_Total", DATOS3!$1:$1,0))=0,0,INDEX( DATOS3!$1:$19996,A291,MATCH("Dose_RP", DATOS3!$1:$1,0)))</f>
        <v>#N/A</v>
      </c>
      <c r="K291" t="e">
        <f>IF(INDEX( DATOS3!$1:$19996,A291,MATCH("Total_Fluoro_Time", DATOS3!$1:$1,0))=0,0,INDEX( DATOS3!$1:$19996,A291,MATCH("Total_Fluoro_Time", DATOS3!$1:$1,0)))</f>
        <v>#N/A</v>
      </c>
    </row>
    <row r="292" spans="1:11" hidden="1" x14ac:dyDescent="0.25">
      <c r="A292">
        <v>292</v>
      </c>
      <c r="B292" t="e">
        <f t="shared" si="8"/>
        <v>#N/A</v>
      </c>
      <c r="C292" t="e">
        <f t="shared" si="9"/>
        <v>#N/A</v>
      </c>
      <c r="D292" t="e">
        <f>IF(INDEX( DATOS3!$1:$19996,A292,MATCH("PatientID", DATOS3!$1:$1,0))=0,"",INDEX( DATOS3!$1:$19996,A292,MATCH("PatientID", DATOS3!$1:$1,0)))</f>
        <v>#N/A</v>
      </c>
      <c r="F292" t="e">
        <f>IF(INDEX( DATOS3!$1:$19996,A292,MATCH("SeriesDate", DATOS3!$1:$1,0))=0,"",INDEX( DATOS3!$1:$19996,A292,MATCH("SeriesDate", DATOS3!$1:$1,0)))</f>
        <v>#N/A</v>
      </c>
      <c r="G292" t="e">
        <f>IF(INDEX( DATOS3!$1:$19996,A292,MATCH("SeriesTime", DATOS3!$1:$1,0))=0,"",INDEX( DATOS3!$1:$19996,A292,MATCH("SeriesTime", DATOS3!$1:$1,0)))</f>
        <v>#N/A</v>
      </c>
      <c r="H292" t="e">
        <f>IF(INDEX( DATOS3!$1:$19996,A292,MATCH("StudyDescription", DATOS3!$1:$1,0))=0,"",INDEX( DATOS3!$1:$19996,A292,MATCH("StudyDescription", DATOS3!$1:$1,0)))</f>
        <v>#N/A</v>
      </c>
      <c r="I292" t="e">
        <f>IF(INDEX( DATOS3!$1:$19996,A292,MATCH("Dose_Area_Product_Total", DATOS3!$1:$1,0))=0,0,INDEX( DATOS3!$1:$19996,A292,MATCH("Dose_Area_Product", DATOS3!$1:$1,0)))</f>
        <v>#N/A</v>
      </c>
      <c r="J292" t="e">
        <f>IF(INDEX( DATOS3!$1:$19996,A292,MATCH("Dose_RP_Total", DATOS3!$1:$1,0))=0,0,INDEX( DATOS3!$1:$19996,A292,MATCH("Dose_RP", DATOS3!$1:$1,0)))</f>
        <v>#N/A</v>
      </c>
      <c r="K292" t="e">
        <f>IF(INDEX( DATOS3!$1:$19996,A292,MATCH("Total_Fluoro_Time", DATOS3!$1:$1,0))=0,0,INDEX( DATOS3!$1:$19996,A292,MATCH("Total_Fluoro_Time", DATOS3!$1:$1,0)))</f>
        <v>#N/A</v>
      </c>
    </row>
    <row r="293" spans="1:11" hidden="1" x14ac:dyDescent="0.25">
      <c r="A293">
        <v>293</v>
      </c>
      <c r="B293" t="e">
        <f t="shared" si="8"/>
        <v>#N/A</v>
      </c>
      <c r="C293" t="e">
        <f t="shared" si="9"/>
        <v>#N/A</v>
      </c>
      <c r="D293" t="e">
        <f>IF(INDEX( DATOS3!$1:$19996,A293,MATCH("PatientID", DATOS3!$1:$1,0))=0,"",INDEX( DATOS3!$1:$19996,A293,MATCH("PatientID", DATOS3!$1:$1,0)))</f>
        <v>#N/A</v>
      </c>
      <c r="F293" t="e">
        <f>IF(INDEX( DATOS3!$1:$19996,A293,MATCH("SeriesDate", DATOS3!$1:$1,0))=0,"",INDEX( DATOS3!$1:$19996,A293,MATCH("SeriesDate", DATOS3!$1:$1,0)))</f>
        <v>#N/A</v>
      </c>
      <c r="G293" t="e">
        <f>IF(INDEX( DATOS3!$1:$19996,A293,MATCH("SeriesTime", DATOS3!$1:$1,0))=0,"",INDEX( DATOS3!$1:$19996,A293,MATCH("SeriesTime", DATOS3!$1:$1,0)))</f>
        <v>#N/A</v>
      </c>
      <c r="H293" t="e">
        <f>IF(INDEX( DATOS3!$1:$19996,A293,MATCH("StudyDescription", DATOS3!$1:$1,0))=0,"",INDEX( DATOS3!$1:$19996,A293,MATCH("StudyDescription", DATOS3!$1:$1,0)))</f>
        <v>#N/A</v>
      </c>
      <c r="I293" t="e">
        <f>IF(INDEX( DATOS3!$1:$19996,A293,MATCH("Dose_Area_Product_Total", DATOS3!$1:$1,0))=0,0,INDEX( DATOS3!$1:$19996,A293,MATCH("Dose_Area_Product", DATOS3!$1:$1,0)))</f>
        <v>#N/A</v>
      </c>
      <c r="J293" t="e">
        <f>IF(INDEX( DATOS3!$1:$19996,A293,MATCH("Dose_RP_Total", DATOS3!$1:$1,0))=0,0,INDEX( DATOS3!$1:$19996,A293,MATCH("Dose_RP", DATOS3!$1:$1,0)))</f>
        <v>#N/A</v>
      </c>
      <c r="K293" t="e">
        <f>IF(INDEX( DATOS3!$1:$19996,A293,MATCH("Total_Fluoro_Time", DATOS3!$1:$1,0))=0,0,INDEX( DATOS3!$1:$19996,A293,MATCH("Total_Fluoro_Time", DATOS3!$1:$1,0)))</f>
        <v>#N/A</v>
      </c>
    </row>
    <row r="294" spans="1:11" hidden="1" x14ac:dyDescent="0.25">
      <c r="A294">
        <v>294</v>
      </c>
      <c r="B294" t="e">
        <f t="shared" si="8"/>
        <v>#N/A</v>
      </c>
      <c r="C294" t="e">
        <f t="shared" si="9"/>
        <v>#N/A</v>
      </c>
      <c r="D294" t="e">
        <f>IF(INDEX( DATOS3!$1:$19996,A294,MATCH("PatientID", DATOS3!$1:$1,0))=0,"",INDEX( DATOS3!$1:$19996,A294,MATCH("PatientID", DATOS3!$1:$1,0)))</f>
        <v>#N/A</v>
      </c>
      <c r="F294" t="e">
        <f>IF(INDEX( DATOS3!$1:$19996,A294,MATCH("SeriesDate", DATOS3!$1:$1,0))=0,"",INDEX( DATOS3!$1:$19996,A294,MATCH("SeriesDate", DATOS3!$1:$1,0)))</f>
        <v>#N/A</v>
      </c>
      <c r="G294" t="e">
        <f>IF(INDEX( DATOS3!$1:$19996,A294,MATCH("SeriesTime", DATOS3!$1:$1,0))=0,"",INDEX( DATOS3!$1:$19996,A294,MATCH("SeriesTime", DATOS3!$1:$1,0)))</f>
        <v>#N/A</v>
      </c>
      <c r="H294" t="e">
        <f>IF(INDEX( DATOS3!$1:$19996,A294,MATCH("StudyDescription", DATOS3!$1:$1,0))=0,"",INDEX( DATOS3!$1:$19996,A294,MATCH("StudyDescription", DATOS3!$1:$1,0)))</f>
        <v>#N/A</v>
      </c>
      <c r="I294" t="e">
        <f>IF(INDEX( DATOS3!$1:$19996,A294,MATCH("Dose_Area_Product_Total", DATOS3!$1:$1,0))=0,0,INDEX( DATOS3!$1:$19996,A294,MATCH("Dose_Area_Product", DATOS3!$1:$1,0)))</f>
        <v>#N/A</v>
      </c>
      <c r="J294" t="e">
        <f>IF(INDEX( DATOS3!$1:$19996,A294,MATCH("Dose_RP_Total", DATOS3!$1:$1,0))=0,0,INDEX( DATOS3!$1:$19996,A294,MATCH("Dose_RP", DATOS3!$1:$1,0)))</f>
        <v>#N/A</v>
      </c>
      <c r="K294" t="e">
        <f>IF(INDEX( DATOS3!$1:$19996,A294,MATCH("Total_Fluoro_Time", DATOS3!$1:$1,0))=0,0,INDEX( DATOS3!$1:$19996,A294,MATCH("Total_Fluoro_Time", DATOS3!$1:$1,0)))</f>
        <v>#N/A</v>
      </c>
    </row>
    <row r="295" spans="1:11" hidden="1" x14ac:dyDescent="0.25">
      <c r="A295">
        <v>295</v>
      </c>
      <c r="B295" t="e">
        <f t="shared" si="8"/>
        <v>#N/A</v>
      </c>
      <c r="C295" t="e">
        <f t="shared" si="9"/>
        <v>#N/A</v>
      </c>
      <c r="D295" t="e">
        <f>IF(INDEX( DATOS3!$1:$19996,A295,MATCH("PatientID", DATOS3!$1:$1,0))=0,"",INDEX( DATOS3!$1:$19996,A295,MATCH("PatientID", DATOS3!$1:$1,0)))</f>
        <v>#N/A</v>
      </c>
      <c r="F295" t="e">
        <f>IF(INDEX( DATOS3!$1:$19996,A295,MATCH("SeriesDate", DATOS3!$1:$1,0))=0,"",INDEX( DATOS3!$1:$19996,A295,MATCH("SeriesDate", DATOS3!$1:$1,0)))</f>
        <v>#N/A</v>
      </c>
      <c r="G295" t="e">
        <f>IF(INDEX( DATOS3!$1:$19996,A295,MATCH("SeriesTime", DATOS3!$1:$1,0))=0,"",INDEX( DATOS3!$1:$19996,A295,MATCH("SeriesTime", DATOS3!$1:$1,0)))</f>
        <v>#N/A</v>
      </c>
      <c r="H295" t="e">
        <f>IF(INDEX( DATOS3!$1:$19996,A295,MATCH("StudyDescription", DATOS3!$1:$1,0))=0,"",INDEX( DATOS3!$1:$19996,A295,MATCH("StudyDescription", DATOS3!$1:$1,0)))</f>
        <v>#N/A</v>
      </c>
      <c r="I295" t="e">
        <f>IF(INDEX( DATOS3!$1:$19996,A295,MATCH("Dose_Area_Product_Total", DATOS3!$1:$1,0))=0,0,INDEX( DATOS3!$1:$19996,A295,MATCH("Dose_Area_Product", DATOS3!$1:$1,0)))</f>
        <v>#N/A</v>
      </c>
      <c r="J295" t="e">
        <f>IF(INDEX( DATOS3!$1:$19996,A295,MATCH("Dose_RP_Total", DATOS3!$1:$1,0))=0,0,INDEX( DATOS3!$1:$19996,A295,MATCH("Dose_RP", DATOS3!$1:$1,0)))</f>
        <v>#N/A</v>
      </c>
      <c r="K295" t="e">
        <f>IF(INDEX( DATOS3!$1:$19996,A295,MATCH("Total_Fluoro_Time", DATOS3!$1:$1,0))=0,0,INDEX( DATOS3!$1:$19996,A295,MATCH("Total_Fluoro_Time", DATOS3!$1:$1,0)))</f>
        <v>#N/A</v>
      </c>
    </row>
    <row r="296" spans="1:11" hidden="1" x14ac:dyDescent="0.25">
      <c r="A296">
        <v>296</v>
      </c>
      <c r="B296" t="e">
        <f t="shared" si="8"/>
        <v>#N/A</v>
      </c>
      <c r="C296" t="e">
        <f t="shared" si="9"/>
        <v>#N/A</v>
      </c>
      <c r="D296" t="e">
        <f>IF(INDEX( DATOS3!$1:$19996,A296,MATCH("PatientID", DATOS3!$1:$1,0))=0,"",INDEX( DATOS3!$1:$19996,A296,MATCH("PatientID", DATOS3!$1:$1,0)))</f>
        <v>#N/A</v>
      </c>
      <c r="F296" t="e">
        <f>IF(INDEX( DATOS3!$1:$19996,A296,MATCH("SeriesDate", DATOS3!$1:$1,0))=0,"",INDEX( DATOS3!$1:$19996,A296,MATCH("SeriesDate", DATOS3!$1:$1,0)))</f>
        <v>#N/A</v>
      </c>
      <c r="G296" t="e">
        <f>IF(INDEX( DATOS3!$1:$19996,A296,MATCH("SeriesTime", DATOS3!$1:$1,0))=0,"",INDEX( DATOS3!$1:$19996,A296,MATCH("SeriesTime", DATOS3!$1:$1,0)))</f>
        <v>#N/A</v>
      </c>
      <c r="H296" t="e">
        <f>IF(INDEX( DATOS3!$1:$19996,A296,MATCH("StudyDescription", DATOS3!$1:$1,0))=0,"",INDEX( DATOS3!$1:$19996,A296,MATCH("StudyDescription", DATOS3!$1:$1,0)))</f>
        <v>#N/A</v>
      </c>
      <c r="I296" t="e">
        <f>IF(INDEX( DATOS3!$1:$19996,A296,MATCH("Dose_Area_Product_Total", DATOS3!$1:$1,0))=0,0,INDEX( DATOS3!$1:$19996,A296,MATCH("Dose_Area_Product", DATOS3!$1:$1,0)))</f>
        <v>#N/A</v>
      </c>
      <c r="J296" t="e">
        <f>IF(INDEX( DATOS3!$1:$19996,A296,MATCH("Dose_RP_Total", DATOS3!$1:$1,0))=0,0,INDEX( DATOS3!$1:$19996,A296,MATCH("Dose_RP", DATOS3!$1:$1,0)))</f>
        <v>#N/A</v>
      </c>
      <c r="K296" t="e">
        <f>IF(INDEX( DATOS3!$1:$19996,A296,MATCH("Total_Fluoro_Time", DATOS3!$1:$1,0))=0,0,INDEX( DATOS3!$1:$19996,A296,MATCH("Total_Fluoro_Time", DATOS3!$1:$1,0)))</f>
        <v>#N/A</v>
      </c>
    </row>
    <row r="297" spans="1:11" hidden="1" x14ac:dyDescent="0.25">
      <c r="A297">
        <v>297</v>
      </c>
      <c r="B297" t="e">
        <f t="shared" si="8"/>
        <v>#N/A</v>
      </c>
      <c r="C297" t="e">
        <f t="shared" si="9"/>
        <v>#N/A</v>
      </c>
      <c r="D297" t="e">
        <f>IF(INDEX( DATOS3!$1:$19996,A297,MATCH("PatientID", DATOS3!$1:$1,0))=0,"",INDEX( DATOS3!$1:$19996,A297,MATCH("PatientID", DATOS3!$1:$1,0)))</f>
        <v>#N/A</v>
      </c>
      <c r="F297" t="e">
        <f>IF(INDEX( DATOS3!$1:$19996,A297,MATCH("SeriesDate", DATOS3!$1:$1,0))=0,"",INDEX( DATOS3!$1:$19996,A297,MATCH("SeriesDate", DATOS3!$1:$1,0)))</f>
        <v>#N/A</v>
      </c>
      <c r="G297" t="e">
        <f>IF(INDEX( DATOS3!$1:$19996,A297,MATCH("SeriesTime", DATOS3!$1:$1,0))=0,"",INDEX( DATOS3!$1:$19996,A297,MATCH("SeriesTime", DATOS3!$1:$1,0)))</f>
        <v>#N/A</v>
      </c>
      <c r="H297" t="e">
        <f>IF(INDEX( DATOS3!$1:$19996,A297,MATCH("StudyDescription", DATOS3!$1:$1,0))=0,"",INDEX( DATOS3!$1:$19996,A297,MATCH("StudyDescription", DATOS3!$1:$1,0)))</f>
        <v>#N/A</v>
      </c>
      <c r="I297" t="e">
        <f>IF(INDEX( DATOS3!$1:$19996,A297,MATCH("Dose_Area_Product_Total", DATOS3!$1:$1,0))=0,0,INDEX( DATOS3!$1:$19996,A297,MATCH("Dose_Area_Product", DATOS3!$1:$1,0)))</f>
        <v>#N/A</v>
      </c>
      <c r="J297" t="e">
        <f>IF(INDEX( DATOS3!$1:$19996,A297,MATCH("Dose_RP_Total", DATOS3!$1:$1,0))=0,0,INDEX( DATOS3!$1:$19996,A297,MATCH("Dose_RP", DATOS3!$1:$1,0)))</f>
        <v>#N/A</v>
      </c>
      <c r="K297" t="e">
        <f>IF(INDEX( DATOS3!$1:$19996,A297,MATCH("Total_Fluoro_Time", DATOS3!$1:$1,0))=0,0,INDEX( DATOS3!$1:$19996,A297,MATCH("Total_Fluoro_Time", DATOS3!$1:$1,0)))</f>
        <v>#N/A</v>
      </c>
    </row>
    <row r="298" spans="1:11" hidden="1" x14ac:dyDescent="0.25">
      <c r="A298">
        <v>298</v>
      </c>
      <c r="B298" t="e">
        <f t="shared" si="8"/>
        <v>#N/A</v>
      </c>
      <c r="C298" t="e">
        <f t="shared" si="9"/>
        <v>#N/A</v>
      </c>
      <c r="D298" t="e">
        <f>IF(INDEX( DATOS3!$1:$19996,A298,MATCH("PatientID", DATOS3!$1:$1,0))=0,"",INDEX( DATOS3!$1:$19996,A298,MATCH("PatientID", DATOS3!$1:$1,0)))</f>
        <v>#N/A</v>
      </c>
      <c r="F298" t="e">
        <f>IF(INDEX( DATOS3!$1:$19996,A298,MATCH("SeriesDate", DATOS3!$1:$1,0))=0,"",INDEX( DATOS3!$1:$19996,A298,MATCH("SeriesDate", DATOS3!$1:$1,0)))</f>
        <v>#N/A</v>
      </c>
      <c r="G298" t="e">
        <f>IF(INDEX( DATOS3!$1:$19996,A298,MATCH("SeriesTime", DATOS3!$1:$1,0))=0,"",INDEX( DATOS3!$1:$19996,A298,MATCH("SeriesTime", DATOS3!$1:$1,0)))</f>
        <v>#N/A</v>
      </c>
      <c r="H298" t="e">
        <f>IF(INDEX( DATOS3!$1:$19996,A298,MATCH("StudyDescription", DATOS3!$1:$1,0))=0,"",INDEX( DATOS3!$1:$19996,A298,MATCH("StudyDescription", DATOS3!$1:$1,0)))</f>
        <v>#N/A</v>
      </c>
      <c r="I298" t="e">
        <f>IF(INDEX( DATOS3!$1:$19996,A298,MATCH("Dose_Area_Product_Total", DATOS3!$1:$1,0))=0,0,INDEX( DATOS3!$1:$19996,A298,MATCH("Dose_Area_Product", DATOS3!$1:$1,0)))</f>
        <v>#N/A</v>
      </c>
      <c r="J298" t="e">
        <f>IF(INDEX( DATOS3!$1:$19996,A298,MATCH("Dose_RP_Total", DATOS3!$1:$1,0))=0,0,INDEX( DATOS3!$1:$19996,A298,MATCH("Dose_RP", DATOS3!$1:$1,0)))</f>
        <v>#N/A</v>
      </c>
      <c r="K298" t="e">
        <f>IF(INDEX( DATOS3!$1:$19996,A298,MATCH("Total_Fluoro_Time", DATOS3!$1:$1,0))=0,0,INDEX( DATOS3!$1:$19996,A298,MATCH("Total_Fluoro_Time", DATOS3!$1:$1,0)))</f>
        <v>#N/A</v>
      </c>
    </row>
    <row r="299" spans="1:11" hidden="1" x14ac:dyDescent="0.25">
      <c r="A299">
        <v>299</v>
      </c>
      <c r="B299" t="e">
        <f t="shared" si="8"/>
        <v>#N/A</v>
      </c>
      <c r="C299" t="e">
        <f t="shared" si="9"/>
        <v>#N/A</v>
      </c>
      <c r="D299" t="e">
        <f>IF(INDEX( DATOS3!$1:$19996,A299,MATCH("PatientID", DATOS3!$1:$1,0))=0,"",INDEX( DATOS3!$1:$19996,A299,MATCH("PatientID", DATOS3!$1:$1,0)))</f>
        <v>#N/A</v>
      </c>
      <c r="F299" t="e">
        <f>IF(INDEX( DATOS3!$1:$19996,A299,MATCH("SeriesDate", DATOS3!$1:$1,0))=0,"",INDEX( DATOS3!$1:$19996,A299,MATCH("SeriesDate", DATOS3!$1:$1,0)))</f>
        <v>#N/A</v>
      </c>
      <c r="G299" t="e">
        <f>IF(INDEX( DATOS3!$1:$19996,A299,MATCH("SeriesTime", DATOS3!$1:$1,0))=0,"",INDEX( DATOS3!$1:$19996,A299,MATCH("SeriesTime", DATOS3!$1:$1,0)))</f>
        <v>#N/A</v>
      </c>
      <c r="H299" t="e">
        <f>IF(INDEX( DATOS3!$1:$19996,A299,MATCH("StudyDescription", DATOS3!$1:$1,0))=0,"",INDEX( DATOS3!$1:$19996,A299,MATCH("StudyDescription", DATOS3!$1:$1,0)))</f>
        <v>#N/A</v>
      </c>
      <c r="I299" t="e">
        <f>IF(INDEX( DATOS3!$1:$19996,A299,MATCH("Dose_Area_Product_Total", DATOS3!$1:$1,0))=0,0,INDEX( DATOS3!$1:$19996,A299,MATCH("Dose_Area_Product", DATOS3!$1:$1,0)))</f>
        <v>#N/A</v>
      </c>
      <c r="J299" t="e">
        <f>IF(INDEX( DATOS3!$1:$19996,A299,MATCH("Dose_RP_Total", DATOS3!$1:$1,0))=0,0,INDEX( DATOS3!$1:$19996,A299,MATCH("Dose_RP", DATOS3!$1:$1,0)))</f>
        <v>#N/A</v>
      </c>
      <c r="K299" t="e">
        <f>IF(INDEX( DATOS3!$1:$19996,A299,MATCH("Total_Fluoro_Time", DATOS3!$1:$1,0))=0,0,INDEX( DATOS3!$1:$19996,A299,MATCH("Total_Fluoro_Time", DATOS3!$1:$1,0)))</f>
        <v>#N/A</v>
      </c>
    </row>
    <row r="300" spans="1:11" hidden="1" x14ac:dyDescent="0.25">
      <c r="A300">
        <v>300</v>
      </c>
      <c r="B300" t="e">
        <f t="shared" si="8"/>
        <v>#N/A</v>
      </c>
      <c r="C300" t="e">
        <f t="shared" si="9"/>
        <v>#N/A</v>
      </c>
      <c r="D300" t="e">
        <f>IF(INDEX( DATOS3!$1:$19996,A300,MATCH("PatientID", DATOS3!$1:$1,0))=0,"",INDEX( DATOS3!$1:$19996,A300,MATCH("PatientID", DATOS3!$1:$1,0)))</f>
        <v>#N/A</v>
      </c>
      <c r="F300" t="e">
        <f>IF(INDEX( DATOS3!$1:$19996,A300,MATCH("SeriesDate", DATOS3!$1:$1,0))=0,"",INDEX( DATOS3!$1:$19996,A300,MATCH("SeriesDate", DATOS3!$1:$1,0)))</f>
        <v>#N/A</v>
      </c>
      <c r="G300" t="e">
        <f>IF(INDEX( DATOS3!$1:$19996,A300,MATCH("SeriesTime", DATOS3!$1:$1,0))=0,"",INDEX( DATOS3!$1:$19996,A300,MATCH("SeriesTime", DATOS3!$1:$1,0)))</f>
        <v>#N/A</v>
      </c>
      <c r="H300" t="e">
        <f>IF(INDEX( DATOS3!$1:$19996,A300,MATCH("StudyDescription", DATOS3!$1:$1,0))=0,"",INDEX( DATOS3!$1:$19996,A300,MATCH("StudyDescription", DATOS3!$1:$1,0)))</f>
        <v>#N/A</v>
      </c>
      <c r="I300" t="e">
        <f>IF(INDEX( DATOS3!$1:$19996,A300,MATCH("Dose_Area_Product_Total", DATOS3!$1:$1,0))=0,0,INDEX( DATOS3!$1:$19996,A300,MATCH("Dose_Area_Product", DATOS3!$1:$1,0)))</f>
        <v>#N/A</v>
      </c>
      <c r="J300" t="e">
        <f>IF(INDEX( DATOS3!$1:$19996,A300,MATCH("Dose_RP_Total", DATOS3!$1:$1,0))=0,0,INDEX( DATOS3!$1:$19996,A300,MATCH("Dose_RP", DATOS3!$1:$1,0)))</f>
        <v>#N/A</v>
      </c>
      <c r="K300" t="e">
        <f>IF(INDEX( DATOS3!$1:$19996,A300,MATCH("Total_Fluoro_Time", DATOS3!$1:$1,0))=0,0,INDEX( DATOS3!$1:$19996,A300,MATCH("Total_Fluoro_Time", DATOS3!$1:$1,0)))</f>
        <v>#N/A</v>
      </c>
    </row>
    <row r="301" spans="1:11" hidden="1" x14ac:dyDescent="0.25">
      <c r="A301">
        <v>301</v>
      </c>
      <c r="B301" t="e">
        <f t="shared" si="8"/>
        <v>#N/A</v>
      </c>
      <c r="C301" t="e">
        <f t="shared" si="9"/>
        <v>#N/A</v>
      </c>
      <c r="D301" t="e">
        <f>IF(INDEX( DATOS3!$1:$19996,A301,MATCH("PatientID", DATOS3!$1:$1,0))=0,"",INDEX( DATOS3!$1:$19996,A301,MATCH("PatientID", DATOS3!$1:$1,0)))</f>
        <v>#N/A</v>
      </c>
      <c r="F301" t="e">
        <f>IF(INDEX( DATOS3!$1:$19996,A301,MATCH("SeriesDate", DATOS3!$1:$1,0))=0,"",INDEX( DATOS3!$1:$19996,A301,MATCH("SeriesDate", DATOS3!$1:$1,0)))</f>
        <v>#N/A</v>
      </c>
      <c r="G301" t="e">
        <f>IF(INDEX( DATOS3!$1:$19996,A301,MATCH("SeriesTime", DATOS3!$1:$1,0))=0,"",INDEX( DATOS3!$1:$19996,A301,MATCH("SeriesTime", DATOS3!$1:$1,0)))</f>
        <v>#N/A</v>
      </c>
      <c r="H301" t="e">
        <f>IF(INDEX( DATOS3!$1:$19996,A301,MATCH("StudyDescription", DATOS3!$1:$1,0))=0,"",INDEX( DATOS3!$1:$19996,A301,MATCH("StudyDescription", DATOS3!$1:$1,0)))</f>
        <v>#N/A</v>
      </c>
      <c r="I301" t="e">
        <f>IF(INDEX( DATOS3!$1:$19996,A301,MATCH("Dose_Area_Product_Total", DATOS3!$1:$1,0))=0,0,INDEX( DATOS3!$1:$19996,A301,MATCH("Dose_Area_Product", DATOS3!$1:$1,0)))</f>
        <v>#N/A</v>
      </c>
      <c r="J301" t="e">
        <f>IF(INDEX( DATOS3!$1:$19996,A301,MATCH("Dose_RP_Total", DATOS3!$1:$1,0))=0,0,INDEX( DATOS3!$1:$19996,A301,MATCH("Dose_RP", DATOS3!$1:$1,0)))</f>
        <v>#N/A</v>
      </c>
      <c r="K301" t="e">
        <f>IF(INDEX( DATOS3!$1:$19996,A301,MATCH("Total_Fluoro_Time", DATOS3!$1:$1,0))=0,0,INDEX( DATOS3!$1:$19996,A301,MATCH("Total_Fluoro_Time", DATOS3!$1:$1,0)))</f>
        <v>#N/A</v>
      </c>
    </row>
    <row r="302" spans="1:11" hidden="1" x14ac:dyDescent="0.25">
      <c r="A302">
        <v>302</v>
      </c>
      <c r="B302" t="e">
        <f t="shared" si="8"/>
        <v>#N/A</v>
      </c>
      <c r="C302" t="e">
        <f t="shared" si="9"/>
        <v>#N/A</v>
      </c>
      <c r="D302" t="e">
        <f>IF(INDEX( DATOS3!$1:$19996,A302,MATCH("PatientID", DATOS3!$1:$1,0))=0,"",INDEX( DATOS3!$1:$19996,A302,MATCH("PatientID", DATOS3!$1:$1,0)))</f>
        <v>#N/A</v>
      </c>
      <c r="F302" t="e">
        <f>IF(INDEX( DATOS3!$1:$19996,A302,MATCH("SeriesDate", DATOS3!$1:$1,0))=0,"",INDEX( DATOS3!$1:$19996,A302,MATCH("SeriesDate", DATOS3!$1:$1,0)))</f>
        <v>#N/A</v>
      </c>
      <c r="G302" t="e">
        <f>IF(INDEX( DATOS3!$1:$19996,A302,MATCH("SeriesTime", DATOS3!$1:$1,0))=0,"",INDEX( DATOS3!$1:$19996,A302,MATCH("SeriesTime", DATOS3!$1:$1,0)))</f>
        <v>#N/A</v>
      </c>
      <c r="H302" t="e">
        <f>IF(INDEX( DATOS3!$1:$19996,A302,MATCH("StudyDescription", DATOS3!$1:$1,0))=0,"",INDEX( DATOS3!$1:$19996,A302,MATCH("StudyDescription", DATOS3!$1:$1,0)))</f>
        <v>#N/A</v>
      </c>
      <c r="I302" t="e">
        <f>IF(INDEX( DATOS3!$1:$19996,A302,MATCH("Dose_Area_Product_Total", DATOS3!$1:$1,0))=0,0,INDEX( DATOS3!$1:$19996,A302,MATCH("Dose_Area_Product", DATOS3!$1:$1,0)))</f>
        <v>#N/A</v>
      </c>
      <c r="J302" t="e">
        <f>IF(INDEX( DATOS3!$1:$19996,A302,MATCH("Dose_RP_Total", DATOS3!$1:$1,0))=0,0,INDEX( DATOS3!$1:$19996,A302,MATCH("Dose_RP", DATOS3!$1:$1,0)))</f>
        <v>#N/A</v>
      </c>
      <c r="K302" t="e">
        <f>IF(INDEX( DATOS3!$1:$19996,A302,MATCH("Total_Fluoro_Time", DATOS3!$1:$1,0))=0,0,INDEX( DATOS3!$1:$19996,A302,MATCH("Total_Fluoro_Time", DATOS3!$1:$1,0)))</f>
        <v>#N/A</v>
      </c>
    </row>
    <row r="303" spans="1:11" hidden="1" x14ac:dyDescent="0.25">
      <c r="A303">
        <v>303</v>
      </c>
      <c r="B303" t="e">
        <f t="shared" si="8"/>
        <v>#N/A</v>
      </c>
      <c r="C303" t="e">
        <f t="shared" si="9"/>
        <v>#N/A</v>
      </c>
      <c r="D303" t="e">
        <f>IF(INDEX( DATOS3!$1:$19996,A303,MATCH("PatientID", DATOS3!$1:$1,0))=0,"",INDEX( DATOS3!$1:$19996,A303,MATCH("PatientID", DATOS3!$1:$1,0)))</f>
        <v>#N/A</v>
      </c>
      <c r="F303" t="e">
        <f>IF(INDEX( DATOS3!$1:$19996,A303,MATCH("SeriesDate", DATOS3!$1:$1,0))=0,"",INDEX( DATOS3!$1:$19996,A303,MATCH("SeriesDate", DATOS3!$1:$1,0)))</f>
        <v>#N/A</v>
      </c>
      <c r="G303" t="e">
        <f>IF(INDEX( DATOS3!$1:$19996,A303,MATCH("SeriesTime", DATOS3!$1:$1,0))=0,"",INDEX( DATOS3!$1:$19996,A303,MATCH("SeriesTime", DATOS3!$1:$1,0)))</f>
        <v>#N/A</v>
      </c>
      <c r="H303" t="e">
        <f>IF(INDEX( DATOS3!$1:$19996,A303,MATCH("StudyDescription", DATOS3!$1:$1,0))=0,"",INDEX( DATOS3!$1:$19996,A303,MATCH("StudyDescription", DATOS3!$1:$1,0)))</f>
        <v>#N/A</v>
      </c>
      <c r="I303" t="e">
        <f>IF(INDEX( DATOS3!$1:$19996,A303,MATCH("Dose_Area_Product_Total", DATOS3!$1:$1,0))=0,0,INDEX( DATOS3!$1:$19996,A303,MATCH("Dose_Area_Product", DATOS3!$1:$1,0)))</f>
        <v>#N/A</v>
      </c>
      <c r="J303" t="e">
        <f>IF(INDEX( DATOS3!$1:$19996,A303,MATCH("Dose_RP_Total", DATOS3!$1:$1,0))=0,0,INDEX( DATOS3!$1:$19996,A303,MATCH("Dose_RP", DATOS3!$1:$1,0)))</f>
        <v>#N/A</v>
      </c>
      <c r="K303" t="e">
        <f>IF(INDEX( DATOS3!$1:$19996,A303,MATCH("Total_Fluoro_Time", DATOS3!$1:$1,0))=0,0,INDEX( DATOS3!$1:$19996,A303,MATCH("Total_Fluoro_Time", DATOS3!$1:$1,0)))</f>
        <v>#N/A</v>
      </c>
    </row>
    <row r="304" spans="1:11" hidden="1" x14ac:dyDescent="0.25">
      <c r="A304">
        <v>304</v>
      </c>
      <c r="B304" t="e">
        <f t="shared" si="8"/>
        <v>#N/A</v>
      </c>
      <c r="C304" t="e">
        <f t="shared" si="9"/>
        <v>#N/A</v>
      </c>
      <c r="D304" t="e">
        <f>IF(INDEX( DATOS3!$1:$19996,A304,MATCH("PatientID", DATOS3!$1:$1,0))=0,"",INDEX( DATOS3!$1:$19996,A304,MATCH("PatientID", DATOS3!$1:$1,0)))</f>
        <v>#N/A</v>
      </c>
      <c r="F304" t="e">
        <f>IF(INDEX( DATOS3!$1:$19996,A304,MATCH("SeriesDate", DATOS3!$1:$1,0))=0,"",INDEX( DATOS3!$1:$19996,A304,MATCH("SeriesDate", DATOS3!$1:$1,0)))</f>
        <v>#N/A</v>
      </c>
      <c r="G304" t="e">
        <f>IF(INDEX( DATOS3!$1:$19996,A304,MATCH("SeriesTime", DATOS3!$1:$1,0))=0,"",INDEX( DATOS3!$1:$19996,A304,MATCH("SeriesTime", DATOS3!$1:$1,0)))</f>
        <v>#N/A</v>
      </c>
      <c r="H304" t="e">
        <f>IF(INDEX( DATOS3!$1:$19996,A304,MATCH("StudyDescription", DATOS3!$1:$1,0))=0,"",INDEX( DATOS3!$1:$19996,A304,MATCH("StudyDescription", DATOS3!$1:$1,0)))</f>
        <v>#N/A</v>
      </c>
      <c r="I304" t="e">
        <f>IF(INDEX( DATOS3!$1:$19996,A304,MATCH("Dose_Area_Product_Total", DATOS3!$1:$1,0))=0,0,INDEX( DATOS3!$1:$19996,A304,MATCH("Dose_Area_Product", DATOS3!$1:$1,0)))</f>
        <v>#N/A</v>
      </c>
      <c r="J304" t="e">
        <f>IF(INDEX( DATOS3!$1:$19996,A304,MATCH("Dose_RP_Total", DATOS3!$1:$1,0))=0,0,INDEX( DATOS3!$1:$19996,A304,MATCH("Dose_RP", DATOS3!$1:$1,0)))</f>
        <v>#N/A</v>
      </c>
      <c r="K304" t="e">
        <f>IF(INDEX( DATOS3!$1:$19996,A304,MATCH("Total_Fluoro_Time", DATOS3!$1:$1,0))=0,0,INDEX( DATOS3!$1:$19996,A304,MATCH("Total_Fluoro_Time", DATOS3!$1:$1,0)))</f>
        <v>#N/A</v>
      </c>
    </row>
    <row r="305" spans="1:11" hidden="1" x14ac:dyDescent="0.25">
      <c r="A305">
        <v>305</v>
      </c>
      <c r="B305" t="e">
        <f t="shared" si="8"/>
        <v>#N/A</v>
      </c>
      <c r="C305" t="e">
        <f t="shared" si="9"/>
        <v>#N/A</v>
      </c>
      <c r="D305" t="e">
        <f>IF(INDEX( DATOS3!$1:$19996,A305,MATCH("PatientID", DATOS3!$1:$1,0))=0,"",INDEX( DATOS3!$1:$19996,A305,MATCH("PatientID", DATOS3!$1:$1,0)))</f>
        <v>#N/A</v>
      </c>
      <c r="F305" t="e">
        <f>IF(INDEX( DATOS3!$1:$19996,A305,MATCH("SeriesDate", DATOS3!$1:$1,0))=0,"",INDEX( DATOS3!$1:$19996,A305,MATCH("SeriesDate", DATOS3!$1:$1,0)))</f>
        <v>#N/A</v>
      </c>
      <c r="G305" t="e">
        <f>IF(INDEX( DATOS3!$1:$19996,A305,MATCH("SeriesTime", DATOS3!$1:$1,0))=0,"",INDEX( DATOS3!$1:$19996,A305,MATCH("SeriesTime", DATOS3!$1:$1,0)))</f>
        <v>#N/A</v>
      </c>
      <c r="H305" t="e">
        <f>IF(INDEX( DATOS3!$1:$19996,A305,MATCH("StudyDescription", DATOS3!$1:$1,0))=0,"",INDEX( DATOS3!$1:$19996,A305,MATCH("StudyDescription", DATOS3!$1:$1,0)))</f>
        <v>#N/A</v>
      </c>
      <c r="I305" t="e">
        <f>IF(INDEX( DATOS3!$1:$19996,A305,MATCH("Dose_Area_Product_Total", DATOS3!$1:$1,0))=0,0,INDEX( DATOS3!$1:$19996,A305,MATCH("Dose_Area_Product", DATOS3!$1:$1,0)))</f>
        <v>#N/A</v>
      </c>
      <c r="J305" t="e">
        <f>IF(INDEX( DATOS3!$1:$19996,A305,MATCH("Dose_RP_Total", DATOS3!$1:$1,0))=0,0,INDEX( DATOS3!$1:$19996,A305,MATCH("Dose_RP", DATOS3!$1:$1,0)))</f>
        <v>#N/A</v>
      </c>
      <c r="K305" t="e">
        <f>IF(INDEX( DATOS3!$1:$19996,A305,MATCH("Total_Fluoro_Time", DATOS3!$1:$1,0))=0,0,INDEX( DATOS3!$1:$19996,A305,MATCH("Total_Fluoro_Time", DATOS3!$1:$1,0)))</f>
        <v>#N/A</v>
      </c>
    </row>
    <row r="306" spans="1:11" hidden="1" x14ac:dyDescent="0.25">
      <c r="A306">
        <v>306</v>
      </c>
      <c r="B306" t="e">
        <f t="shared" si="8"/>
        <v>#N/A</v>
      </c>
      <c r="C306" t="e">
        <f t="shared" si="9"/>
        <v>#N/A</v>
      </c>
      <c r="D306" t="e">
        <f>IF(INDEX( DATOS3!$1:$19996,A306,MATCH("PatientID", DATOS3!$1:$1,0))=0,"",INDEX( DATOS3!$1:$19996,A306,MATCH("PatientID", DATOS3!$1:$1,0)))</f>
        <v>#N/A</v>
      </c>
      <c r="F306" t="e">
        <f>IF(INDEX( DATOS3!$1:$19996,A306,MATCH("SeriesDate", DATOS3!$1:$1,0))=0,"",INDEX( DATOS3!$1:$19996,A306,MATCH("SeriesDate", DATOS3!$1:$1,0)))</f>
        <v>#N/A</v>
      </c>
      <c r="G306" t="e">
        <f>IF(INDEX( DATOS3!$1:$19996,A306,MATCH("SeriesTime", DATOS3!$1:$1,0))=0,"",INDEX( DATOS3!$1:$19996,A306,MATCH("SeriesTime", DATOS3!$1:$1,0)))</f>
        <v>#N/A</v>
      </c>
      <c r="H306" t="e">
        <f>IF(INDEX( DATOS3!$1:$19996,A306,MATCH("StudyDescription", DATOS3!$1:$1,0))=0,"",INDEX( DATOS3!$1:$19996,A306,MATCH("StudyDescription", DATOS3!$1:$1,0)))</f>
        <v>#N/A</v>
      </c>
      <c r="I306" t="e">
        <f>IF(INDEX( DATOS3!$1:$19996,A306,MATCH("Dose_Area_Product_Total", DATOS3!$1:$1,0))=0,0,INDEX( DATOS3!$1:$19996,A306,MATCH("Dose_Area_Product", DATOS3!$1:$1,0)))</f>
        <v>#N/A</v>
      </c>
      <c r="J306" t="e">
        <f>IF(INDEX( DATOS3!$1:$19996,A306,MATCH("Dose_RP_Total", DATOS3!$1:$1,0))=0,0,INDEX( DATOS3!$1:$19996,A306,MATCH("Dose_RP", DATOS3!$1:$1,0)))</f>
        <v>#N/A</v>
      </c>
      <c r="K306" t="e">
        <f>IF(INDEX( DATOS3!$1:$19996,A306,MATCH("Total_Fluoro_Time", DATOS3!$1:$1,0))=0,0,INDEX( DATOS3!$1:$19996,A306,MATCH("Total_Fluoro_Time", DATOS3!$1:$1,0)))</f>
        <v>#N/A</v>
      </c>
    </row>
    <row r="307" spans="1:11" hidden="1" x14ac:dyDescent="0.25">
      <c r="A307">
        <v>307</v>
      </c>
      <c r="B307" t="e">
        <f t="shared" si="8"/>
        <v>#N/A</v>
      </c>
      <c r="C307" t="e">
        <f t="shared" si="9"/>
        <v>#N/A</v>
      </c>
      <c r="D307" t="e">
        <f>IF(INDEX( DATOS3!$1:$19996,A307,MATCH("PatientID", DATOS3!$1:$1,0))=0,"",INDEX( DATOS3!$1:$19996,A307,MATCH("PatientID", DATOS3!$1:$1,0)))</f>
        <v>#N/A</v>
      </c>
      <c r="F307" t="e">
        <f>IF(INDEX( DATOS3!$1:$19996,A307,MATCH("SeriesDate", DATOS3!$1:$1,0))=0,"",INDEX( DATOS3!$1:$19996,A307,MATCH("SeriesDate", DATOS3!$1:$1,0)))</f>
        <v>#N/A</v>
      </c>
      <c r="G307" t="e">
        <f>IF(INDEX( DATOS3!$1:$19996,A307,MATCH("SeriesTime", DATOS3!$1:$1,0))=0,"",INDEX( DATOS3!$1:$19996,A307,MATCH("SeriesTime", DATOS3!$1:$1,0)))</f>
        <v>#N/A</v>
      </c>
      <c r="H307" t="e">
        <f>IF(INDEX( DATOS3!$1:$19996,A307,MATCH("StudyDescription", DATOS3!$1:$1,0))=0,"",INDEX( DATOS3!$1:$19996,A307,MATCH("StudyDescription", DATOS3!$1:$1,0)))</f>
        <v>#N/A</v>
      </c>
      <c r="I307" t="e">
        <f>IF(INDEX( DATOS3!$1:$19996,A307,MATCH("Dose_Area_Product_Total", DATOS3!$1:$1,0))=0,0,INDEX( DATOS3!$1:$19996,A307,MATCH("Dose_Area_Product", DATOS3!$1:$1,0)))</f>
        <v>#N/A</v>
      </c>
      <c r="J307" t="e">
        <f>IF(INDEX( DATOS3!$1:$19996,A307,MATCH("Dose_RP_Total", DATOS3!$1:$1,0))=0,0,INDEX( DATOS3!$1:$19996,A307,MATCH("Dose_RP", DATOS3!$1:$1,0)))</f>
        <v>#N/A</v>
      </c>
      <c r="K307" t="e">
        <f>IF(INDEX( DATOS3!$1:$19996,A307,MATCH("Total_Fluoro_Time", DATOS3!$1:$1,0))=0,0,INDEX( DATOS3!$1:$19996,A307,MATCH("Total_Fluoro_Time", DATOS3!$1:$1,0)))</f>
        <v>#N/A</v>
      </c>
    </row>
    <row r="308" spans="1:11" hidden="1" x14ac:dyDescent="0.25">
      <c r="A308">
        <v>308</v>
      </c>
      <c r="B308" t="e">
        <f t="shared" si="8"/>
        <v>#N/A</v>
      </c>
      <c r="C308" t="e">
        <f t="shared" si="9"/>
        <v>#N/A</v>
      </c>
      <c r="D308" t="e">
        <f>IF(INDEX( DATOS3!$1:$19996,A308,MATCH("PatientID", DATOS3!$1:$1,0))=0,"",INDEX( DATOS3!$1:$19996,A308,MATCH("PatientID", DATOS3!$1:$1,0)))</f>
        <v>#N/A</v>
      </c>
      <c r="F308" t="e">
        <f>IF(INDEX( DATOS3!$1:$19996,A308,MATCH("SeriesDate", DATOS3!$1:$1,0))=0,"",INDEX( DATOS3!$1:$19996,A308,MATCH("SeriesDate", DATOS3!$1:$1,0)))</f>
        <v>#N/A</v>
      </c>
      <c r="G308" t="e">
        <f>IF(INDEX( DATOS3!$1:$19996,A308,MATCH("SeriesTime", DATOS3!$1:$1,0))=0,"",INDEX( DATOS3!$1:$19996,A308,MATCH("SeriesTime", DATOS3!$1:$1,0)))</f>
        <v>#N/A</v>
      </c>
      <c r="H308" t="e">
        <f>IF(INDEX( DATOS3!$1:$19996,A308,MATCH("StudyDescription", DATOS3!$1:$1,0))=0,"",INDEX( DATOS3!$1:$19996,A308,MATCH("StudyDescription", DATOS3!$1:$1,0)))</f>
        <v>#N/A</v>
      </c>
      <c r="I308" t="e">
        <f>IF(INDEX( DATOS3!$1:$19996,A308,MATCH("Dose_Area_Product_Total", DATOS3!$1:$1,0))=0,0,INDEX( DATOS3!$1:$19996,A308,MATCH("Dose_Area_Product", DATOS3!$1:$1,0)))</f>
        <v>#N/A</v>
      </c>
      <c r="J308" t="e">
        <f>IF(INDEX( DATOS3!$1:$19996,A308,MATCH("Dose_RP_Total", DATOS3!$1:$1,0))=0,0,INDEX( DATOS3!$1:$19996,A308,MATCH("Dose_RP", DATOS3!$1:$1,0)))</f>
        <v>#N/A</v>
      </c>
      <c r="K308" t="e">
        <f>IF(INDEX( DATOS3!$1:$19996,A308,MATCH("Total_Fluoro_Time", DATOS3!$1:$1,0))=0,0,INDEX( DATOS3!$1:$19996,A308,MATCH("Total_Fluoro_Time", DATOS3!$1:$1,0)))</f>
        <v>#N/A</v>
      </c>
    </row>
    <row r="309" spans="1:11" hidden="1" x14ac:dyDescent="0.25">
      <c r="A309">
        <v>309</v>
      </c>
      <c r="B309" t="e">
        <f t="shared" si="8"/>
        <v>#N/A</v>
      </c>
      <c r="C309" t="e">
        <f t="shared" si="9"/>
        <v>#N/A</v>
      </c>
      <c r="D309" t="e">
        <f>IF(INDEX( DATOS3!$1:$19996,A309,MATCH("PatientID", DATOS3!$1:$1,0))=0,"",INDEX( DATOS3!$1:$19996,A309,MATCH("PatientID", DATOS3!$1:$1,0)))</f>
        <v>#N/A</v>
      </c>
      <c r="F309" t="e">
        <f>IF(INDEX( DATOS3!$1:$19996,A309,MATCH("SeriesDate", DATOS3!$1:$1,0))=0,"",INDEX( DATOS3!$1:$19996,A309,MATCH("SeriesDate", DATOS3!$1:$1,0)))</f>
        <v>#N/A</v>
      </c>
      <c r="G309" t="e">
        <f>IF(INDEX( DATOS3!$1:$19996,A309,MATCH("SeriesTime", DATOS3!$1:$1,0))=0,"",INDEX( DATOS3!$1:$19996,A309,MATCH("SeriesTime", DATOS3!$1:$1,0)))</f>
        <v>#N/A</v>
      </c>
      <c r="H309" t="e">
        <f>IF(INDEX( DATOS3!$1:$19996,A309,MATCH("StudyDescription", DATOS3!$1:$1,0))=0,"",INDEX( DATOS3!$1:$19996,A309,MATCH("StudyDescription", DATOS3!$1:$1,0)))</f>
        <v>#N/A</v>
      </c>
      <c r="I309" t="e">
        <f>IF(INDEX( DATOS3!$1:$19996,A309,MATCH("Dose_Area_Product_Total", DATOS3!$1:$1,0))=0,0,INDEX( DATOS3!$1:$19996,A309,MATCH("Dose_Area_Product", DATOS3!$1:$1,0)))</f>
        <v>#N/A</v>
      </c>
      <c r="J309" t="e">
        <f>IF(INDEX( DATOS3!$1:$19996,A309,MATCH("Dose_RP_Total", DATOS3!$1:$1,0))=0,0,INDEX( DATOS3!$1:$19996,A309,MATCH("Dose_RP", DATOS3!$1:$1,0)))</f>
        <v>#N/A</v>
      </c>
      <c r="K309" t="e">
        <f>IF(INDEX( DATOS3!$1:$19996,A309,MATCH("Total_Fluoro_Time", DATOS3!$1:$1,0))=0,0,INDEX( DATOS3!$1:$19996,A309,MATCH("Total_Fluoro_Time", DATOS3!$1:$1,0)))</f>
        <v>#N/A</v>
      </c>
    </row>
    <row r="310" spans="1:11" hidden="1" x14ac:dyDescent="0.25">
      <c r="A310">
        <v>310</v>
      </c>
      <c r="B310" t="e">
        <f t="shared" si="8"/>
        <v>#N/A</v>
      </c>
      <c r="C310" t="e">
        <f t="shared" si="9"/>
        <v>#N/A</v>
      </c>
      <c r="D310" t="e">
        <f>IF(INDEX( DATOS3!$1:$19996,A310,MATCH("PatientID", DATOS3!$1:$1,0))=0,"",INDEX( DATOS3!$1:$19996,A310,MATCH("PatientID", DATOS3!$1:$1,0)))</f>
        <v>#N/A</v>
      </c>
      <c r="F310" t="e">
        <f>IF(INDEX( DATOS3!$1:$19996,A310,MATCH("SeriesDate", DATOS3!$1:$1,0))=0,"",INDEX( DATOS3!$1:$19996,A310,MATCH("SeriesDate", DATOS3!$1:$1,0)))</f>
        <v>#N/A</v>
      </c>
      <c r="G310" t="e">
        <f>IF(INDEX( DATOS3!$1:$19996,A310,MATCH("SeriesTime", DATOS3!$1:$1,0))=0,"",INDEX( DATOS3!$1:$19996,A310,MATCH("SeriesTime", DATOS3!$1:$1,0)))</f>
        <v>#N/A</v>
      </c>
      <c r="H310" t="e">
        <f>IF(INDEX( DATOS3!$1:$19996,A310,MATCH("StudyDescription", DATOS3!$1:$1,0))=0,"",INDEX( DATOS3!$1:$19996,A310,MATCH("StudyDescription", DATOS3!$1:$1,0)))</f>
        <v>#N/A</v>
      </c>
      <c r="I310" t="e">
        <f>IF(INDEX( DATOS3!$1:$19996,A310,MATCH("Dose_Area_Product_Total", DATOS3!$1:$1,0))=0,0,INDEX( DATOS3!$1:$19996,A310,MATCH("Dose_Area_Product", DATOS3!$1:$1,0)))</f>
        <v>#N/A</v>
      </c>
      <c r="J310" t="e">
        <f>IF(INDEX( DATOS3!$1:$19996,A310,MATCH("Dose_RP_Total", DATOS3!$1:$1,0))=0,0,INDEX( DATOS3!$1:$19996,A310,MATCH("Dose_RP", DATOS3!$1:$1,0)))</f>
        <v>#N/A</v>
      </c>
      <c r="K310" t="e">
        <f>IF(INDEX( DATOS3!$1:$19996,A310,MATCH("Total_Fluoro_Time", DATOS3!$1:$1,0))=0,0,INDEX( DATOS3!$1:$19996,A310,MATCH("Total_Fluoro_Time", DATOS3!$1:$1,0)))</f>
        <v>#N/A</v>
      </c>
    </row>
    <row r="311" spans="1:11" hidden="1" x14ac:dyDescent="0.25">
      <c r="A311">
        <v>311</v>
      </c>
      <c r="B311" t="e">
        <f t="shared" si="8"/>
        <v>#N/A</v>
      </c>
      <c r="C311" t="e">
        <f t="shared" si="9"/>
        <v>#N/A</v>
      </c>
      <c r="D311" t="e">
        <f>IF(INDEX( DATOS3!$1:$19996,A311,MATCH("PatientID", DATOS3!$1:$1,0))=0,"",INDEX( DATOS3!$1:$19996,A311,MATCH("PatientID", DATOS3!$1:$1,0)))</f>
        <v>#N/A</v>
      </c>
      <c r="F311" t="e">
        <f>IF(INDEX( DATOS3!$1:$19996,A311,MATCH("SeriesDate", DATOS3!$1:$1,0))=0,"",INDEX( DATOS3!$1:$19996,A311,MATCH("SeriesDate", DATOS3!$1:$1,0)))</f>
        <v>#N/A</v>
      </c>
      <c r="G311" t="e">
        <f>IF(INDEX( DATOS3!$1:$19996,A311,MATCH("SeriesTime", DATOS3!$1:$1,0))=0,"",INDEX( DATOS3!$1:$19996,A311,MATCH("SeriesTime", DATOS3!$1:$1,0)))</f>
        <v>#N/A</v>
      </c>
      <c r="H311" t="e">
        <f>IF(INDEX( DATOS3!$1:$19996,A311,MATCH("StudyDescription", DATOS3!$1:$1,0))=0,"",INDEX( DATOS3!$1:$19996,A311,MATCH("StudyDescription", DATOS3!$1:$1,0)))</f>
        <v>#N/A</v>
      </c>
      <c r="I311" t="e">
        <f>IF(INDEX( DATOS3!$1:$19996,A311,MATCH("Dose_Area_Product_Total", DATOS3!$1:$1,0))=0,0,INDEX( DATOS3!$1:$19996,A311,MATCH("Dose_Area_Product", DATOS3!$1:$1,0)))</f>
        <v>#N/A</v>
      </c>
      <c r="J311" t="e">
        <f>IF(INDEX( DATOS3!$1:$19996,A311,MATCH("Dose_RP_Total", DATOS3!$1:$1,0))=0,0,INDEX( DATOS3!$1:$19996,A311,MATCH("Dose_RP", DATOS3!$1:$1,0)))</f>
        <v>#N/A</v>
      </c>
      <c r="K311" t="e">
        <f>IF(INDEX( DATOS3!$1:$19996,A311,MATCH("Total_Fluoro_Time", DATOS3!$1:$1,0))=0,0,INDEX( DATOS3!$1:$19996,A311,MATCH("Total_Fluoro_Time", DATOS3!$1:$1,0)))</f>
        <v>#N/A</v>
      </c>
    </row>
    <row r="312" spans="1:11" hidden="1" x14ac:dyDescent="0.25">
      <c r="A312">
        <v>312</v>
      </c>
      <c r="B312" t="e">
        <f t="shared" si="8"/>
        <v>#N/A</v>
      </c>
      <c r="C312" t="e">
        <f t="shared" si="9"/>
        <v>#N/A</v>
      </c>
      <c r="D312" t="e">
        <f>IF(INDEX( DATOS3!$1:$19996,A312,MATCH("PatientID", DATOS3!$1:$1,0))=0,"",INDEX( DATOS3!$1:$19996,A312,MATCH("PatientID", DATOS3!$1:$1,0)))</f>
        <v>#N/A</v>
      </c>
      <c r="F312" t="e">
        <f>IF(INDEX( DATOS3!$1:$19996,A312,MATCH("SeriesDate", DATOS3!$1:$1,0))=0,"",INDEX( DATOS3!$1:$19996,A312,MATCH("SeriesDate", DATOS3!$1:$1,0)))</f>
        <v>#N/A</v>
      </c>
      <c r="G312" t="e">
        <f>IF(INDEX( DATOS3!$1:$19996,A312,MATCH("SeriesTime", DATOS3!$1:$1,0))=0,"",INDEX( DATOS3!$1:$19996,A312,MATCH("SeriesTime", DATOS3!$1:$1,0)))</f>
        <v>#N/A</v>
      </c>
      <c r="H312" t="e">
        <f>IF(INDEX( DATOS3!$1:$19996,A312,MATCH("StudyDescription", DATOS3!$1:$1,0))=0,"",INDEX( DATOS3!$1:$19996,A312,MATCH("StudyDescription", DATOS3!$1:$1,0)))</f>
        <v>#N/A</v>
      </c>
      <c r="I312" t="e">
        <f>IF(INDEX( DATOS3!$1:$19996,A312,MATCH("Dose_Area_Product_Total", DATOS3!$1:$1,0))=0,0,INDEX( DATOS3!$1:$19996,A312,MATCH("Dose_Area_Product", DATOS3!$1:$1,0)))</f>
        <v>#N/A</v>
      </c>
      <c r="J312" t="e">
        <f>IF(INDEX( DATOS3!$1:$19996,A312,MATCH("Dose_RP_Total", DATOS3!$1:$1,0))=0,0,INDEX( DATOS3!$1:$19996,A312,MATCH("Dose_RP", DATOS3!$1:$1,0)))</f>
        <v>#N/A</v>
      </c>
      <c r="K312" t="e">
        <f>IF(INDEX( DATOS3!$1:$19996,A312,MATCH("Total_Fluoro_Time", DATOS3!$1:$1,0))=0,0,INDEX( DATOS3!$1:$19996,A312,MATCH("Total_Fluoro_Time", DATOS3!$1:$1,0)))</f>
        <v>#N/A</v>
      </c>
    </row>
    <row r="313" spans="1:11" hidden="1" x14ac:dyDescent="0.25">
      <c r="A313">
        <v>313</v>
      </c>
      <c r="B313" t="e">
        <f t="shared" si="8"/>
        <v>#N/A</v>
      </c>
      <c r="C313" t="e">
        <f t="shared" si="9"/>
        <v>#N/A</v>
      </c>
      <c r="D313" t="e">
        <f>IF(INDEX( DATOS3!$1:$19996,A313,MATCH("PatientID", DATOS3!$1:$1,0))=0,"",INDEX( DATOS3!$1:$19996,A313,MATCH("PatientID", DATOS3!$1:$1,0)))</f>
        <v>#N/A</v>
      </c>
      <c r="F313" t="e">
        <f>IF(INDEX( DATOS3!$1:$19996,A313,MATCH("SeriesDate", DATOS3!$1:$1,0))=0,"",INDEX( DATOS3!$1:$19996,A313,MATCH("SeriesDate", DATOS3!$1:$1,0)))</f>
        <v>#N/A</v>
      </c>
      <c r="G313" t="e">
        <f>IF(INDEX( DATOS3!$1:$19996,A313,MATCH("SeriesTime", DATOS3!$1:$1,0))=0,"",INDEX( DATOS3!$1:$19996,A313,MATCH("SeriesTime", DATOS3!$1:$1,0)))</f>
        <v>#N/A</v>
      </c>
      <c r="H313" t="e">
        <f>IF(INDEX( DATOS3!$1:$19996,A313,MATCH("StudyDescription", DATOS3!$1:$1,0))=0,"",INDEX( DATOS3!$1:$19996,A313,MATCH("StudyDescription", DATOS3!$1:$1,0)))</f>
        <v>#N/A</v>
      </c>
      <c r="I313" t="e">
        <f>IF(INDEX( DATOS3!$1:$19996,A313,MATCH("Dose_Area_Product_Total", DATOS3!$1:$1,0))=0,0,INDEX( DATOS3!$1:$19996,A313,MATCH("Dose_Area_Product", DATOS3!$1:$1,0)))</f>
        <v>#N/A</v>
      </c>
      <c r="J313" t="e">
        <f>IF(INDEX( DATOS3!$1:$19996,A313,MATCH("Dose_RP_Total", DATOS3!$1:$1,0))=0,0,INDEX( DATOS3!$1:$19996,A313,MATCH("Dose_RP", DATOS3!$1:$1,0)))</f>
        <v>#N/A</v>
      </c>
      <c r="K313" t="e">
        <f>IF(INDEX( DATOS3!$1:$19996,A313,MATCH("Total_Fluoro_Time", DATOS3!$1:$1,0))=0,0,INDEX( DATOS3!$1:$19996,A313,MATCH("Total_Fluoro_Time", DATOS3!$1:$1,0)))</f>
        <v>#N/A</v>
      </c>
    </row>
    <row r="314" spans="1:11" hidden="1" x14ac:dyDescent="0.25">
      <c r="A314">
        <v>314</v>
      </c>
      <c r="B314" t="e">
        <f t="shared" si="8"/>
        <v>#N/A</v>
      </c>
      <c r="C314" t="e">
        <f t="shared" si="9"/>
        <v>#N/A</v>
      </c>
      <c r="D314" t="e">
        <f>IF(INDEX( DATOS3!$1:$19996,A314,MATCH("PatientID", DATOS3!$1:$1,0))=0,"",INDEX( DATOS3!$1:$19996,A314,MATCH("PatientID", DATOS3!$1:$1,0)))</f>
        <v>#N/A</v>
      </c>
      <c r="F314" t="e">
        <f>IF(INDEX( DATOS3!$1:$19996,A314,MATCH("SeriesDate", DATOS3!$1:$1,0))=0,"",INDEX( DATOS3!$1:$19996,A314,MATCH("SeriesDate", DATOS3!$1:$1,0)))</f>
        <v>#N/A</v>
      </c>
      <c r="G314" t="e">
        <f>IF(INDEX( DATOS3!$1:$19996,A314,MATCH("SeriesTime", DATOS3!$1:$1,0))=0,"",INDEX( DATOS3!$1:$19996,A314,MATCH("SeriesTime", DATOS3!$1:$1,0)))</f>
        <v>#N/A</v>
      </c>
      <c r="H314" t="e">
        <f>IF(INDEX( DATOS3!$1:$19996,A314,MATCH("StudyDescription", DATOS3!$1:$1,0))=0,"",INDEX( DATOS3!$1:$19996,A314,MATCH("StudyDescription", DATOS3!$1:$1,0)))</f>
        <v>#N/A</v>
      </c>
      <c r="I314" t="e">
        <f>IF(INDEX( DATOS3!$1:$19996,A314,MATCH("Dose_Area_Product_Total", DATOS3!$1:$1,0))=0,0,INDEX( DATOS3!$1:$19996,A314,MATCH("Dose_Area_Product", DATOS3!$1:$1,0)))</f>
        <v>#N/A</v>
      </c>
      <c r="J314" t="e">
        <f>IF(INDEX( DATOS3!$1:$19996,A314,MATCH("Dose_RP_Total", DATOS3!$1:$1,0))=0,0,INDEX( DATOS3!$1:$19996,A314,MATCH("Dose_RP", DATOS3!$1:$1,0)))</f>
        <v>#N/A</v>
      </c>
      <c r="K314" t="e">
        <f>IF(INDEX( DATOS3!$1:$19996,A314,MATCH("Total_Fluoro_Time", DATOS3!$1:$1,0))=0,0,INDEX( DATOS3!$1:$19996,A314,MATCH("Total_Fluoro_Time", DATOS3!$1:$1,0)))</f>
        <v>#N/A</v>
      </c>
    </row>
    <row r="315" spans="1:11" hidden="1" x14ac:dyDescent="0.25">
      <c r="A315">
        <v>315</v>
      </c>
      <c r="B315" t="e">
        <f t="shared" si="8"/>
        <v>#N/A</v>
      </c>
      <c r="C315" t="e">
        <f t="shared" si="9"/>
        <v>#N/A</v>
      </c>
      <c r="D315" t="e">
        <f>IF(INDEX( DATOS3!$1:$19996,A315,MATCH("PatientID", DATOS3!$1:$1,0))=0,"",INDEX( DATOS3!$1:$19996,A315,MATCH("PatientID", DATOS3!$1:$1,0)))</f>
        <v>#N/A</v>
      </c>
      <c r="F315" t="e">
        <f>IF(INDEX( DATOS3!$1:$19996,A315,MATCH("SeriesDate", DATOS3!$1:$1,0))=0,"",INDEX( DATOS3!$1:$19996,A315,MATCH("SeriesDate", DATOS3!$1:$1,0)))</f>
        <v>#N/A</v>
      </c>
      <c r="G315" t="e">
        <f>IF(INDEX( DATOS3!$1:$19996,A315,MATCH("SeriesTime", DATOS3!$1:$1,0))=0,"",INDEX( DATOS3!$1:$19996,A315,MATCH("SeriesTime", DATOS3!$1:$1,0)))</f>
        <v>#N/A</v>
      </c>
      <c r="H315" t="e">
        <f>IF(INDEX( DATOS3!$1:$19996,A315,MATCH("StudyDescription", DATOS3!$1:$1,0))=0,"",INDEX( DATOS3!$1:$19996,A315,MATCH("StudyDescription", DATOS3!$1:$1,0)))</f>
        <v>#N/A</v>
      </c>
      <c r="I315" t="e">
        <f>IF(INDEX( DATOS3!$1:$19996,A315,MATCH("Dose_Area_Product_Total", DATOS3!$1:$1,0))=0,0,INDEX( DATOS3!$1:$19996,A315,MATCH("Dose_Area_Product", DATOS3!$1:$1,0)))</f>
        <v>#N/A</v>
      </c>
      <c r="J315" t="e">
        <f>IF(INDEX( DATOS3!$1:$19996,A315,MATCH("Dose_RP_Total", DATOS3!$1:$1,0))=0,0,INDEX( DATOS3!$1:$19996,A315,MATCH("Dose_RP", DATOS3!$1:$1,0)))</f>
        <v>#N/A</v>
      </c>
      <c r="K315" t="e">
        <f>IF(INDEX( DATOS3!$1:$19996,A315,MATCH("Total_Fluoro_Time", DATOS3!$1:$1,0))=0,0,INDEX( DATOS3!$1:$19996,A315,MATCH("Total_Fluoro_Time", DATOS3!$1:$1,0)))</f>
        <v>#N/A</v>
      </c>
    </row>
    <row r="316" spans="1:11" hidden="1" x14ac:dyDescent="0.25">
      <c r="A316">
        <v>316</v>
      </c>
      <c r="B316" t="e">
        <f t="shared" si="8"/>
        <v>#N/A</v>
      </c>
      <c r="C316" t="e">
        <f t="shared" si="9"/>
        <v>#N/A</v>
      </c>
      <c r="D316" t="e">
        <f>IF(INDEX( DATOS3!$1:$19996,A316,MATCH("PatientID", DATOS3!$1:$1,0))=0,"",INDEX( DATOS3!$1:$19996,A316,MATCH("PatientID", DATOS3!$1:$1,0)))</f>
        <v>#N/A</v>
      </c>
      <c r="F316" t="e">
        <f>IF(INDEX( DATOS3!$1:$19996,A316,MATCH("SeriesDate", DATOS3!$1:$1,0))=0,"",INDEX( DATOS3!$1:$19996,A316,MATCH("SeriesDate", DATOS3!$1:$1,0)))</f>
        <v>#N/A</v>
      </c>
      <c r="G316" t="e">
        <f>IF(INDEX( DATOS3!$1:$19996,A316,MATCH("SeriesTime", DATOS3!$1:$1,0))=0,"",INDEX( DATOS3!$1:$19996,A316,MATCH("SeriesTime", DATOS3!$1:$1,0)))</f>
        <v>#N/A</v>
      </c>
      <c r="H316" t="e">
        <f>IF(INDEX( DATOS3!$1:$19996,A316,MATCH("StudyDescription", DATOS3!$1:$1,0))=0,"",INDEX( DATOS3!$1:$19996,A316,MATCH("StudyDescription", DATOS3!$1:$1,0)))</f>
        <v>#N/A</v>
      </c>
      <c r="I316" t="e">
        <f>IF(INDEX( DATOS3!$1:$19996,A316,MATCH("Dose_Area_Product_Total", DATOS3!$1:$1,0))=0,0,INDEX( DATOS3!$1:$19996,A316,MATCH("Dose_Area_Product", DATOS3!$1:$1,0)))</f>
        <v>#N/A</v>
      </c>
      <c r="J316" t="e">
        <f>IF(INDEX( DATOS3!$1:$19996,A316,MATCH("Dose_RP_Total", DATOS3!$1:$1,0))=0,0,INDEX( DATOS3!$1:$19996,A316,MATCH("Dose_RP", DATOS3!$1:$1,0)))</f>
        <v>#N/A</v>
      </c>
      <c r="K316" t="e">
        <f>IF(INDEX( DATOS3!$1:$19996,A316,MATCH("Total_Fluoro_Time", DATOS3!$1:$1,0))=0,0,INDEX( DATOS3!$1:$19996,A316,MATCH("Total_Fluoro_Time", DATOS3!$1:$1,0)))</f>
        <v>#N/A</v>
      </c>
    </row>
    <row r="317" spans="1:11" hidden="1" x14ac:dyDescent="0.25">
      <c r="A317">
        <v>317</v>
      </c>
      <c r="B317" t="e">
        <f t="shared" si="8"/>
        <v>#N/A</v>
      </c>
      <c r="C317" t="e">
        <f t="shared" si="9"/>
        <v>#N/A</v>
      </c>
      <c r="D317" t="e">
        <f>IF(INDEX( DATOS3!$1:$19996,A317,MATCH("PatientID", DATOS3!$1:$1,0))=0,"",INDEX( DATOS3!$1:$19996,A317,MATCH("PatientID", DATOS3!$1:$1,0)))</f>
        <v>#N/A</v>
      </c>
      <c r="F317" t="e">
        <f>IF(INDEX( DATOS3!$1:$19996,A317,MATCH("SeriesDate", DATOS3!$1:$1,0))=0,"",INDEX( DATOS3!$1:$19996,A317,MATCH("SeriesDate", DATOS3!$1:$1,0)))</f>
        <v>#N/A</v>
      </c>
      <c r="G317" t="e">
        <f>IF(INDEX( DATOS3!$1:$19996,A317,MATCH("SeriesTime", DATOS3!$1:$1,0))=0,"",INDEX( DATOS3!$1:$19996,A317,MATCH("SeriesTime", DATOS3!$1:$1,0)))</f>
        <v>#N/A</v>
      </c>
      <c r="H317" t="e">
        <f>IF(INDEX( DATOS3!$1:$19996,A317,MATCH("StudyDescription", DATOS3!$1:$1,0))=0,"",INDEX( DATOS3!$1:$19996,A317,MATCH("StudyDescription", DATOS3!$1:$1,0)))</f>
        <v>#N/A</v>
      </c>
      <c r="I317" t="e">
        <f>IF(INDEX( DATOS3!$1:$19996,A317,MATCH("Dose_Area_Product_Total", DATOS3!$1:$1,0))=0,0,INDEX( DATOS3!$1:$19996,A317,MATCH("Dose_Area_Product", DATOS3!$1:$1,0)))</f>
        <v>#N/A</v>
      </c>
      <c r="J317" t="e">
        <f>IF(INDEX( DATOS3!$1:$19996,A317,MATCH("Dose_RP_Total", DATOS3!$1:$1,0))=0,0,INDEX( DATOS3!$1:$19996,A317,MATCH("Dose_RP", DATOS3!$1:$1,0)))</f>
        <v>#N/A</v>
      </c>
      <c r="K317" t="e">
        <f>IF(INDEX( DATOS3!$1:$19996,A317,MATCH("Total_Fluoro_Time", DATOS3!$1:$1,0))=0,0,INDEX( DATOS3!$1:$19996,A317,MATCH("Total_Fluoro_Time", DATOS3!$1:$1,0)))</f>
        <v>#N/A</v>
      </c>
    </row>
    <row r="318" spans="1:11" hidden="1" x14ac:dyDescent="0.25">
      <c r="A318">
        <v>318</v>
      </c>
      <c r="B318" t="e">
        <f t="shared" si="8"/>
        <v>#N/A</v>
      </c>
      <c r="C318" t="e">
        <f t="shared" si="9"/>
        <v>#N/A</v>
      </c>
      <c r="D318" t="e">
        <f>IF(INDEX( DATOS3!$1:$19996,A318,MATCH("PatientID", DATOS3!$1:$1,0))=0,"",INDEX( DATOS3!$1:$19996,A318,MATCH("PatientID", DATOS3!$1:$1,0)))</f>
        <v>#N/A</v>
      </c>
      <c r="F318" t="e">
        <f>IF(INDEX( DATOS3!$1:$19996,A318,MATCH("SeriesDate", DATOS3!$1:$1,0))=0,"",INDEX( DATOS3!$1:$19996,A318,MATCH("SeriesDate", DATOS3!$1:$1,0)))</f>
        <v>#N/A</v>
      </c>
      <c r="G318" t="e">
        <f>IF(INDEX( DATOS3!$1:$19996,A318,MATCH("SeriesTime", DATOS3!$1:$1,0))=0,"",INDEX( DATOS3!$1:$19996,A318,MATCH("SeriesTime", DATOS3!$1:$1,0)))</f>
        <v>#N/A</v>
      </c>
      <c r="H318" t="e">
        <f>IF(INDEX( DATOS3!$1:$19996,A318,MATCH("StudyDescription", DATOS3!$1:$1,0))=0,"",INDEX( DATOS3!$1:$19996,A318,MATCH("StudyDescription", DATOS3!$1:$1,0)))</f>
        <v>#N/A</v>
      </c>
      <c r="I318" t="e">
        <f>IF(INDEX( DATOS3!$1:$19996,A318,MATCH("Dose_Area_Product_Total", DATOS3!$1:$1,0))=0,0,INDEX( DATOS3!$1:$19996,A318,MATCH("Dose_Area_Product", DATOS3!$1:$1,0)))</f>
        <v>#N/A</v>
      </c>
      <c r="J318" t="e">
        <f>IF(INDEX( DATOS3!$1:$19996,A318,MATCH("Dose_RP_Total", DATOS3!$1:$1,0))=0,0,INDEX( DATOS3!$1:$19996,A318,MATCH("Dose_RP", DATOS3!$1:$1,0)))</f>
        <v>#N/A</v>
      </c>
      <c r="K318" t="e">
        <f>IF(INDEX( DATOS3!$1:$19996,A318,MATCH("Total_Fluoro_Time", DATOS3!$1:$1,0))=0,0,INDEX( DATOS3!$1:$19996,A318,MATCH("Total_Fluoro_Time", DATOS3!$1:$1,0)))</f>
        <v>#N/A</v>
      </c>
    </row>
    <row r="319" spans="1:11" hidden="1" x14ac:dyDescent="0.25">
      <c r="A319">
        <v>319</v>
      </c>
      <c r="B319" t="e">
        <f t="shared" si="8"/>
        <v>#N/A</v>
      </c>
      <c r="C319" t="e">
        <f t="shared" si="9"/>
        <v>#N/A</v>
      </c>
      <c r="D319" t="e">
        <f>IF(INDEX( DATOS3!$1:$19996,A319,MATCH("PatientID", DATOS3!$1:$1,0))=0,"",INDEX( DATOS3!$1:$19996,A319,MATCH("PatientID", DATOS3!$1:$1,0)))</f>
        <v>#N/A</v>
      </c>
      <c r="F319" t="e">
        <f>IF(INDEX( DATOS3!$1:$19996,A319,MATCH("SeriesDate", DATOS3!$1:$1,0))=0,"",INDEX( DATOS3!$1:$19996,A319,MATCH("SeriesDate", DATOS3!$1:$1,0)))</f>
        <v>#N/A</v>
      </c>
      <c r="G319" t="e">
        <f>IF(INDEX( DATOS3!$1:$19996,A319,MATCH("SeriesTime", DATOS3!$1:$1,0))=0,"",INDEX( DATOS3!$1:$19996,A319,MATCH("SeriesTime", DATOS3!$1:$1,0)))</f>
        <v>#N/A</v>
      </c>
      <c r="H319" t="e">
        <f>IF(INDEX( DATOS3!$1:$19996,A319,MATCH("StudyDescription", DATOS3!$1:$1,0))=0,"",INDEX( DATOS3!$1:$19996,A319,MATCH("StudyDescription", DATOS3!$1:$1,0)))</f>
        <v>#N/A</v>
      </c>
      <c r="I319" t="e">
        <f>IF(INDEX( DATOS3!$1:$19996,A319,MATCH("Dose_Area_Product_Total", DATOS3!$1:$1,0))=0,0,INDEX( DATOS3!$1:$19996,A319,MATCH("Dose_Area_Product", DATOS3!$1:$1,0)))</f>
        <v>#N/A</v>
      </c>
      <c r="J319" t="e">
        <f>IF(INDEX( DATOS3!$1:$19996,A319,MATCH("Dose_RP_Total", DATOS3!$1:$1,0))=0,0,INDEX( DATOS3!$1:$19996,A319,MATCH("Dose_RP", DATOS3!$1:$1,0)))</f>
        <v>#N/A</v>
      </c>
      <c r="K319" t="e">
        <f>IF(INDEX( DATOS3!$1:$19996,A319,MATCH("Total_Fluoro_Time", DATOS3!$1:$1,0))=0,0,INDEX( DATOS3!$1:$19996,A319,MATCH("Total_Fluoro_Time", DATOS3!$1:$1,0)))</f>
        <v>#N/A</v>
      </c>
    </row>
    <row r="320" spans="1:11" hidden="1" x14ac:dyDescent="0.25">
      <c r="A320">
        <v>320</v>
      </c>
      <c r="B320" t="e">
        <f t="shared" si="8"/>
        <v>#N/A</v>
      </c>
      <c r="C320" t="e">
        <f t="shared" si="9"/>
        <v>#N/A</v>
      </c>
      <c r="D320" t="e">
        <f>IF(INDEX( DATOS3!$1:$19996,A320,MATCH("PatientID", DATOS3!$1:$1,0))=0,"",INDEX( DATOS3!$1:$19996,A320,MATCH("PatientID", DATOS3!$1:$1,0)))</f>
        <v>#N/A</v>
      </c>
      <c r="F320" t="e">
        <f>IF(INDEX( DATOS3!$1:$19996,A320,MATCH("SeriesDate", DATOS3!$1:$1,0))=0,"",INDEX( DATOS3!$1:$19996,A320,MATCH("SeriesDate", DATOS3!$1:$1,0)))</f>
        <v>#N/A</v>
      </c>
      <c r="G320" t="e">
        <f>IF(INDEX( DATOS3!$1:$19996,A320,MATCH("SeriesTime", DATOS3!$1:$1,0))=0,"",INDEX( DATOS3!$1:$19996,A320,MATCH("SeriesTime", DATOS3!$1:$1,0)))</f>
        <v>#N/A</v>
      </c>
      <c r="H320" t="e">
        <f>IF(INDEX( DATOS3!$1:$19996,A320,MATCH("StudyDescription", DATOS3!$1:$1,0))=0,"",INDEX( DATOS3!$1:$19996,A320,MATCH("StudyDescription", DATOS3!$1:$1,0)))</f>
        <v>#N/A</v>
      </c>
      <c r="I320" t="e">
        <f>IF(INDEX( DATOS3!$1:$19996,A320,MATCH("Dose_Area_Product_Total", DATOS3!$1:$1,0))=0,0,INDEX( DATOS3!$1:$19996,A320,MATCH("Dose_Area_Product", DATOS3!$1:$1,0)))</f>
        <v>#N/A</v>
      </c>
      <c r="J320" t="e">
        <f>IF(INDEX( DATOS3!$1:$19996,A320,MATCH("Dose_RP_Total", DATOS3!$1:$1,0))=0,0,INDEX( DATOS3!$1:$19996,A320,MATCH("Dose_RP", DATOS3!$1:$1,0)))</f>
        <v>#N/A</v>
      </c>
      <c r="K320" t="e">
        <f>IF(INDEX( DATOS3!$1:$19996,A320,MATCH("Total_Fluoro_Time", DATOS3!$1:$1,0))=0,0,INDEX( DATOS3!$1:$19996,A320,MATCH("Total_Fluoro_Time", DATOS3!$1:$1,0)))</f>
        <v>#N/A</v>
      </c>
    </row>
    <row r="321" spans="1:11" hidden="1" x14ac:dyDescent="0.25">
      <c r="A321">
        <v>321</v>
      </c>
      <c r="B321" t="e">
        <f t="shared" si="8"/>
        <v>#N/A</v>
      </c>
      <c r="C321" t="e">
        <f t="shared" si="9"/>
        <v>#N/A</v>
      </c>
      <c r="D321" t="e">
        <f>IF(INDEX( DATOS3!$1:$19996,A321,MATCH("PatientID", DATOS3!$1:$1,0))=0,"",INDEX( DATOS3!$1:$19996,A321,MATCH("PatientID", DATOS3!$1:$1,0)))</f>
        <v>#N/A</v>
      </c>
      <c r="F321" t="e">
        <f>IF(INDEX( DATOS3!$1:$19996,A321,MATCH("SeriesDate", DATOS3!$1:$1,0))=0,"",INDEX( DATOS3!$1:$19996,A321,MATCH("SeriesDate", DATOS3!$1:$1,0)))</f>
        <v>#N/A</v>
      </c>
      <c r="G321" t="e">
        <f>IF(INDEX( DATOS3!$1:$19996,A321,MATCH("SeriesTime", DATOS3!$1:$1,0))=0,"",INDEX( DATOS3!$1:$19996,A321,MATCH("SeriesTime", DATOS3!$1:$1,0)))</f>
        <v>#N/A</v>
      </c>
      <c r="H321" t="e">
        <f>IF(INDEX( DATOS3!$1:$19996,A321,MATCH("StudyDescription", DATOS3!$1:$1,0))=0,"",INDEX( DATOS3!$1:$19996,A321,MATCH("StudyDescription", DATOS3!$1:$1,0)))</f>
        <v>#N/A</v>
      </c>
      <c r="I321" t="e">
        <f>IF(INDEX( DATOS3!$1:$19996,A321,MATCH("Dose_Area_Product_Total", DATOS3!$1:$1,0))=0,0,INDEX( DATOS3!$1:$19996,A321,MATCH("Dose_Area_Product", DATOS3!$1:$1,0)))</f>
        <v>#N/A</v>
      </c>
      <c r="J321" t="e">
        <f>IF(INDEX( DATOS3!$1:$19996,A321,MATCH("Dose_RP_Total", DATOS3!$1:$1,0))=0,0,INDEX( DATOS3!$1:$19996,A321,MATCH("Dose_RP", DATOS3!$1:$1,0)))</f>
        <v>#N/A</v>
      </c>
      <c r="K321" t="e">
        <f>IF(INDEX( DATOS3!$1:$19996,A321,MATCH("Total_Fluoro_Time", DATOS3!$1:$1,0))=0,0,INDEX( DATOS3!$1:$19996,A321,MATCH("Total_Fluoro_Time", DATOS3!$1:$1,0)))</f>
        <v>#N/A</v>
      </c>
    </row>
    <row r="322" spans="1:11" hidden="1" x14ac:dyDescent="0.25">
      <c r="A322">
        <v>322</v>
      </c>
      <c r="B322" t="e">
        <f t="shared" si="8"/>
        <v>#N/A</v>
      </c>
      <c r="C322" t="e">
        <f t="shared" si="9"/>
        <v>#N/A</v>
      </c>
      <c r="D322" t="e">
        <f>IF(INDEX( DATOS3!$1:$19996,A322,MATCH("PatientID", DATOS3!$1:$1,0))=0,"",INDEX( DATOS3!$1:$19996,A322,MATCH("PatientID", DATOS3!$1:$1,0)))</f>
        <v>#N/A</v>
      </c>
      <c r="F322" t="e">
        <f>IF(INDEX( DATOS3!$1:$19996,A322,MATCH("SeriesDate", DATOS3!$1:$1,0))=0,"",INDEX( DATOS3!$1:$19996,A322,MATCH("SeriesDate", DATOS3!$1:$1,0)))</f>
        <v>#N/A</v>
      </c>
      <c r="G322" t="e">
        <f>IF(INDEX( DATOS3!$1:$19996,A322,MATCH("SeriesTime", DATOS3!$1:$1,0))=0,"",INDEX( DATOS3!$1:$19996,A322,MATCH("SeriesTime", DATOS3!$1:$1,0)))</f>
        <v>#N/A</v>
      </c>
      <c r="H322" t="e">
        <f>IF(INDEX( DATOS3!$1:$19996,A322,MATCH("StudyDescription", DATOS3!$1:$1,0))=0,"",INDEX( DATOS3!$1:$19996,A322,MATCH("StudyDescription", DATOS3!$1:$1,0)))</f>
        <v>#N/A</v>
      </c>
      <c r="I322" t="e">
        <f>IF(INDEX( DATOS3!$1:$19996,A322,MATCH("Dose_Area_Product_Total", DATOS3!$1:$1,0))=0,0,INDEX( DATOS3!$1:$19996,A322,MATCH("Dose_Area_Product", DATOS3!$1:$1,0)))</f>
        <v>#N/A</v>
      </c>
      <c r="J322" t="e">
        <f>IF(INDEX( DATOS3!$1:$19996,A322,MATCH("Dose_RP_Total", DATOS3!$1:$1,0))=0,0,INDEX( DATOS3!$1:$19996,A322,MATCH("Dose_RP", DATOS3!$1:$1,0)))</f>
        <v>#N/A</v>
      </c>
      <c r="K322" t="e">
        <f>IF(INDEX( DATOS3!$1:$19996,A322,MATCH("Total_Fluoro_Time", DATOS3!$1:$1,0))=0,0,INDEX( DATOS3!$1:$19996,A322,MATCH("Total_Fluoro_Time", DATOS3!$1:$1,0)))</f>
        <v>#N/A</v>
      </c>
    </row>
    <row r="323" spans="1:11" hidden="1" x14ac:dyDescent="0.25">
      <c r="A323">
        <v>323</v>
      </c>
      <c r="B323" t="e">
        <f t="shared" ref="B323:B386" si="10">IF(D323="","","ARTISZEE")</f>
        <v>#N/A</v>
      </c>
      <c r="C323" t="e">
        <f t="shared" ref="C323:C386" si="11">IF(B323="ARTISZEE","Cardiología","")</f>
        <v>#N/A</v>
      </c>
      <c r="D323" t="e">
        <f>IF(INDEX( DATOS3!$1:$19996,A323,MATCH("PatientID", DATOS3!$1:$1,0))=0,"",INDEX( DATOS3!$1:$19996,A323,MATCH("PatientID", DATOS3!$1:$1,0)))</f>
        <v>#N/A</v>
      </c>
      <c r="F323" t="e">
        <f>IF(INDEX( DATOS3!$1:$19996,A323,MATCH("SeriesDate", DATOS3!$1:$1,0))=0,"",INDEX( DATOS3!$1:$19996,A323,MATCH("SeriesDate", DATOS3!$1:$1,0)))</f>
        <v>#N/A</v>
      </c>
      <c r="G323" t="e">
        <f>IF(INDEX( DATOS3!$1:$19996,A323,MATCH("SeriesTime", DATOS3!$1:$1,0))=0,"",INDEX( DATOS3!$1:$19996,A323,MATCH("SeriesTime", DATOS3!$1:$1,0)))</f>
        <v>#N/A</v>
      </c>
      <c r="H323" t="e">
        <f>IF(INDEX( DATOS3!$1:$19996,A323,MATCH("StudyDescription", DATOS3!$1:$1,0))=0,"",INDEX( DATOS3!$1:$19996,A323,MATCH("StudyDescription", DATOS3!$1:$1,0)))</f>
        <v>#N/A</v>
      </c>
      <c r="I323" t="e">
        <f>IF(INDEX( DATOS3!$1:$19996,A323,MATCH("Dose_Area_Product_Total", DATOS3!$1:$1,0))=0,0,INDEX( DATOS3!$1:$19996,A323,MATCH("Dose_Area_Product", DATOS3!$1:$1,0)))</f>
        <v>#N/A</v>
      </c>
      <c r="J323" t="e">
        <f>IF(INDEX( DATOS3!$1:$19996,A323,MATCH("Dose_RP_Total", DATOS3!$1:$1,0))=0,0,INDEX( DATOS3!$1:$19996,A323,MATCH("Dose_RP", DATOS3!$1:$1,0)))</f>
        <v>#N/A</v>
      </c>
      <c r="K323" t="e">
        <f>IF(INDEX( DATOS3!$1:$19996,A323,MATCH("Total_Fluoro_Time", DATOS3!$1:$1,0))=0,0,INDEX( DATOS3!$1:$19996,A323,MATCH("Total_Fluoro_Time", DATOS3!$1:$1,0)))</f>
        <v>#N/A</v>
      </c>
    </row>
    <row r="324" spans="1:11" hidden="1" x14ac:dyDescent="0.25">
      <c r="A324">
        <v>324</v>
      </c>
      <c r="B324" t="e">
        <f t="shared" si="10"/>
        <v>#N/A</v>
      </c>
      <c r="C324" t="e">
        <f t="shared" si="11"/>
        <v>#N/A</v>
      </c>
      <c r="D324" t="e">
        <f>IF(INDEX( DATOS3!$1:$19996,A324,MATCH("PatientID", DATOS3!$1:$1,0))=0,"",INDEX( DATOS3!$1:$19996,A324,MATCH("PatientID", DATOS3!$1:$1,0)))</f>
        <v>#N/A</v>
      </c>
      <c r="F324" t="e">
        <f>IF(INDEX( DATOS3!$1:$19996,A324,MATCH("SeriesDate", DATOS3!$1:$1,0))=0,"",INDEX( DATOS3!$1:$19996,A324,MATCH("SeriesDate", DATOS3!$1:$1,0)))</f>
        <v>#N/A</v>
      </c>
      <c r="G324" t="e">
        <f>IF(INDEX( DATOS3!$1:$19996,A324,MATCH("SeriesTime", DATOS3!$1:$1,0))=0,"",INDEX( DATOS3!$1:$19996,A324,MATCH("SeriesTime", DATOS3!$1:$1,0)))</f>
        <v>#N/A</v>
      </c>
      <c r="H324" t="e">
        <f>IF(INDEX( DATOS3!$1:$19996,A324,MATCH("StudyDescription", DATOS3!$1:$1,0))=0,"",INDEX( DATOS3!$1:$19996,A324,MATCH("StudyDescription", DATOS3!$1:$1,0)))</f>
        <v>#N/A</v>
      </c>
      <c r="I324" t="e">
        <f>IF(INDEX( DATOS3!$1:$19996,A324,MATCH("Dose_Area_Product_Total", DATOS3!$1:$1,0))=0,0,INDEX( DATOS3!$1:$19996,A324,MATCH("Dose_Area_Product", DATOS3!$1:$1,0)))</f>
        <v>#N/A</v>
      </c>
      <c r="J324" t="e">
        <f>IF(INDEX( DATOS3!$1:$19996,A324,MATCH("Dose_RP_Total", DATOS3!$1:$1,0))=0,0,INDEX( DATOS3!$1:$19996,A324,MATCH("Dose_RP", DATOS3!$1:$1,0)))</f>
        <v>#N/A</v>
      </c>
      <c r="K324" t="e">
        <f>IF(INDEX( DATOS3!$1:$19996,A324,MATCH("Total_Fluoro_Time", DATOS3!$1:$1,0))=0,0,INDEX( DATOS3!$1:$19996,A324,MATCH("Total_Fluoro_Time", DATOS3!$1:$1,0)))</f>
        <v>#N/A</v>
      </c>
    </row>
    <row r="325" spans="1:11" hidden="1" x14ac:dyDescent="0.25">
      <c r="A325">
        <v>325</v>
      </c>
      <c r="B325" t="e">
        <f t="shared" si="10"/>
        <v>#N/A</v>
      </c>
      <c r="C325" t="e">
        <f t="shared" si="11"/>
        <v>#N/A</v>
      </c>
      <c r="D325" t="e">
        <f>IF(INDEX( DATOS3!$1:$19996,A325,MATCH("PatientID", DATOS3!$1:$1,0))=0,"",INDEX( DATOS3!$1:$19996,A325,MATCH("PatientID", DATOS3!$1:$1,0)))</f>
        <v>#N/A</v>
      </c>
      <c r="F325" t="e">
        <f>IF(INDEX( DATOS3!$1:$19996,A325,MATCH("SeriesDate", DATOS3!$1:$1,0))=0,"",INDEX( DATOS3!$1:$19996,A325,MATCH("SeriesDate", DATOS3!$1:$1,0)))</f>
        <v>#N/A</v>
      </c>
      <c r="G325" t="e">
        <f>IF(INDEX( DATOS3!$1:$19996,A325,MATCH("SeriesTime", DATOS3!$1:$1,0))=0,"",INDEX( DATOS3!$1:$19996,A325,MATCH("SeriesTime", DATOS3!$1:$1,0)))</f>
        <v>#N/A</v>
      </c>
      <c r="H325" t="e">
        <f>IF(INDEX( DATOS3!$1:$19996,A325,MATCH("StudyDescription", DATOS3!$1:$1,0))=0,"",INDEX( DATOS3!$1:$19996,A325,MATCH("StudyDescription", DATOS3!$1:$1,0)))</f>
        <v>#N/A</v>
      </c>
      <c r="I325" t="e">
        <f>IF(INDEX( DATOS3!$1:$19996,A325,MATCH("Dose_Area_Product_Total", DATOS3!$1:$1,0))=0,0,INDEX( DATOS3!$1:$19996,A325,MATCH("Dose_Area_Product", DATOS3!$1:$1,0)))</f>
        <v>#N/A</v>
      </c>
      <c r="J325" t="e">
        <f>IF(INDEX( DATOS3!$1:$19996,A325,MATCH("Dose_RP_Total", DATOS3!$1:$1,0))=0,0,INDEX( DATOS3!$1:$19996,A325,MATCH("Dose_RP", DATOS3!$1:$1,0)))</f>
        <v>#N/A</v>
      </c>
      <c r="K325" t="e">
        <f>IF(INDEX( DATOS3!$1:$19996,A325,MATCH("Total_Fluoro_Time", DATOS3!$1:$1,0))=0,0,INDEX( DATOS3!$1:$19996,A325,MATCH("Total_Fluoro_Time", DATOS3!$1:$1,0)))</f>
        <v>#N/A</v>
      </c>
    </row>
    <row r="326" spans="1:11" hidden="1" x14ac:dyDescent="0.25">
      <c r="A326">
        <v>326</v>
      </c>
      <c r="B326" t="e">
        <f t="shared" si="10"/>
        <v>#N/A</v>
      </c>
      <c r="C326" t="e">
        <f t="shared" si="11"/>
        <v>#N/A</v>
      </c>
      <c r="D326" t="e">
        <f>IF(INDEX( DATOS3!$1:$19996,A326,MATCH("PatientID", DATOS3!$1:$1,0))=0,"",INDEX( DATOS3!$1:$19996,A326,MATCH("PatientID", DATOS3!$1:$1,0)))</f>
        <v>#N/A</v>
      </c>
      <c r="F326" t="e">
        <f>IF(INDEX( DATOS3!$1:$19996,A326,MATCH("SeriesDate", DATOS3!$1:$1,0))=0,"",INDEX( DATOS3!$1:$19996,A326,MATCH("SeriesDate", DATOS3!$1:$1,0)))</f>
        <v>#N/A</v>
      </c>
      <c r="G326" t="e">
        <f>IF(INDEX( DATOS3!$1:$19996,A326,MATCH("SeriesTime", DATOS3!$1:$1,0))=0,"",INDEX( DATOS3!$1:$19996,A326,MATCH("SeriesTime", DATOS3!$1:$1,0)))</f>
        <v>#N/A</v>
      </c>
      <c r="H326" t="e">
        <f>IF(INDEX( DATOS3!$1:$19996,A326,MATCH("StudyDescription", DATOS3!$1:$1,0))=0,"",INDEX( DATOS3!$1:$19996,A326,MATCH("StudyDescription", DATOS3!$1:$1,0)))</f>
        <v>#N/A</v>
      </c>
      <c r="I326" t="e">
        <f>IF(INDEX( DATOS3!$1:$19996,A326,MATCH("Dose_Area_Product_Total", DATOS3!$1:$1,0))=0,0,INDEX( DATOS3!$1:$19996,A326,MATCH("Dose_Area_Product", DATOS3!$1:$1,0)))</f>
        <v>#N/A</v>
      </c>
      <c r="J326" t="e">
        <f>IF(INDEX( DATOS3!$1:$19996,A326,MATCH("Dose_RP_Total", DATOS3!$1:$1,0))=0,0,INDEX( DATOS3!$1:$19996,A326,MATCH("Dose_RP", DATOS3!$1:$1,0)))</f>
        <v>#N/A</v>
      </c>
      <c r="K326" t="e">
        <f>IF(INDEX( DATOS3!$1:$19996,A326,MATCH("Total_Fluoro_Time", DATOS3!$1:$1,0))=0,0,INDEX( DATOS3!$1:$19996,A326,MATCH("Total_Fluoro_Time", DATOS3!$1:$1,0)))</f>
        <v>#N/A</v>
      </c>
    </row>
    <row r="327" spans="1:11" hidden="1" x14ac:dyDescent="0.25">
      <c r="A327">
        <v>327</v>
      </c>
      <c r="B327" t="e">
        <f t="shared" si="10"/>
        <v>#N/A</v>
      </c>
      <c r="C327" t="e">
        <f t="shared" si="11"/>
        <v>#N/A</v>
      </c>
      <c r="D327" t="e">
        <f>IF(INDEX( DATOS3!$1:$19996,A327,MATCH("PatientID", DATOS3!$1:$1,0))=0,"",INDEX( DATOS3!$1:$19996,A327,MATCH("PatientID", DATOS3!$1:$1,0)))</f>
        <v>#N/A</v>
      </c>
      <c r="F327" t="e">
        <f>IF(INDEX( DATOS3!$1:$19996,A327,MATCH("SeriesDate", DATOS3!$1:$1,0))=0,"",INDEX( DATOS3!$1:$19996,A327,MATCH("SeriesDate", DATOS3!$1:$1,0)))</f>
        <v>#N/A</v>
      </c>
      <c r="G327" t="e">
        <f>IF(INDEX( DATOS3!$1:$19996,A327,MATCH("SeriesTime", DATOS3!$1:$1,0))=0,"",INDEX( DATOS3!$1:$19996,A327,MATCH("SeriesTime", DATOS3!$1:$1,0)))</f>
        <v>#N/A</v>
      </c>
      <c r="H327" t="e">
        <f>IF(INDEX( DATOS3!$1:$19996,A327,MATCH("StudyDescription", DATOS3!$1:$1,0))=0,"",INDEX( DATOS3!$1:$19996,A327,MATCH("StudyDescription", DATOS3!$1:$1,0)))</f>
        <v>#N/A</v>
      </c>
      <c r="I327" t="e">
        <f>IF(INDEX( DATOS3!$1:$19996,A327,MATCH("Dose_Area_Product_Total", DATOS3!$1:$1,0))=0,0,INDEX( DATOS3!$1:$19996,A327,MATCH("Dose_Area_Product", DATOS3!$1:$1,0)))</f>
        <v>#N/A</v>
      </c>
      <c r="J327" t="e">
        <f>IF(INDEX( DATOS3!$1:$19996,A327,MATCH("Dose_RP_Total", DATOS3!$1:$1,0))=0,0,INDEX( DATOS3!$1:$19996,A327,MATCH("Dose_RP", DATOS3!$1:$1,0)))</f>
        <v>#N/A</v>
      </c>
      <c r="K327" t="e">
        <f>IF(INDEX( DATOS3!$1:$19996,A327,MATCH("Total_Fluoro_Time", DATOS3!$1:$1,0))=0,0,INDEX( DATOS3!$1:$19996,A327,MATCH("Total_Fluoro_Time", DATOS3!$1:$1,0)))</f>
        <v>#N/A</v>
      </c>
    </row>
    <row r="328" spans="1:11" hidden="1" x14ac:dyDescent="0.25">
      <c r="A328">
        <v>328</v>
      </c>
      <c r="B328" t="e">
        <f t="shared" si="10"/>
        <v>#N/A</v>
      </c>
      <c r="C328" t="e">
        <f t="shared" si="11"/>
        <v>#N/A</v>
      </c>
      <c r="D328" t="e">
        <f>IF(INDEX( DATOS3!$1:$19996,A328,MATCH("PatientID", DATOS3!$1:$1,0))=0,"",INDEX( DATOS3!$1:$19996,A328,MATCH("PatientID", DATOS3!$1:$1,0)))</f>
        <v>#N/A</v>
      </c>
      <c r="F328" t="e">
        <f>IF(INDEX( DATOS3!$1:$19996,A328,MATCH("SeriesDate", DATOS3!$1:$1,0))=0,"",INDEX( DATOS3!$1:$19996,A328,MATCH("SeriesDate", DATOS3!$1:$1,0)))</f>
        <v>#N/A</v>
      </c>
      <c r="G328" t="e">
        <f>IF(INDEX( DATOS3!$1:$19996,A328,MATCH("SeriesTime", DATOS3!$1:$1,0))=0,"",INDEX( DATOS3!$1:$19996,A328,MATCH("SeriesTime", DATOS3!$1:$1,0)))</f>
        <v>#N/A</v>
      </c>
      <c r="H328" t="e">
        <f>IF(INDEX( DATOS3!$1:$19996,A328,MATCH("StudyDescription", DATOS3!$1:$1,0))=0,"",INDEX( DATOS3!$1:$19996,A328,MATCH("StudyDescription", DATOS3!$1:$1,0)))</f>
        <v>#N/A</v>
      </c>
      <c r="I328" t="e">
        <f>IF(INDEX( DATOS3!$1:$19996,A328,MATCH("Dose_Area_Product_Total", DATOS3!$1:$1,0))=0,0,INDEX( DATOS3!$1:$19996,A328,MATCH("Dose_Area_Product", DATOS3!$1:$1,0)))</f>
        <v>#N/A</v>
      </c>
      <c r="J328" t="e">
        <f>IF(INDEX( DATOS3!$1:$19996,A328,MATCH("Dose_RP_Total", DATOS3!$1:$1,0))=0,0,INDEX( DATOS3!$1:$19996,A328,MATCH("Dose_RP", DATOS3!$1:$1,0)))</f>
        <v>#N/A</v>
      </c>
      <c r="K328" t="e">
        <f>IF(INDEX( DATOS3!$1:$19996,A328,MATCH("Total_Fluoro_Time", DATOS3!$1:$1,0))=0,0,INDEX( DATOS3!$1:$19996,A328,MATCH("Total_Fluoro_Time", DATOS3!$1:$1,0)))</f>
        <v>#N/A</v>
      </c>
    </row>
    <row r="329" spans="1:11" hidden="1" x14ac:dyDescent="0.25">
      <c r="A329">
        <v>329</v>
      </c>
      <c r="B329" t="e">
        <f t="shared" si="10"/>
        <v>#N/A</v>
      </c>
      <c r="C329" t="e">
        <f t="shared" si="11"/>
        <v>#N/A</v>
      </c>
      <c r="D329" t="e">
        <f>IF(INDEX( DATOS3!$1:$19996,A329,MATCH("PatientID", DATOS3!$1:$1,0))=0,"",INDEX( DATOS3!$1:$19996,A329,MATCH("PatientID", DATOS3!$1:$1,0)))</f>
        <v>#N/A</v>
      </c>
      <c r="F329" t="e">
        <f>IF(INDEX( DATOS3!$1:$19996,A329,MATCH("SeriesDate", DATOS3!$1:$1,0))=0,"",INDEX( DATOS3!$1:$19996,A329,MATCH("SeriesDate", DATOS3!$1:$1,0)))</f>
        <v>#N/A</v>
      </c>
      <c r="G329" t="e">
        <f>IF(INDEX( DATOS3!$1:$19996,A329,MATCH("SeriesTime", DATOS3!$1:$1,0))=0,"",INDEX( DATOS3!$1:$19996,A329,MATCH("SeriesTime", DATOS3!$1:$1,0)))</f>
        <v>#N/A</v>
      </c>
      <c r="H329" t="e">
        <f>IF(INDEX( DATOS3!$1:$19996,A329,MATCH("StudyDescription", DATOS3!$1:$1,0))=0,"",INDEX( DATOS3!$1:$19996,A329,MATCH("StudyDescription", DATOS3!$1:$1,0)))</f>
        <v>#N/A</v>
      </c>
      <c r="I329" t="e">
        <f>IF(INDEX( DATOS3!$1:$19996,A329,MATCH("Dose_Area_Product_Total", DATOS3!$1:$1,0))=0,0,INDEX( DATOS3!$1:$19996,A329,MATCH("Dose_Area_Product", DATOS3!$1:$1,0)))</f>
        <v>#N/A</v>
      </c>
      <c r="J329" t="e">
        <f>IF(INDEX( DATOS3!$1:$19996,A329,MATCH("Dose_RP_Total", DATOS3!$1:$1,0))=0,0,INDEX( DATOS3!$1:$19996,A329,MATCH("Dose_RP", DATOS3!$1:$1,0)))</f>
        <v>#N/A</v>
      </c>
      <c r="K329" t="e">
        <f>IF(INDEX( DATOS3!$1:$19996,A329,MATCH("Total_Fluoro_Time", DATOS3!$1:$1,0))=0,0,INDEX( DATOS3!$1:$19996,A329,MATCH("Total_Fluoro_Time", DATOS3!$1:$1,0)))</f>
        <v>#N/A</v>
      </c>
    </row>
    <row r="330" spans="1:11" hidden="1" x14ac:dyDescent="0.25">
      <c r="A330">
        <v>330</v>
      </c>
      <c r="B330" t="e">
        <f t="shared" si="10"/>
        <v>#N/A</v>
      </c>
      <c r="C330" t="e">
        <f t="shared" si="11"/>
        <v>#N/A</v>
      </c>
      <c r="D330" t="e">
        <f>IF(INDEX( DATOS3!$1:$19996,A330,MATCH("PatientID", DATOS3!$1:$1,0))=0,"",INDEX( DATOS3!$1:$19996,A330,MATCH("PatientID", DATOS3!$1:$1,0)))</f>
        <v>#N/A</v>
      </c>
      <c r="F330" t="e">
        <f>IF(INDEX( DATOS3!$1:$19996,A330,MATCH("SeriesDate", DATOS3!$1:$1,0))=0,"",INDEX( DATOS3!$1:$19996,A330,MATCH("SeriesDate", DATOS3!$1:$1,0)))</f>
        <v>#N/A</v>
      </c>
      <c r="G330" t="e">
        <f>IF(INDEX( DATOS3!$1:$19996,A330,MATCH("SeriesTime", DATOS3!$1:$1,0))=0,"",INDEX( DATOS3!$1:$19996,A330,MATCH("SeriesTime", DATOS3!$1:$1,0)))</f>
        <v>#N/A</v>
      </c>
      <c r="H330" t="e">
        <f>IF(INDEX( DATOS3!$1:$19996,A330,MATCH("StudyDescription", DATOS3!$1:$1,0))=0,"",INDEX( DATOS3!$1:$19996,A330,MATCH("StudyDescription", DATOS3!$1:$1,0)))</f>
        <v>#N/A</v>
      </c>
      <c r="I330" t="e">
        <f>IF(INDEX( DATOS3!$1:$19996,A330,MATCH("Dose_Area_Product_Total", DATOS3!$1:$1,0))=0,0,INDEX( DATOS3!$1:$19996,A330,MATCH("Dose_Area_Product", DATOS3!$1:$1,0)))</f>
        <v>#N/A</v>
      </c>
      <c r="J330" t="e">
        <f>IF(INDEX( DATOS3!$1:$19996,A330,MATCH("Dose_RP_Total", DATOS3!$1:$1,0))=0,0,INDEX( DATOS3!$1:$19996,A330,MATCH("Dose_RP", DATOS3!$1:$1,0)))</f>
        <v>#N/A</v>
      </c>
      <c r="K330" t="e">
        <f>IF(INDEX( DATOS3!$1:$19996,A330,MATCH("Total_Fluoro_Time", DATOS3!$1:$1,0))=0,0,INDEX( DATOS3!$1:$19996,A330,MATCH("Total_Fluoro_Time", DATOS3!$1:$1,0)))</f>
        <v>#N/A</v>
      </c>
    </row>
    <row r="331" spans="1:11" hidden="1" x14ac:dyDescent="0.25">
      <c r="A331">
        <v>331</v>
      </c>
      <c r="B331" t="e">
        <f t="shared" si="10"/>
        <v>#N/A</v>
      </c>
      <c r="C331" t="e">
        <f t="shared" si="11"/>
        <v>#N/A</v>
      </c>
      <c r="D331" t="e">
        <f>IF(INDEX( DATOS3!$1:$19996,A331,MATCH("PatientID", DATOS3!$1:$1,0))=0,"",INDEX( DATOS3!$1:$19996,A331,MATCH("PatientID", DATOS3!$1:$1,0)))</f>
        <v>#N/A</v>
      </c>
      <c r="F331" t="e">
        <f>IF(INDEX( DATOS3!$1:$19996,A331,MATCH("SeriesDate", DATOS3!$1:$1,0))=0,"",INDEX( DATOS3!$1:$19996,A331,MATCH("SeriesDate", DATOS3!$1:$1,0)))</f>
        <v>#N/A</v>
      </c>
      <c r="G331" t="e">
        <f>IF(INDEX( DATOS3!$1:$19996,A331,MATCH("SeriesTime", DATOS3!$1:$1,0))=0,"",INDEX( DATOS3!$1:$19996,A331,MATCH("SeriesTime", DATOS3!$1:$1,0)))</f>
        <v>#N/A</v>
      </c>
      <c r="H331" t="e">
        <f>IF(INDEX( DATOS3!$1:$19996,A331,MATCH("StudyDescription", DATOS3!$1:$1,0))=0,"",INDEX( DATOS3!$1:$19996,A331,MATCH("StudyDescription", DATOS3!$1:$1,0)))</f>
        <v>#N/A</v>
      </c>
      <c r="I331" t="e">
        <f>IF(INDEX( DATOS3!$1:$19996,A331,MATCH("Dose_Area_Product_Total", DATOS3!$1:$1,0))=0,0,INDEX( DATOS3!$1:$19996,A331,MATCH("Dose_Area_Product", DATOS3!$1:$1,0)))</f>
        <v>#N/A</v>
      </c>
      <c r="J331" t="e">
        <f>IF(INDEX( DATOS3!$1:$19996,A331,MATCH("Dose_RP_Total", DATOS3!$1:$1,0))=0,0,INDEX( DATOS3!$1:$19996,A331,MATCH("Dose_RP", DATOS3!$1:$1,0)))</f>
        <v>#N/A</v>
      </c>
      <c r="K331" t="e">
        <f>IF(INDEX( DATOS3!$1:$19996,A331,MATCH("Total_Fluoro_Time", DATOS3!$1:$1,0))=0,0,INDEX( DATOS3!$1:$19996,A331,MATCH("Total_Fluoro_Time", DATOS3!$1:$1,0)))</f>
        <v>#N/A</v>
      </c>
    </row>
    <row r="332" spans="1:11" hidden="1" x14ac:dyDescent="0.25">
      <c r="A332">
        <v>332</v>
      </c>
      <c r="B332" t="e">
        <f t="shared" si="10"/>
        <v>#N/A</v>
      </c>
      <c r="C332" t="e">
        <f t="shared" si="11"/>
        <v>#N/A</v>
      </c>
      <c r="D332" t="e">
        <f>IF(INDEX( DATOS3!$1:$19996,A332,MATCH("PatientID", DATOS3!$1:$1,0))=0,"",INDEX( DATOS3!$1:$19996,A332,MATCH("PatientID", DATOS3!$1:$1,0)))</f>
        <v>#N/A</v>
      </c>
      <c r="F332" t="e">
        <f>IF(INDEX( DATOS3!$1:$19996,A332,MATCH("SeriesDate", DATOS3!$1:$1,0))=0,"",INDEX( DATOS3!$1:$19996,A332,MATCH("SeriesDate", DATOS3!$1:$1,0)))</f>
        <v>#N/A</v>
      </c>
      <c r="G332" t="e">
        <f>IF(INDEX( DATOS3!$1:$19996,A332,MATCH("SeriesTime", DATOS3!$1:$1,0))=0,"",INDEX( DATOS3!$1:$19996,A332,MATCH("SeriesTime", DATOS3!$1:$1,0)))</f>
        <v>#N/A</v>
      </c>
      <c r="H332" t="e">
        <f>IF(INDEX( DATOS3!$1:$19996,A332,MATCH("StudyDescription", DATOS3!$1:$1,0))=0,"",INDEX( DATOS3!$1:$19996,A332,MATCH("StudyDescription", DATOS3!$1:$1,0)))</f>
        <v>#N/A</v>
      </c>
      <c r="I332" t="e">
        <f>IF(INDEX( DATOS3!$1:$19996,A332,MATCH("Dose_Area_Product_Total", DATOS3!$1:$1,0))=0,0,INDEX( DATOS3!$1:$19996,A332,MATCH("Dose_Area_Product", DATOS3!$1:$1,0)))</f>
        <v>#N/A</v>
      </c>
      <c r="J332" t="e">
        <f>IF(INDEX( DATOS3!$1:$19996,A332,MATCH("Dose_RP_Total", DATOS3!$1:$1,0))=0,0,INDEX( DATOS3!$1:$19996,A332,MATCH("Dose_RP", DATOS3!$1:$1,0)))</f>
        <v>#N/A</v>
      </c>
      <c r="K332" t="e">
        <f>IF(INDEX( DATOS3!$1:$19996,A332,MATCH("Total_Fluoro_Time", DATOS3!$1:$1,0))=0,0,INDEX( DATOS3!$1:$19996,A332,MATCH("Total_Fluoro_Time", DATOS3!$1:$1,0)))</f>
        <v>#N/A</v>
      </c>
    </row>
    <row r="333" spans="1:11" hidden="1" x14ac:dyDescent="0.25">
      <c r="A333">
        <v>333</v>
      </c>
      <c r="B333" t="e">
        <f t="shared" si="10"/>
        <v>#N/A</v>
      </c>
      <c r="C333" t="e">
        <f t="shared" si="11"/>
        <v>#N/A</v>
      </c>
      <c r="D333" t="e">
        <f>IF(INDEX( DATOS3!$1:$19996,A333,MATCH("PatientID", DATOS3!$1:$1,0))=0,"",INDEX( DATOS3!$1:$19996,A333,MATCH("PatientID", DATOS3!$1:$1,0)))</f>
        <v>#N/A</v>
      </c>
      <c r="F333" t="e">
        <f>IF(INDEX( DATOS3!$1:$19996,A333,MATCH("SeriesDate", DATOS3!$1:$1,0))=0,"",INDEX( DATOS3!$1:$19996,A333,MATCH("SeriesDate", DATOS3!$1:$1,0)))</f>
        <v>#N/A</v>
      </c>
      <c r="G333" t="e">
        <f>IF(INDEX( DATOS3!$1:$19996,A333,MATCH("SeriesTime", DATOS3!$1:$1,0))=0,"",INDEX( DATOS3!$1:$19996,A333,MATCH("SeriesTime", DATOS3!$1:$1,0)))</f>
        <v>#N/A</v>
      </c>
      <c r="H333" t="e">
        <f>IF(INDEX( DATOS3!$1:$19996,A333,MATCH("StudyDescription", DATOS3!$1:$1,0))=0,"",INDEX( DATOS3!$1:$19996,A333,MATCH("StudyDescription", DATOS3!$1:$1,0)))</f>
        <v>#N/A</v>
      </c>
      <c r="I333" t="e">
        <f>IF(INDEX( DATOS3!$1:$19996,A333,MATCH("Dose_Area_Product_Total", DATOS3!$1:$1,0))=0,0,INDEX( DATOS3!$1:$19996,A333,MATCH("Dose_Area_Product", DATOS3!$1:$1,0)))</f>
        <v>#N/A</v>
      </c>
      <c r="J333" t="e">
        <f>IF(INDEX( DATOS3!$1:$19996,A333,MATCH("Dose_RP_Total", DATOS3!$1:$1,0))=0,0,INDEX( DATOS3!$1:$19996,A333,MATCH("Dose_RP", DATOS3!$1:$1,0)))</f>
        <v>#N/A</v>
      </c>
      <c r="K333" t="e">
        <f>IF(INDEX( DATOS3!$1:$19996,A333,MATCH("Total_Fluoro_Time", DATOS3!$1:$1,0))=0,0,INDEX( DATOS3!$1:$19996,A333,MATCH("Total_Fluoro_Time", DATOS3!$1:$1,0)))</f>
        <v>#N/A</v>
      </c>
    </row>
    <row r="334" spans="1:11" hidden="1" x14ac:dyDescent="0.25">
      <c r="A334">
        <v>334</v>
      </c>
      <c r="B334" t="e">
        <f t="shared" si="10"/>
        <v>#N/A</v>
      </c>
      <c r="C334" t="e">
        <f t="shared" si="11"/>
        <v>#N/A</v>
      </c>
      <c r="D334" t="e">
        <f>IF(INDEX( DATOS3!$1:$19996,A334,MATCH("PatientID", DATOS3!$1:$1,0))=0,"",INDEX( DATOS3!$1:$19996,A334,MATCH("PatientID", DATOS3!$1:$1,0)))</f>
        <v>#N/A</v>
      </c>
      <c r="F334" t="e">
        <f>IF(INDEX( DATOS3!$1:$19996,A334,MATCH("SeriesDate", DATOS3!$1:$1,0))=0,"",INDEX( DATOS3!$1:$19996,A334,MATCH("SeriesDate", DATOS3!$1:$1,0)))</f>
        <v>#N/A</v>
      </c>
      <c r="G334" t="e">
        <f>IF(INDEX( DATOS3!$1:$19996,A334,MATCH("SeriesTime", DATOS3!$1:$1,0))=0,"",INDEX( DATOS3!$1:$19996,A334,MATCH("SeriesTime", DATOS3!$1:$1,0)))</f>
        <v>#N/A</v>
      </c>
      <c r="H334" t="e">
        <f>IF(INDEX( DATOS3!$1:$19996,A334,MATCH("StudyDescription", DATOS3!$1:$1,0))=0,"",INDEX( DATOS3!$1:$19996,A334,MATCH("StudyDescription", DATOS3!$1:$1,0)))</f>
        <v>#N/A</v>
      </c>
      <c r="I334" t="e">
        <f>IF(INDEX( DATOS3!$1:$19996,A334,MATCH("Dose_Area_Product_Total", DATOS3!$1:$1,0))=0,0,INDEX( DATOS3!$1:$19996,A334,MATCH("Dose_Area_Product", DATOS3!$1:$1,0)))</f>
        <v>#N/A</v>
      </c>
      <c r="J334" t="e">
        <f>IF(INDEX( DATOS3!$1:$19996,A334,MATCH("Dose_RP_Total", DATOS3!$1:$1,0))=0,0,INDEX( DATOS3!$1:$19996,A334,MATCH("Dose_RP", DATOS3!$1:$1,0)))</f>
        <v>#N/A</v>
      </c>
      <c r="K334" t="e">
        <f>IF(INDEX( DATOS3!$1:$19996,A334,MATCH("Total_Fluoro_Time", DATOS3!$1:$1,0))=0,0,INDEX( DATOS3!$1:$19996,A334,MATCH("Total_Fluoro_Time", DATOS3!$1:$1,0)))</f>
        <v>#N/A</v>
      </c>
    </row>
    <row r="335" spans="1:11" hidden="1" x14ac:dyDescent="0.25">
      <c r="A335">
        <v>335</v>
      </c>
      <c r="B335" t="e">
        <f t="shared" si="10"/>
        <v>#N/A</v>
      </c>
      <c r="C335" t="e">
        <f t="shared" si="11"/>
        <v>#N/A</v>
      </c>
      <c r="D335" t="e">
        <f>IF(INDEX( DATOS3!$1:$19996,A335,MATCH("PatientID", DATOS3!$1:$1,0))=0,"",INDEX( DATOS3!$1:$19996,A335,MATCH("PatientID", DATOS3!$1:$1,0)))</f>
        <v>#N/A</v>
      </c>
      <c r="F335" t="e">
        <f>IF(INDEX( DATOS3!$1:$19996,A335,MATCH("SeriesDate", DATOS3!$1:$1,0))=0,"",INDEX( DATOS3!$1:$19996,A335,MATCH("SeriesDate", DATOS3!$1:$1,0)))</f>
        <v>#N/A</v>
      </c>
      <c r="G335" t="e">
        <f>IF(INDEX( DATOS3!$1:$19996,A335,MATCH("SeriesTime", DATOS3!$1:$1,0))=0,"",INDEX( DATOS3!$1:$19996,A335,MATCH("SeriesTime", DATOS3!$1:$1,0)))</f>
        <v>#N/A</v>
      </c>
      <c r="H335" t="e">
        <f>IF(INDEX( DATOS3!$1:$19996,A335,MATCH("StudyDescription", DATOS3!$1:$1,0))=0,"",INDEX( DATOS3!$1:$19996,A335,MATCH("StudyDescription", DATOS3!$1:$1,0)))</f>
        <v>#N/A</v>
      </c>
      <c r="I335" t="e">
        <f>IF(INDEX( DATOS3!$1:$19996,A335,MATCH("Dose_Area_Product_Total", DATOS3!$1:$1,0))=0,0,INDEX( DATOS3!$1:$19996,A335,MATCH("Dose_Area_Product", DATOS3!$1:$1,0)))</f>
        <v>#N/A</v>
      </c>
      <c r="J335" t="e">
        <f>IF(INDEX( DATOS3!$1:$19996,A335,MATCH("Dose_RP_Total", DATOS3!$1:$1,0))=0,0,INDEX( DATOS3!$1:$19996,A335,MATCH("Dose_RP", DATOS3!$1:$1,0)))</f>
        <v>#N/A</v>
      </c>
      <c r="K335" t="e">
        <f>IF(INDEX( DATOS3!$1:$19996,A335,MATCH("Total_Fluoro_Time", DATOS3!$1:$1,0))=0,0,INDEX( DATOS3!$1:$19996,A335,MATCH("Total_Fluoro_Time", DATOS3!$1:$1,0)))</f>
        <v>#N/A</v>
      </c>
    </row>
    <row r="336" spans="1:11" hidden="1" x14ac:dyDescent="0.25">
      <c r="A336">
        <v>336</v>
      </c>
      <c r="B336" t="e">
        <f t="shared" si="10"/>
        <v>#N/A</v>
      </c>
      <c r="C336" t="e">
        <f t="shared" si="11"/>
        <v>#N/A</v>
      </c>
      <c r="D336" t="e">
        <f>IF(INDEX( DATOS3!$1:$19996,A336,MATCH("PatientID", DATOS3!$1:$1,0))=0,"",INDEX( DATOS3!$1:$19996,A336,MATCH("PatientID", DATOS3!$1:$1,0)))</f>
        <v>#N/A</v>
      </c>
      <c r="F336" t="e">
        <f>IF(INDEX( DATOS3!$1:$19996,A336,MATCH("SeriesDate", DATOS3!$1:$1,0))=0,"",INDEX( DATOS3!$1:$19996,A336,MATCH("SeriesDate", DATOS3!$1:$1,0)))</f>
        <v>#N/A</v>
      </c>
      <c r="G336" t="e">
        <f>IF(INDEX( DATOS3!$1:$19996,A336,MATCH("SeriesTime", DATOS3!$1:$1,0))=0,"",INDEX( DATOS3!$1:$19996,A336,MATCH("SeriesTime", DATOS3!$1:$1,0)))</f>
        <v>#N/A</v>
      </c>
      <c r="H336" t="e">
        <f>IF(INDEX( DATOS3!$1:$19996,A336,MATCH("StudyDescription", DATOS3!$1:$1,0))=0,"",INDEX( DATOS3!$1:$19996,A336,MATCH("StudyDescription", DATOS3!$1:$1,0)))</f>
        <v>#N/A</v>
      </c>
      <c r="I336" t="e">
        <f>IF(INDEX( DATOS3!$1:$19996,A336,MATCH("Dose_Area_Product_Total", DATOS3!$1:$1,0))=0,0,INDEX( DATOS3!$1:$19996,A336,MATCH("Dose_Area_Product", DATOS3!$1:$1,0)))</f>
        <v>#N/A</v>
      </c>
      <c r="J336" t="e">
        <f>IF(INDEX( DATOS3!$1:$19996,A336,MATCH("Dose_RP_Total", DATOS3!$1:$1,0))=0,0,INDEX( DATOS3!$1:$19996,A336,MATCH("Dose_RP", DATOS3!$1:$1,0)))</f>
        <v>#N/A</v>
      </c>
      <c r="K336" t="e">
        <f>IF(INDEX( DATOS3!$1:$19996,A336,MATCH("Total_Fluoro_Time", DATOS3!$1:$1,0))=0,0,INDEX( DATOS3!$1:$19996,A336,MATCH("Total_Fluoro_Time", DATOS3!$1:$1,0)))</f>
        <v>#N/A</v>
      </c>
    </row>
    <row r="337" spans="1:11" hidden="1" x14ac:dyDescent="0.25">
      <c r="A337">
        <v>337</v>
      </c>
      <c r="B337" t="e">
        <f t="shared" si="10"/>
        <v>#N/A</v>
      </c>
      <c r="C337" t="e">
        <f t="shared" si="11"/>
        <v>#N/A</v>
      </c>
      <c r="D337" t="e">
        <f>IF(INDEX( DATOS3!$1:$19996,A337,MATCH("PatientID", DATOS3!$1:$1,0))=0,"",INDEX( DATOS3!$1:$19996,A337,MATCH("PatientID", DATOS3!$1:$1,0)))</f>
        <v>#N/A</v>
      </c>
      <c r="F337" t="e">
        <f>IF(INDEX( DATOS3!$1:$19996,A337,MATCH("SeriesDate", DATOS3!$1:$1,0))=0,"",INDEX( DATOS3!$1:$19996,A337,MATCH("SeriesDate", DATOS3!$1:$1,0)))</f>
        <v>#N/A</v>
      </c>
      <c r="G337" t="e">
        <f>IF(INDEX( DATOS3!$1:$19996,A337,MATCH("SeriesTime", DATOS3!$1:$1,0))=0,"",INDEX( DATOS3!$1:$19996,A337,MATCH("SeriesTime", DATOS3!$1:$1,0)))</f>
        <v>#N/A</v>
      </c>
      <c r="H337" t="e">
        <f>IF(INDEX( DATOS3!$1:$19996,A337,MATCH("StudyDescription", DATOS3!$1:$1,0))=0,"",INDEX( DATOS3!$1:$19996,A337,MATCH("StudyDescription", DATOS3!$1:$1,0)))</f>
        <v>#N/A</v>
      </c>
      <c r="I337" t="e">
        <f>IF(INDEX( DATOS3!$1:$19996,A337,MATCH("Dose_Area_Product_Total", DATOS3!$1:$1,0))=0,0,INDEX( DATOS3!$1:$19996,A337,MATCH("Dose_Area_Product", DATOS3!$1:$1,0)))</f>
        <v>#N/A</v>
      </c>
      <c r="J337" t="e">
        <f>IF(INDEX( DATOS3!$1:$19996,A337,MATCH("Dose_RP_Total", DATOS3!$1:$1,0))=0,0,INDEX( DATOS3!$1:$19996,A337,MATCH("Dose_RP", DATOS3!$1:$1,0)))</f>
        <v>#N/A</v>
      </c>
      <c r="K337" t="e">
        <f>IF(INDEX( DATOS3!$1:$19996,A337,MATCH("Total_Fluoro_Time", DATOS3!$1:$1,0))=0,0,INDEX( DATOS3!$1:$19996,A337,MATCH("Total_Fluoro_Time", DATOS3!$1:$1,0)))</f>
        <v>#N/A</v>
      </c>
    </row>
    <row r="338" spans="1:11" hidden="1" x14ac:dyDescent="0.25">
      <c r="A338">
        <v>338</v>
      </c>
      <c r="B338" t="e">
        <f t="shared" si="10"/>
        <v>#N/A</v>
      </c>
      <c r="C338" t="e">
        <f t="shared" si="11"/>
        <v>#N/A</v>
      </c>
      <c r="D338" t="e">
        <f>IF(INDEX( DATOS3!$1:$19996,A338,MATCH("PatientID", DATOS3!$1:$1,0))=0,"",INDEX( DATOS3!$1:$19996,A338,MATCH("PatientID", DATOS3!$1:$1,0)))</f>
        <v>#N/A</v>
      </c>
      <c r="F338" t="e">
        <f>IF(INDEX( DATOS3!$1:$19996,A338,MATCH("SeriesDate", DATOS3!$1:$1,0))=0,"",INDEX( DATOS3!$1:$19996,A338,MATCH("SeriesDate", DATOS3!$1:$1,0)))</f>
        <v>#N/A</v>
      </c>
      <c r="G338" t="e">
        <f>IF(INDEX( DATOS3!$1:$19996,A338,MATCH("SeriesTime", DATOS3!$1:$1,0))=0,"",INDEX( DATOS3!$1:$19996,A338,MATCH("SeriesTime", DATOS3!$1:$1,0)))</f>
        <v>#N/A</v>
      </c>
      <c r="H338" t="e">
        <f>IF(INDEX( DATOS3!$1:$19996,A338,MATCH("StudyDescription", DATOS3!$1:$1,0))=0,"",INDEX( DATOS3!$1:$19996,A338,MATCH("StudyDescription", DATOS3!$1:$1,0)))</f>
        <v>#N/A</v>
      </c>
      <c r="I338" t="e">
        <f>IF(INDEX( DATOS3!$1:$19996,A338,MATCH("Dose_Area_Product_Total", DATOS3!$1:$1,0))=0,0,INDEX( DATOS3!$1:$19996,A338,MATCH("Dose_Area_Product", DATOS3!$1:$1,0)))</f>
        <v>#N/A</v>
      </c>
      <c r="J338" t="e">
        <f>IF(INDEX( DATOS3!$1:$19996,A338,MATCH("Dose_RP_Total", DATOS3!$1:$1,0))=0,0,INDEX( DATOS3!$1:$19996,A338,MATCH("Dose_RP", DATOS3!$1:$1,0)))</f>
        <v>#N/A</v>
      </c>
      <c r="K338" t="e">
        <f>IF(INDEX( DATOS3!$1:$19996,A338,MATCH("Total_Fluoro_Time", DATOS3!$1:$1,0))=0,0,INDEX( DATOS3!$1:$19996,A338,MATCH("Total_Fluoro_Time", DATOS3!$1:$1,0)))</f>
        <v>#N/A</v>
      </c>
    </row>
    <row r="339" spans="1:11" hidden="1" x14ac:dyDescent="0.25">
      <c r="A339">
        <v>339</v>
      </c>
      <c r="B339" t="e">
        <f t="shared" si="10"/>
        <v>#N/A</v>
      </c>
      <c r="C339" t="e">
        <f t="shared" si="11"/>
        <v>#N/A</v>
      </c>
      <c r="D339" t="e">
        <f>IF(INDEX( DATOS3!$1:$19996,A339,MATCH("PatientID", DATOS3!$1:$1,0))=0,"",INDEX( DATOS3!$1:$19996,A339,MATCH("PatientID", DATOS3!$1:$1,0)))</f>
        <v>#N/A</v>
      </c>
      <c r="F339" t="e">
        <f>IF(INDEX( DATOS3!$1:$19996,A339,MATCH("SeriesDate", DATOS3!$1:$1,0))=0,"",INDEX( DATOS3!$1:$19996,A339,MATCH("SeriesDate", DATOS3!$1:$1,0)))</f>
        <v>#N/A</v>
      </c>
      <c r="G339" t="e">
        <f>IF(INDEX( DATOS3!$1:$19996,A339,MATCH("SeriesTime", DATOS3!$1:$1,0))=0,"",INDEX( DATOS3!$1:$19996,A339,MATCH("SeriesTime", DATOS3!$1:$1,0)))</f>
        <v>#N/A</v>
      </c>
      <c r="H339" t="e">
        <f>IF(INDEX( DATOS3!$1:$19996,A339,MATCH("StudyDescription", DATOS3!$1:$1,0))=0,"",INDEX( DATOS3!$1:$19996,A339,MATCH("StudyDescription", DATOS3!$1:$1,0)))</f>
        <v>#N/A</v>
      </c>
      <c r="I339" t="e">
        <f>IF(INDEX( DATOS3!$1:$19996,A339,MATCH("Dose_Area_Product_Total", DATOS3!$1:$1,0))=0,0,INDEX( DATOS3!$1:$19996,A339,MATCH("Dose_Area_Product", DATOS3!$1:$1,0)))</f>
        <v>#N/A</v>
      </c>
      <c r="J339" t="e">
        <f>IF(INDEX( DATOS3!$1:$19996,A339,MATCH("Dose_RP_Total", DATOS3!$1:$1,0))=0,0,INDEX( DATOS3!$1:$19996,A339,MATCH("Dose_RP", DATOS3!$1:$1,0)))</f>
        <v>#N/A</v>
      </c>
      <c r="K339" t="e">
        <f>IF(INDEX( DATOS3!$1:$19996,A339,MATCH("Total_Fluoro_Time", DATOS3!$1:$1,0))=0,0,INDEX( DATOS3!$1:$19996,A339,MATCH("Total_Fluoro_Time", DATOS3!$1:$1,0)))</f>
        <v>#N/A</v>
      </c>
    </row>
    <row r="340" spans="1:11" hidden="1" x14ac:dyDescent="0.25">
      <c r="A340">
        <v>340</v>
      </c>
      <c r="B340" t="e">
        <f t="shared" si="10"/>
        <v>#N/A</v>
      </c>
      <c r="C340" t="e">
        <f t="shared" si="11"/>
        <v>#N/A</v>
      </c>
      <c r="D340" t="e">
        <f>IF(INDEX( DATOS3!$1:$19996,A340,MATCH("PatientID", DATOS3!$1:$1,0))=0,"",INDEX( DATOS3!$1:$19996,A340,MATCH("PatientID", DATOS3!$1:$1,0)))</f>
        <v>#N/A</v>
      </c>
      <c r="F340" t="e">
        <f>IF(INDEX( DATOS3!$1:$19996,A340,MATCH("SeriesDate", DATOS3!$1:$1,0))=0,"",INDEX( DATOS3!$1:$19996,A340,MATCH("SeriesDate", DATOS3!$1:$1,0)))</f>
        <v>#N/A</v>
      </c>
      <c r="G340" t="e">
        <f>IF(INDEX( DATOS3!$1:$19996,A340,MATCH("SeriesTime", DATOS3!$1:$1,0))=0,"",INDEX( DATOS3!$1:$19996,A340,MATCH("SeriesTime", DATOS3!$1:$1,0)))</f>
        <v>#N/A</v>
      </c>
      <c r="H340" t="e">
        <f>IF(INDEX( DATOS3!$1:$19996,A340,MATCH("StudyDescription", DATOS3!$1:$1,0))=0,"",INDEX( DATOS3!$1:$19996,A340,MATCH("StudyDescription", DATOS3!$1:$1,0)))</f>
        <v>#N/A</v>
      </c>
      <c r="I340" t="e">
        <f>IF(INDEX( DATOS3!$1:$19996,A340,MATCH("Dose_Area_Product_Total", DATOS3!$1:$1,0))=0,0,INDEX( DATOS3!$1:$19996,A340,MATCH("Dose_Area_Product", DATOS3!$1:$1,0)))</f>
        <v>#N/A</v>
      </c>
      <c r="J340" t="e">
        <f>IF(INDEX( DATOS3!$1:$19996,A340,MATCH("Dose_RP_Total", DATOS3!$1:$1,0))=0,0,INDEX( DATOS3!$1:$19996,A340,MATCH("Dose_RP", DATOS3!$1:$1,0)))</f>
        <v>#N/A</v>
      </c>
      <c r="K340" t="e">
        <f>IF(INDEX( DATOS3!$1:$19996,A340,MATCH("Total_Fluoro_Time", DATOS3!$1:$1,0))=0,0,INDEX( DATOS3!$1:$19996,A340,MATCH("Total_Fluoro_Time", DATOS3!$1:$1,0)))</f>
        <v>#N/A</v>
      </c>
    </row>
    <row r="341" spans="1:11" hidden="1" x14ac:dyDescent="0.25">
      <c r="A341">
        <v>341</v>
      </c>
      <c r="B341" t="e">
        <f t="shared" si="10"/>
        <v>#N/A</v>
      </c>
      <c r="C341" t="e">
        <f t="shared" si="11"/>
        <v>#N/A</v>
      </c>
      <c r="D341" t="e">
        <f>IF(INDEX( DATOS3!$1:$19996,A341,MATCH("PatientID", DATOS3!$1:$1,0))=0,"",INDEX( DATOS3!$1:$19996,A341,MATCH("PatientID", DATOS3!$1:$1,0)))</f>
        <v>#N/A</v>
      </c>
      <c r="F341" t="e">
        <f>IF(INDEX( DATOS3!$1:$19996,A341,MATCH("SeriesDate", DATOS3!$1:$1,0))=0,"",INDEX( DATOS3!$1:$19996,A341,MATCH("SeriesDate", DATOS3!$1:$1,0)))</f>
        <v>#N/A</v>
      </c>
      <c r="G341" t="e">
        <f>IF(INDEX( DATOS3!$1:$19996,A341,MATCH("SeriesTime", DATOS3!$1:$1,0))=0,"",INDEX( DATOS3!$1:$19996,A341,MATCH("SeriesTime", DATOS3!$1:$1,0)))</f>
        <v>#N/A</v>
      </c>
      <c r="H341" t="e">
        <f>IF(INDEX( DATOS3!$1:$19996,A341,MATCH("StudyDescription", DATOS3!$1:$1,0))=0,"",INDEX( DATOS3!$1:$19996,A341,MATCH("StudyDescription", DATOS3!$1:$1,0)))</f>
        <v>#N/A</v>
      </c>
      <c r="I341" t="e">
        <f>IF(INDEX( DATOS3!$1:$19996,A341,MATCH("Dose_Area_Product_Total", DATOS3!$1:$1,0))=0,0,INDEX( DATOS3!$1:$19996,A341,MATCH("Dose_Area_Product", DATOS3!$1:$1,0)))</f>
        <v>#N/A</v>
      </c>
      <c r="J341" t="e">
        <f>IF(INDEX( DATOS3!$1:$19996,A341,MATCH("Dose_RP_Total", DATOS3!$1:$1,0))=0,0,INDEX( DATOS3!$1:$19996,A341,MATCH("Dose_RP", DATOS3!$1:$1,0)))</f>
        <v>#N/A</v>
      </c>
      <c r="K341" t="e">
        <f>IF(INDEX( DATOS3!$1:$19996,A341,MATCH("Total_Fluoro_Time", DATOS3!$1:$1,0))=0,0,INDEX( DATOS3!$1:$19996,A341,MATCH("Total_Fluoro_Time", DATOS3!$1:$1,0)))</f>
        <v>#N/A</v>
      </c>
    </row>
    <row r="342" spans="1:11" hidden="1" x14ac:dyDescent="0.25">
      <c r="A342">
        <v>342</v>
      </c>
      <c r="B342" t="e">
        <f t="shared" si="10"/>
        <v>#N/A</v>
      </c>
      <c r="C342" t="e">
        <f t="shared" si="11"/>
        <v>#N/A</v>
      </c>
      <c r="D342" t="e">
        <f>IF(INDEX( DATOS3!$1:$19996,A342,MATCH("PatientID", DATOS3!$1:$1,0))=0,"",INDEX( DATOS3!$1:$19996,A342,MATCH("PatientID", DATOS3!$1:$1,0)))</f>
        <v>#N/A</v>
      </c>
      <c r="F342" t="e">
        <f>IF(INDEX( DATOS3!$1:$19996,A342,MATCH("SeriesDate", DATOS3!$1:$1,0))=0,"",INDEX( DATOS3!$1:$19996,A342,MATCH("SeriesDate", DATOS3!$1:$1,0)))</f>
        <v>#N/A</v>
      </c>
      <c r="G342" t="e">
        <f>IF(INDEX( DATOS3!$1:$19996,A342,MATCH("SeriesTime", DATOS3!$1:$1,0))=0,"",INDEX( DATOS3!$1:$19996,A342,MATCH("SeriesTime", DATOS3!$1:$1,0)))</f>
        <v>#N/A</v>
      </c>
      <c r="H342" t="e">
        <f>IF(INDEX( DATOS3!$1:$19996,A342,MATCH("StudyDescription", DATOS3!$1:$1,0))=0,"",INDEX( DATOS3!$1:$19996,A342,MATCH("StudyDescription", DATOS3!$1:$1,0)))</f>
        <v>#N/A</v>
      </c>
      <c r="I342" t="e">
        <f>IF(INDEX( DATOS3!$1:$19996,A342,MATCH("Dose_Area_Product_Total", DATOS3!$1:$1,0))=0,0,INDEX( DATOS3!$1:$19996,A342,MATCH("Dose_Area_Product", DATOS3!$1:$1,0)))</f>
        <v>#N/A</v>
      </c>
      <c r="J342" t="e">
        <f>IF(INDEX( DATOS3!$1:$19996,A342,MATCH("Dose_RP_Total", DATOS3!$1:$1,0))=0,0,INDEX( DATOS3!$1:$19996,A342,MATCH("Dose_RP", DATOS3!$1:$1,0)))</f>
        <v>#N/A</v>
      </c>
      <c r="K342" t="e">
        <f>IF(INDEX( DATOS3!$1:$19996,A342,MATCH("Total_Fluoro_Time", DATOS3!$1:$1,0))=0,0,INDEX( DATOS3!$1:$19996,A342,MATCH("Total_Fluoro_Time", DATOS3!$1:$1,0)))</f>
        <v>#N/A</v>
      </c>
    </row>
    <row r="343" spans="1:11" hidden="1" x14ac:dyDescent="0.25">
      <c r="A343">
        <v>343</v>
      </c>
      <c r="B343" t="e">
        <f t="shared" si="10"/>
        <v>#N/A</v>
      </c>
      <c r="C343" t="e">
        <f t="shared" si="11"/>
        <v>#N/A</v>
      </c>
      <c r="D343" t="e">
        <f>IF(INDEX( DATOS3!$1:$19996,A343,MATCH("PatientID", DATOS3!$1:$1,0))=0,"",INDEX( DATOS3!$1:$19996,A343,MATCH("PatientID", DATOS3!$1:$1,0)))</f>
        <v>#N/A</v>
      </c>
      <c r="F343" t="e">
        <f>IF(INDEX( DATOS3!$1:$19996,A343,MATCH("SeriesDate", DATOS3!$1:$1,0))=0,"",INDEX( DATOS3!$1:$19996,A343,MATCH("SeriesDate", DATOS3!$1:$1,0)))</f>
        <v>#N/A</v>
      </c>
      <c r="G343" t="e">
        <f>IF(INDEX( DATOS3!$1:$19996,A343,MATCH("SeriesTime", DATOS3!$1:$1,0))=0,"",INDEX( DATOS3!$1:$19996,A343,MATCH("SeriesTime", DATOS3!$1:$1,0)))</f>
        <v>#N/A</v>
      </c>
      <c r="H343" t="e">
        <f>IF(INDEX( DATOS3!$1:$19996,A343,MATCH("StudyDescription", DATOS3!$1:$1,0))=0,"",INDEX( DATOS3!$1:$19996,A343,MATCH("StudyDescription", DATOS3!$1:$1,0)))</f>
        <v>#N/A</v>
      </c>
      <c r="I343" t="e">
        <f>IF(INDEX( DATOS3!$1:$19996,A343,MATCH("Dose_Area_Product_Total", DATOS3!$1:$1,0))=0,0,INDEX( DATOS3!$1:$19996,A343,MATCH("Dose_Area_Product", DATOS3!$1:$1,0)))</f>
        <v>#N/A</v>
      </c>
      <c r="J343" t="e">
        <f>IF(INDEX( DATOS3!$1:$19996,A343,MATCH("Dose_RP_Total", DATOS3!$1:$1,0))=0,0,INDEX( DATOS3!$1:$19996,A343,MATCH("Dose_RP", DATOS3!$1:$1,0)))</f>
        <v>#N/A</v>
      </c>
      <c r="K343" t="e">
        <f>IF(INDEX( DATOS3!$1:$19996,A343,MATCH("Total_Fluoro_Time", DATOS3!$1:$1,0))=0,0,INDEX( DATOS3!$1:$19996,A343,MATCH("Total_Fluoro_Time", DATOS3!$1:$1,0)))</f>
        <v>#N/A</v>
      </c>
    </row>
    <row r="344" spans="1:11" hidden="1" x14ac:dyDescent="0.25">
      <c r="A344">
        <v>344</v>
      </c>
      <c r="B344" t="e">
        <f t="shared" si="10"/>
        <v>#N/A</v>
      </c>
      <c r="C344" t="e">
        <f t="shared" si="11"/>
        <v>#N/A</v>
      </c>
      <c r="D344" t="e">
        <f>IF(INDEX( DATOS3!$1:$19996,A344,MATCH("PatientID", DATOS3!$1:$1,0))=0,"",INDEX( DATOS3!$1:$19996,A344,MATCH("PatientID", DATOS3!$1:$1,0)))</f>
        <v>#N/A</v>
      </c>
      <c r="F344" t="e">
        <f>IF(INDEX( DATOS3!$1:$19996,A344,MATCH("SeriesDate", DATOS3!$1:$1,0))=0,"",INDEX( DATOS3!$1:$19996,A344,MATCH("SeriesDate", DATOS3!$1:$1,0)))</f>
        <v>#N/A</v>
      </c>
      <c r="G344" t="e">
        <f>IF(INDEX( DATOS3!$1:$19996,A344,MATCH("SeriesTime", DATOS3!$1:$1,0))=0,"",INDEX( DATOS3!$1:$19996,A344,MATCH("SeriesTime", DATOS3!$1:$1,0)))</f>
        <v>#N/A</v>
      </c>
      <c r="H344" t="e">
        <f>IF(INDEX( DATOS3!$1:$19996,A344,MATCH("StudyDescription", DATOS3!$1:$1,0))=0,"",INDEX( DATOS3!$1:$19996,A344,MATCH("StudyDescription", DATOS3!$1:$1,0)))</f>
        <v>#N/A</v>
      </c>
      <c r="I344" t="e">
        <f>IF(INDEX( DATOS3!$1:$19996,A344,MATCH("Dose_Area_Product_Total", DATOS3!$1:$1,0))=0,0,INDEX( DATOS3!$1:$19996,A344,MATCH("Dose_Area_Product", DATOS3!$1:$1,0)))</f>
        <v>#N/A</v>
      </c>
      <c r="J344" t="e">
        <f>IF(INDEX( DATOS3!$1:$19996,A344,MATCH("Dose_RP_Total", DATOS3!$1:$1,0))=0,0,INDEX( DATOS3!$1:$19996,A344,MATCH("Dose_RP", DATOS3!$1:$1,0)))</f>
        <v>#N/A</v>
      </c>
      <c r="K344" t="e">
        <f>IF(INDEX( DATOS3!$1:$19996,A344,MATCH("Total_Fluoro_Time", DATOS3!$1:$1,0))=0,0,INDEX( DATOS3!$1:$19996,A344,MATCH("Total_Fluoro_Time", DATOS3!$1:$1,0)))</f>
        <v>#N/A</v>
      </c>
    </row>
    <row r="345" spans="1:11" hidden="1" x14ac:dyDescent="0.25">
      <c r="A345">
        <v>345</v>
      </c>
      <c r="B345" t="e">
        <f t="shared" si="10"/>
        <v>#N/A</v>
      </c>
      <c r="C345" t="e">
        <f t="shared" si="11"/>
        <v>#N/A</v>
      </c>
      <c r="D345" t="e">
        <f>IF(INDEX( DATOS3!$1:$19996,A345,MATCH("PatientID", DATOS3!$1:$1,0))=0,"",INDEX( DATOS3!$1:$19996,A345,MATCH("PatientID", DATOS3!$1:$1,0)))</f>
        <v>#N/A</v>
      </c>
      <c r="F345" t="e">
        <f>IF(INDEX( DATOS3!$1:$19996,A345,MATCH("SeriesDate", DATOS3!$1:$1,0))=0,"",INDEX( DATOS3!$1:$19996,A345,MATCH("SeriesDate", DATOS3!$1:$1,0)))</f>
        <v>#N/A</v>
      </c>
      <c r="G345" t="e">
        <f>IF(INDEX( DATOS3!$1:$19996,A345,MATCH("SeriesTime", DATOS3!$1:$1,0))=0,"",INDEX( DATOS3!$1:$19996,A345,MATCH("SeriesTime", DATOS3!$1:$1,0)))</f>
        <v>#N/A</v>
      </c>
      <c r="H345" t="e">
        <f>IF(INDEX( DATOS3!$1:$19996,A345,MATCH("StudyDescription", DATOS3!$1:$1,0))=0,"",INDEX( DATOS3!$1:$19996,A345,MATCH("StudyDescription", DATOS3!$1:$1,0)))</f>
        <v>#N/A</v>
      </c>
      <c r="I345" t="e">
        <f>IF(INDEX( DATOS3!$1:$19996,A345,MATCH("Dose_Area_Product_Total", DATOS3!$1:$1,0))=0,0,INDEX( DATOS3!$1:$19996,A345,MATCH("Dose_Area_Product", DATOS3!$1:$1,0)))</f>
        <v>#N/A</v>
      </c>
      <c r="J345" t="e">
        <f>IF(INDEX( DATOS3!$1:$19996,A345,MATCH("Dose_RP_Total", DATOS3!$1:$1,0))=0,0,INDEX( DATOS3!$1:$19996,A345,MATCH("Dose_RP", DATOS3!$1:$1,0)))</f>
        <v>#N/A</v>
      </c>
      <c r="K345" t="e">
        <f>IF(INDEX( DATOS3!$1:$19996,A345,MATCH("Total_Fluoro_Time", DATOS3!$1:$1,0))=0,0,INDEX( DATOS3!$1:$19996,A345,MATCH("Total_Fluoro_Time", DATOS3!$1:$1,0)))</f>
        <v>#N/A</v>
      </c>
    </row>
    <row r="346" spans="1:11" hidden="1" x14ac:dyDescent="0.25">
      <c r="A346">
        <v>346</v>
      </c>
      <c r="B346" t="e">
        <f t="shared" si="10"/>
        <v>#N/A</v>
      </c>
      <c r="C346" t="e">
        <f t="shared" si="11"/>
        <v>#N/A</v>
      </c>
      <c r="D346" t="e">
        <f>IF(INDEX( DATOS3!$1:$19996,A346,MATCH("PatientID", DATOS3!$1:$1,0))=0,"",INDEX( DATOS3!$1:$19996,A346,MATCH("PatientID", DATOS3!$1:$1,0)))</f>
        <v>#N/A</v>
      </c>
      <c r="F346" t="e">
        <f>IF(INDEX( DATOS3!$1:$19996,A346,MATCH("SeriesDate", DATOS3!$1:$1,0))=0,"",INDEX( DATOS3!$1:$19996,A346,MATCH("SeriesDate", DATOS3!$1:$1,0)))</f>
        <v>#N/A</v>
      </c>
      <c r="G346" t="e">
        <f>IF(INDEX( DATOS3!$1:$19996,A346,MATCH("SeriesTime", DATOS3!$1:$1,0))=0,"",INDEX( DATOS3!$1:$19996,A346,MATCH("SeriesTime", DATOS3!$1:$1,0)))</f>
        <v>#N/A</v>
      </c>
      <c r="H346" t="e">
        <f>IF(INDEX( DATOS3!$1:$19996,A346,MATCH("StudyDescription", DATOS3!$1:$1,0))=0,"",INDEX( DATOS3!$1:$19996,A346,MATCH("StudyDescription", DATOS3!$1:$1,0)))</f>
        <v>#N/A</v>
      </c>
      <c r="I346" t="e">
        <f>IF(INDEX( DATOS3!$1:$19996,A346,MATCH("Dose_Area_Product_Total", DATOS3!$1:$1,0))=0,0,INDEX( DATOS3!$1:$19996,A346,MATCH("Dose_Area_Product", DATOS3!$1:$1,0)))</f>
        <v>#N/A</v>
      </c>
      <c r="J346" t="e">
        <f>IF(INDEX( DATOS3!$1:$19996,A346,MATCH("Dose_RP_Total", DATOS3!$1:$1,0))=0,0,INDEX( DATOS3!$1:$19996,A346,MATCH("Dose_RP", DATOS3!$1:$1,0)))</f>
        <v>#N/A</v>
      </c>
      <c r="K346" t="e">
        <f>IF(INDEX( DATOS3!$1:$19996,A346,MATCH("Total_Fluoro_Time", DATOS3!$1:$1,0))=0,0,INDEX( DATOS3!$1:$19996,A346,MATCH("Total_Fluoro_Time", DATOS3!$1:$1,0)))</f>
        <v>#N/A</v>
      </c>
    </row>
    <row r="347" spans="1:11" hidden="1" x14ac:dyDescent="0.25">
      <c r="A347">
        <v>347</v>
      </c>
      <c r="B347" t="e">
        <f t="shared" si="10"/>
        <v>#N/A</v>
      </c>
      <c r="C347" t="e">
        <f t="shared" si="11"/>
        <v>#N/A</v>
      </c>
      <c r="D347" t="e">
        <f>IF(INDEX( DATOS3!$1:$19996,A347,MATCH("PatientID", DATOS3!$1:$1,0))=0,"",INDEX( DATOS3!$1:$19996,A347,MATCH("PatientID", DATOS3!$1:$1,0)))</f>
        <v>#N/A</v>
      </c>
      <c r="F347" t="e">
        <f>IF(INDEX( DATOS3!$1:$19996,A347,MATCH("SeriesDate", DATOS3!$1:$1,0))=0,"",INDEX( DATOS3!$1:$19996,A347,MATCH("SeriesDate", DATOS3!$1:$1,0)))</f>
        <v>#N/A</v>
      </c>
      <c r="G347" t="e">
        <f>IF(INDEX( DATOS3!$1:$19996,A347,MATCH("SeriesTime", DATOS3!$1:$1,0))=0,"",INDEX( DATOS3!$1:$19996,A347,MATCH("SeriesTime", DATOS3!$1:$1,0)))</f>
        <v>#N/A</v>
      </c>
      <c r="H347" t="e">
        <f>IF(INDEX( DATOS3!$1:$19996,A347,MATCH("StudyDescription", DATOS3!$1:$1,0))=0,"",INDEX( DATOS3!$1:$19996,A347,MATCH("StudyDescription", DATOS3!$1:$1,0)))</f>
        <v>#N/A</v>
      </c>
      <c r="I347" t="e">
        <f>IF(INDEX( DATOS3!$1:$19996,A347,MATCH("Dose_Area_Product_Total", DATOS3!$1:$1,0))=0,0,INDEX( DATOS3!$1:$19996,A347,MATCH("Dose_Area_Product", DATOS3!$1:$1,0)))</f>
        <v>#N/A</v>
      </c>
      <c r="J347" t="e">
        <f>IF(INDEX( DATOS3!$1:$19996,A347,MATCH("Dose_RP_Total", DATOS3!$1:$1,0))=0,0,INDEX( DATOS3!$1:$19996,A347,MATCH("Dose_RP", DATOS3!$1:$1,0)))</f>
        <v>#N/A</v>
      </c>
      <c r="K347" t="e">
        <f>IF(INDEX( DATOS3!$1:$19996,A347,MATCH("Total_Fluoro_Time", DATOS3!$1:$1,0))=0,0,INDEX( DATOS3!$1:$19996,A347,MATCH("Total_Fluoro_Time", DATOS3!$1:$1,0)))</f>
        <v>#N/A</v>
      </c>
    </row>
    <row r="348" spans="1:11" hidden="1" x14ac:dyDescent="0.25">
      <c r="A348">
        <v>348</v>
      </c>
      <c r="B348" t="e">
        <f t="shared" si="10"/>
        <v>#N/A</v>
      </c>
      <c r="C348" t="e">
        <f t="shared" si="11"/>
        <v>#N/A</v>
      </c>
      <c r="D348" t="e">
        <f>IF(INDEX( DATOS3!$1:$19996,A348,MATCH("PatientID", DATOS3!$1:$1,0))=0,"",INDEX( DATOS3!$1:$19996,A348,MATCH("PatientID", DATOS3!$1:$1,0)))</f>
        <v>#N/A</v>
      </c>
      <c r="F348" t="e">
        <f>IF(INDEX( DATOS3!$1:$19996,A348,MATCH("SeriesDate", DATOS3!$1:$1,0))=0,"",INDEX( DATOS3!$1:$19996,A348,MATCH("SeriesDate", DATOS3!$1:$1,0)))</f>
        <v>#N/A</v>
      </c>
      <c r="G348" t="e">
        <f>IF(INDEX( DATOS3!$1:$19996,A348,MATCH("SeriesTime", DATOS3!$1:$1,0))=0,"",INDEX( DATOS3!$1:$19996,A348,MATCH("SeriesTime", DATOS3!$1:$1,0)))</f>
        <v>#N/A</v>
      </c>
      <c r="H348" t="e">
        <f>IF(INDEX( DATOS3!$1:$19996,A348,MATCH("StudyDescription", DATOS3!$1:$1,0))=0,"",INDEX( DATOS3!$1:$19996,A348,MATCH("StudyDescription", DATOS3!$1:$1,0)))</f>
        <v>#N/A</v>
      </c>
      <c r="I348" t="e">
        <f>IF(INDEX( DATOS3!$1:$19996,A348,MATCH("Dose_Area_Product_Total", DATOS3!$1:$1,0))=0,0,INDEX( DATOS3!$1:$19996,A348,MATCH("Dose_Area_Product", DATOS3!$1:$1,0)))</f>
        <v>#N/A</v>
      </c>
      <c r="J348" t="e">
        <f>IF(INDEX( DATOS3!$1:$19996,A348,MATCH("Dose_RP_Total", DATOS3!$1:$1,0))=0,0,INDEX( DATOS3!$1:$19996,A348,MATCH("Dose_RP", DATOS3!$1:$1,0)))</f>
        <v>#N/A</v>
      </c>
      <c r="K348" t="e">
        <f>IF(INDEX( DATOS3!$1:$19996,A348,MATCH("Total_Fluoro_Time", DATOS3!$1:$1,0))=0,0,INDEX( DATOS3!$1:$19996,A348,MATCH("Total_Fluoro_Time", DATOS3!$1:$1,0)))</f>
        <v>#N/A</v>
      </c>
    </row>
    <row r="349" spans="1:11" hidden="1" x14ac:dyDescent="0.25">
      <c r="A349">
        <v>349</v>
      </c>
      <c r="B349" t="e">
        <f t="shared" si="10"/>
        <v>#N/A</v>
      </c>
      <c r="C349" t="e">
        <f t="shared" si="11"/>
        <v>#N/A</v>
      </c>
      <c r="D349" t="e">
        <f>IF(INDEX( DATOS3!$1:$19996,A349,MATCH("PatientID", DATOS3!$1:$1,0))=0,"",INDEX( DATOS3!$1:$19996,A349,MATCH("PatientID", DATOS3!$1:$1,0)))</f>
        <v>#N/A</v>
      </c>
      <c r="F349" t="e">
        <f>IF(INDEX( DATOS3!$1:$19996,A349,MATCH("SeriesDate", DATOS3!$1:$1,0))=0,"",INDEX( DATOS3!$1:$19996,A349,MATCH("SeriesDate", DATOS3!$1:$1,0)))</f>
        <v>#N/A</v>
      </c>
      <c r="G349" t="e">
        <f>IF(INDEX( DATOS3!$1:$19996,A349,MATCH("SeriesTime", DATOS3!$1:$1,0))=0,"",INDEX( DATOS3!$1:$19996,A349,MATCH("SeriesTime", DATOS3!$1:$1,0)))</f>
        <v>#N/A</v>
      </c>
      <c r="H349" t="e">
        <f>IF(INDEX( DATOS3!$1:$19996,A349,MATCH("StudyDescription", DATOS3!$1:$1,0))=0,"",INDEX( DATOS3!$1:$19996,A349,MATCH("StudyDescription", DATOS3!$1:$1,0)))</f>
        <v>#N/A</v>
      </c>
      <c r="I349" t="e">
        <f>IF(INDEX( DATOS3!$1:$19996,A349,MATCH("Dose_Area_Product_Total", DATOS3!$1:$1,0))=0,0,INDEX( DATOS3!$1:$19996,A349,MATCH("Dose_Area_Product", DATOS3!$1:$1,0)))</f>
        <v>#N/A</v>
      </c>
      <c r="J349" t="e">
        <f>IF(INDEX( DATOS3!$1:$19996,A349,MATCH("Dose_RP_Total", DATOS3!$1:$1,0))=0,0,INDEX( DATOS3!$1:$19996,A349,MATCH("Dose_RP", DATOS3!$1:$1,0)))</f>
        <v>#N/A</v>
      </c>
      <c r="K349" t="e">
        <f>IF(INDEX( DATOS3!$1:$19996,A349,MATCH("Total_Fluoro_Time", DATOS3!$1:$1,0))=0,0,INDEX( DATOS3!$1:$19996,A349,MATCH("Total_Fluoro_Time", DATOS3!$1:$1,0)))</f>
        <v>#N/A</v>
      </c>
    </row>
    <row r="350" spans="1:11" hidden="1" x14ac:dyDescent="0.25">
      <c r="A350">
        <v>350</v>
      </c>
      <c r="B350" t="e">
        <f t="shared" si="10"/>
        <v>#N/A</v>
      </c>
      <c r="C350" t="e">
        <f t="shared" si="11"/>
        <v>#N/A</v>
      </c>
      <c r="D350" t="e">
        <f>IF(INDEX( DATOS3!$1:$19996,A350,MATCH("PatientID", DATOS3!$1:$1,0))=0,"",INDEX( DATOS3!$1:$19996,A350,MATCH("PatientID", DATOS3!$1:$1,0)))</f>
        <v>#N/A</v>
      </c>
      <c r="F350" t="e">
        <f>IF(INDEX( DATOS3!$1:$19996,A350,MATCH("SeriesDate", DATOS3!$1:$1,0))=0,"",INDEX( DATOS3!$1:$19996,A350,MATCH("SeriesDate", DATOS3!$1:$1,0)))</f>
        <v>#N/A</v>
      </c>
      <c r="G350" t="e">
        <f>IF(INDEX( DATOS3!$1:$19996,A350,MATCH("SeriesTime", DATOS3!$1:$1,0))=0,"",INDEX( DATOS3!$1:$19996,A350,MATCH("SeriesTime", DATOS3!$1:$1,0)))</f>
        <v>#N/A</v>
      </c>
      <c r="H350" t="e">
        <f>IF(INDEX( DATOS3!$1:$19996,A350,MATCH("StudyDescription", DATOS3!$1:$1,0))=0,"",INDEX( DATOS3!$1:$19996,A350,MATCH("StudyDescription", DATOS3!$1:$1,0)))</f>
        <v>#N/A</v>
      </c>
      <c r="I350" t="e">
        <f>IF(INDEX( DATOS3!$1:$19996,A350,MATCH("Dose_Area_Product_Total", DATOS3!$1:$1,0))=0,0,INDEX( DATOS3!$1:$19996,A350,MATCH("Dose_Area_Product", DATOS3!$1:$1,0)))</f>
        <v>#N/A</v>
      </c>
      <c r="J350" t="e">
        <f>IF(INDEX( DATOS3!$1:$19996,A350,MATCH("Dose_RP_Total", DATOS3!$1:$1,0))=0,0,INDEX( DATOS3!$1:$19996,A350,MATCH("Dose_RP", DATOS3!$1:$1,0)))</f>
        <v>#N/A</v>
      </c>
      <c r="K350" t="e">
        <f>IF(INDEX( DATOS3!$1:$19996,A350,MATCH("Total_Fluoro_Time", DATOS3!$1:$1,0))=0,0,INDEX( DATOS3!$1:$19996,A350,MATCH("Total_Fluoro_Time", DATOS3!$1:$1,0)))</f>
        <v>#N/A</v>
      </c>
    </row>
    <row r="351" spans="1:11" hidden="1" x14ac:dyDescent="0.25">
      <c r="A351">
        <v>351</v>
      </c>
      <c r="B351" t="e">
        <f t="shared" si="10"/>
        <v>#N/A</v>
      </c>
      <c r="C351" t="e">
        <f t="shared" si="11"/>
        <v>#N/A</v>
      </c>
      <c r="D351" t="e">
        <f>IF(INDEX( DATOS3!$1:$19996,A351,MATCH("PatientID", DATOS3!$1:$1,0))=0,"",INDEX( DATOS3!$1:$19996,A351,MATCH("PatientID", DATOS3!$1:$1,0)))</f>
        <v>#N/A</v>
      </c>
      <c r="F351" t="e">
        <f>IF(INDEX( DATOS3!$1:$19996,A351,MATCH("SeriesDate", DATOS3!$1:$1,0))=0,"",INDEX( DATOS3!$1:$19996,A351,MATCH("SeriesDate", DATOS3!$1:$1,0)))</f>
        <v>#N/A</v>
      </c>
      <c r="G351" t="e">
        <f>IF(INDEX( DATOS3!$1:$19996,A351,MATCH("SeriesTime", DATOS3!$1:$1,0))=0,"",INDEX( DATOS3!$1:$19996,A351,MATCH("SeriesTime", DATOS3!$1:$1,0)))</f>
        <v>#N/A</v>
      </c>
      <c r="H351" t="e">
        <f>IF(INDEX( DATOS3!$1:$19996,A351,MATCH("StudyDescription", DATOS3!$1:$1,0))=0,"",INDEX( DATOS3!$1:$19996,A351,MATCH("StudyDescription", DATOS3!$1:$1,0)))</f>
        <v>#N/A</v>
      </c>
      <c r="I351" t="e">
        <f>IF(INDEX( DATOS3!$1:$19996,A351,MATCH("Dose_Area_Product_Total", DATOS3!$1:$1,0))=0,0,INDEX( DATOS3!$1:$19996,A351,MATCH("Dose_Area_Product", DATOS3!$1:$1,0)))</f>
        <v>#N/A</v>
      </c>
      <c r="J351" t="e">
        <f>IF(INDEX( DATOS3!$1:$19996,A351,MATCH("Dose_RP_Total", DATOS3!$1:$1,0))=0,0,INDEX( DATOS3!$1:$19996,A351,MATCH("Dose_RP", DATOS3!$1:$1,0)))</f>
        <v>#N/A</v>
      </c>
      <c r="K351" t="e">
        <f>IF(INDEX( DATOS3!$1:$19996,A351,MATCH("Total_Fluoro_Time", DATOS3!$1:$1,0))=0,0,INDEX( DATOS3!$1:$19996,A351,MATCH("Total_Fluoro_Time", DATOS3!$1:$1,0)))</f>
        <v>#N/A</v>
      </c>
    </row>
    <row r="352" spans="1:11" hidden="1" x14ac:dyDescent="0.25">
      <c r="A352">
        <v>352</v>
      </c>
      <c r="B352" t="e">
        <f t="shared" si="10"/>
        <v>#N/A</v>
      </c>
      <c r="C352" t="e">
        <f t="shared" si="11"/>
        <v>#N/A</v>
      </c>
      <c r="D352" t="e">
        <f>IF(INDEX( DATOS3!$1:$19996,A352,MATCH("PatientID", DATOS3!$1:$1,0))=0,"",INDEX( DATOS3!$1:$19996,A352,MATCH("PatientID", DATOS3!$1:$1,0)))</f>
        <v>#N/A</v>
      </c>
      <c r="F352" t="e">
        <f>IF(INDEX( DATOS3!$1:$19996,A352,MATCH("SeriesDate", DATOS3!$1:$1,0))=0,"",INDEX( DATOS3!$1:$19996,A352,MATCH("SeriesDate", DATOS3!$1:$1,0)))</f>
        <v>#N/A</v>
      </c>
      <c r="G352" t="e">
        <f>IF(INDEX( DATOS3!$1:$19996,A352,MATCH("SeriesTime", DATOS3!$1:$1,0))=0,"",INDEX( DATOS3!$1:$19996,A352,MATCH("SeriesTime", DATOS3!$1:$1,0)))</f>
        <v>#N/A</v>
      </c>
      <c r="H352" t="e">
        <f>IF(INDEX( DATOS3!$1:$19996,A352,MATCH("StudyDescription", DATOS3!$1:$1,0))=0,"",INDEX( DATOS3!$1:$19996,A352,MATCH("StudyDescription", DATOS3!$1:$1,0)))</f>
        <v>#N/A</v>
      </c>
      <c r="I352" t="e">
        <f>IF(INDEX( DATOS3!$1:$19996,A352,MATCH("Dose_Area_Product_Total", DATOS3!$1:$1,0))=0,0,INDEX( DATOS3!$1:$19996,A352,MATCH("Dose_Area_Product", DATOS3!$1:$1,0)))</f>
        <v>#N/A</v>
      </c>
      <c r="J352" t="e">
        <f>IF(INDEX( DATOS3!$1:$19996,A352,MATCH("Dose_RP_Total", DATOS3!$1:$1,0))=0,0,INDEX( DATOS3!$1:$19996,A352,MATCH("Dose_RP", DATOS3!$1:$1,0)))</f>
        <v>#N/A</v>
      </c>
      <c r="K352" t="e">
        <f>IF(INDEX( DATOS3!$1:$19996,A352,MATCH("Total_Fluoro_Time", DATOS3!$1:$1,0))=0,0,INDEX( DATOS3!$1:$19996,A352,MATCH("Total_Fluoro_Time", DATOS3!$1:$1,0)))</f>
        <v>#N/A</v>
      </c>
    </row>
    <row r="353" spans="1:11" hidden="1" x14ac:dyDescent="0.25">
      <c r="A353">
        <v>353</v>
      </c>
      <c r="B353" t="e">
        <f t="shared" si="10"/>
        <v>#N/A</v>
      </c>
      <c r="C353" t="e">
        <f t="shared" si="11"/>
        <v>#N/A</v>
      </c>
      <c r="D353" t="e">
        <f>IF(INDEX( DATOS3!$1:$19996,A353,MATCH("PatientID", DATOS3!$1:$1,0))=0,"",INDEX( DATOS3!$1:$19996,A353,MATCH("PatientID", DATOS3!$1:$1,0)))</f>
        <v>#N/A</v>
      </c>
      <c r="F353" t="e">
        <f>IF(INDEX( DATOS3!$1:$19996,A353,MATCH("SeriesDate", DATOS3!$1:$1,0))=0,"",INDEX( DATOS3!$1:$19996,A353,MATCH("SeriesDate", DATOS3!$1:$1,0)))</f>
        <v>#N/A</v>
      </c>
      <c r="G353" t="e">
        <f>IF(INDEX( DATOS3!$1:$19996,A353,MATCH("SeriesTime", DATOS3!$1:$1,0))=0,"",INDEX( DATOS3!$1:$19996,A353,MATCH("SeriesTime", DATOS3!$1:$1,0)))</f>
        <v>#N/A</v>
      </c>
      <c r="H353" t="e">
        <f>IF(INDEX( DATOS3!$1:$19996,A353,MATCH("StudyDescription", DATOS3!$1:$1,0))=0,"",INDEX( DATOS3!$1:$19996,A353,MATCH("StudyDescription", DATOS3!$1:$1,0)))</f>
        <v>#N/A</v>
      </c>
      <c r="I353" t="e">
        <f>IF(INDEX( DATOS3!$1:$19996,A353,MATCH("Dose_Area_Product_Total", DATOS3!$1:$1,0))=0,0,INDEX( DATOS3!$1:$19996,A353,MATCH("Dose_Area_Product", DATOS3!$1:$1,0)))</f>
        <v>#N/A</v>
      </c>
      <c r="J353" t="e">
        <f>IF(INDEX( DATOS3!$1:$19996,A353,MATCH("Dose_RP_Total", DATOS3!$1:$1,0))=0,0,INDEX( DATOS3!$1:$19996,A353,MATCH("Dose_RP", DATOS3!$1:$1,0)))</f>
        <v>#N/A</v>
      </c>
      <c r="K353" t="e">
        <f>IF(INDEX( DATOS3!$1:$19996,A353,MATCH("Total_Fluoro_Time", DATOS3!$1:$1,0))=0,0,INDEX( DATOS3!$1:$19996,A353,MATCH("Total_Fluoro_Time", DATOS3!$1:$1,0)))</f>
        <v>#N/A</v>
      </c>
    </row>
    <row r="354" spans="1:11" hidden="1" x14ac:dyDescent="0.25">
      <c r="A354">
        <v>354</v>
      </c>
      <c r="B354" t="e">
        <f t="shared" si="10"/>
        <v>#N/A</v>
      </c>
      <c r="C354" t="e">
        <f t="shared" si="11"/>
        <v>#N/A</v>
      </c>
      <c r="D354" t="e">
        <f>IF(INDEX( DATOS3!$1:$19996,A354,MATCH("PatientID", DATOS3!$1:$1,0))=0,"",INDEX( DATOS3!$1:$19996,A354,MATCH("PatientID", DATOS3!$1:$1,0)))</f>
        <v>#N/A</v>
      </c>
      <c r="F354" t="e">
        <f>IF(INDEX( DATOS3!$1:$19996,A354,MATCH("SeriesDate", DATOS3!$1:$1,0))=0,"",INDEX( DATOS3!$1:$19996,A354,MATCH("SeriesDate", DATOS3!$1:$1,0)))</f>
        <v>#N/A</v>
      </c>
      <c r="G354" t="e">
        <f>IF(INDEX( DATOS3!$1:$19996,A354,MATCH("SeriesTime", DATOS3!$1:$1,0))=0,"",INDEX( DATOS3!$1:$19996,A354,MATCH("SeriesTime", DATOS3!$1:$1,0)))</f>
        <v>#N/A</v>
      </c>
      <c r="H354" t="e">
        <f>IF(INDEX( DATOS3!$1:$19996,A354,MATCH("StudyDescription", DATOS3!$1:$1,0))=0,"",INDEX( DATOS3!$1:$19996,A354,MATCH("StudyDescription", DATOS3!$1:$1,0)))</f>
        <v>#N/A</v>
      </c>
      <c r="I354" t="e">
        <f>IF(INDEX( DATOS3!$1:$19996,A354,MATCH("Dose_Area_Product_Total", DATOS3!$1:$1,0))=0,0,INDEX( DATOS3!$1:$19996,A354,MATCH("Dose_Area_Product", DATOS3!$1:$1,0)))</f>
        <v>#N/A</v>
      </c>
      <c r="J354" t="e">
        <f>IF(INDEX( DATOS3!$1:$19996,A354,MATCH("Dose_RP_Total", DATOS3!$1:$1,0))=0,0,INDEX( DATOS3!$1:$19996,A354,MATCH("Dose_RP", DATOS3!$1:$1,0)))</f>
        <v>#N/A</v>
      </c>
      <c r="K354" t="e">
        <f>IF(INDEX( DATOS3!$1:$19996,A354,MATCH("Total_Fluoro_Time", DATOS3!$1:$1,0))=0,0,INDEX( DATOS3!$1:$19996,A354,MATCH("Total_Fluoro_Time", DATOS3!$1:$1,0)))</f>
        <v>#N/A</v>
      </c>
    </row>
    <row r="355" spans="1:11" hidden="1" x14ac:dyDescent="0.25">
      <c r="A355">
        <v>355</v>
      </c>
      <c r="B355" t="e">
        <f t="shared" si="10"/>
        <v>#N/A</v>
      </c>
      <c r="C355" t="e">
        <f t="shared" si="11"/>
        <v>#N/A</v>
      </c>
      <c r="D355" t="e">
        <f>IF(INDEX( DATOS3!$1:$19996,A355,MATCH("PatientID", DATOS3!$1:$1,0))=0,"",INDEX( DATOS3!$1:$19996,A355,MATCH("PatientID", DATOS3!$1:$1,0)))</f>
        <v>#N/A</v>
      </c>
      <c r="F355" t="e">
        <f>IF(INDEX( DATOS3!$1:$19996,A355,MATCH("SeriesDate", DATOS3!$1:$1,0))=0,"",INDEX( DATOS3!$1:$19996,A355,MATCH("SeriesDate", DATOS3!$1:$1,0)))</f>
        <v>#N/A</v>
      </c>
      <c r="G355" t="e">
        <f>IF(INDEX( DATOS3!$1:$19996,A355,MATCH("SeriesTime", DATOS3!$1:$1,0))=0,"",INDEX( DATOS3!$1:$19996,A355,MATCH("SeriesTime", DATOS3!$1:$1,0)))</f>
        <v>#N/A</v>
      </c>
      <c r="H355" t="e">
        <f>IF(INDEX( DATOS3!$1:$19996,A355,MATCH("StudyDescription", DATOS3!$1:$1,0))=0,"",INDEX( DATOS3!$1:$19996,A355,MATCH("StudyDescription", DATOS3!$1:$1,0)))</f>
        <v>#N/A</v>
      </c>
      <c r="I355" t="e">
        <f>IF(INDEX( DATOS3!$1:$19996,A355,MATCH("Dose_Area_Product_Total", DATOS3!$1:$1,0))=0,0,INDEX( DATOS3!$1:$19996,A355,MATCH("Dose_Area_Product", DATOS3!$1:$1,0)))</f>
        <v>#N/A</v>
      </c>
      <c r="J355" t="e">
        <f>IF(INDEX( DATOS3!$1:$19996,A355,MATCH("Dose_RP_Total", DATOS3!$1:$1,0))=0,0,INDEX( DATOS3!$1:$19996,A355,MATCH("Dose_RP", DATOS3!$1:$1,0)))</f>
        <v>#N/A</v>
      </c>
      <c r="K355" t="e">
        <f>IF(INDEX( DATOS3!$1:$19996,A355,MATCH("Total_Fluoro_Time", DATOS3!$1:$1,0))=0,0,INDEX( DATOS3!$1:$19996,A355,MATCH("Total_Fluoro_Time", DATOS3!$1:$1,0)))</f>
        <v>#N/A</v>
      </c>
    </row>
    <row r="356" spans="1:11" hidden="1" x14ac:dyDescent="0.25">
      <c r="A356">
        <v>356</v>
      </c>
      <c r="B356" t="e">
        <f t="shared" si="10"/>
        <v>#N/A</v>
      </c>
      <c r="C356" t="e">
        <f t="shared" si="11"/>
        <v>#N/A</v>
      </c>
      <c r="D356" t="e">
        <f>IF(INDEX( DATOS3!$1:$19996,A356,MATCH("PatientID", DATOS3!$1:$1,0))=0,"",INDEX( DATOS3!$1:$19996,A356,MATCH("PatientID", DATOS3!$1:$1,0)))</f>
        <v>#N/A</v>
      </c>
      <c r="F356" t="e">
        <f>IF(INDEX( DATOS3!$1:$19996,A356,MATCH("SeriesDate", DATOS3!$1:$1,0))=0,"",INDEX( DATOS3!$1:$19996,A356,MATCH("SeriesDate", DATOS3!$1:$1,0)))</f>
        <v>#N/A</v>
      </c>
      <c r="G356" t="e">
        <f>IF(INDEX( DATOS3!$1:$19996,A356,MATCH("SeriesTime", DATOS3!$1:$1,0))=0,"",INDEX( DATOS3!$1:$19996,A356,MATCH("SeriesTime", DATOS3!$1:$1,0)))</f>
        <v>#N/A</v>
      </c>
      <c r="H356" t="e">
        <f>IF(INDEX( DATOS3!$1:$19996,A356,MATCH("StudyDescription", DATOS3!$1:$1,0))=0,"",INDEX( DATOS3!$1:$19996,A356,MATCH("StudyDescription", DATOS3!$1:$1,0)))</f>
        <v>#N/A</v>
      </c>
      <c r="I356" t="e">
        <f>IF(INDEX( DATOS3!$1:$19996,A356,MATCH("Dose_Area_Product_Total", DATOS3!$1:$1,0))=0,0,INDEX( DATOS3!$1:$19996,A356,MATCH("Dose_Area_Product", DATOS3!$1:$1,0)))</f>
        <v>#N/A</v>
      </c>
      <c r="J356" t="e">
        <f>IF(INDEX( DATOS3!$1:$19996,A356,MATCH("Dose_RP_Total", DATOS3!$1:$1,0))=0,0,INDEX( DATOS3!$1:$19996,A356,MATCH("Dose_RP", DATOS3!$1:$1,0)))</f>
        <v>#N/A</v>
      </c>
      <c r="K356" t="e">
        <f>IF(INDEX( DATOS3!$1:$19996,A356,MATCH("Total_Fluoro_Time", DATOS3!$1:$1,0))=0,0,INDEX( DATOS3!$1:$19996,A356,MATCH("Total_Fluoro_Time", DATOS3!$1:$1,0)))</f>
        <v>#N/A</v>
      </c>
    </row>
    <row r="357" spans="1:11" hidden="1" x14ac:dyDescent="0.25">
      <c r="A357">
        <v>357</v>
      </c>
      <c r="B357" t="e">
        <f t="shared" si="10"/>
        <v>#N/A</v>
      </c>
      <c r="C357" t="e">
        <f t="shared" si="11"/>
        <v>#N/A</v>
      </c>
      <c r="D357" t="e">
        <f>IF(INDEX( DATOS3!$1:$19996,A357,MATCH("PatientID", DATOS3!$1:$1,0))=0,"",INDEX( DATOS3!$1:$19996,A357,MATCH("PatientID", DATOS3!$1:$1,0)))</f>
        <v>#N/A</v>
      </c>
      <c r="F357" t="e">
        <f>IF(INDEX( DATOS3!$1:$19996,A357,MATCH("SeriesDate", DATOS3!$1:$1,0))=0,"",INDEX( DATOS3!$1:$19996,A357,MATCH("SeriesDate", DATOS3!$1:$1,0)))</f>
        <v>#N/A</v>
      </c>
      <c r="G357" t="e">
        <f>IF(INDEX( DATOS3!$1:$19996,A357,MATCH("SeriesTime", DATOS3!$1:$1,0))=0,"",INDEX( DATOS3!$1:$19996,A357,MATCH("SeriesTime", DATOS3!$1:$1,0)))</f>
        <v>#N/A</v>
      </c>
      <c r="H357" t="e">
        <f>IF(INDEX( DATOS3!$1:$19996,A357,MATCH("StudyDescription", DATOS3!$1:$1,0))=0,"",INDEX( DATOS3!$1:$19996,A357,MATCH("StudyDescription", DATOS3!$1:$1,0)))</f>
        <v>#N/A</v>
      </c>
      <c r="I357" t="e">
        <f>IF(INDEX( DATOS3!$1:$19996,A357,MATCH("Dose_Area_Product_Total", DATOS3!$1:$1,0))=0,0,INDEX( DATOS3!$1:$19996,A357,MATCH("Dose_Area_Product", DATOS3!$1:$1,0)))</f>
        <v>#N/A</v>
      </c>
      <c r="J357" t="e">
        <f>IF(INDEX( DATOS3!$1:$19996,A357,MATCH("Dose_RP_Total", DATOS3!$1:$1,0))=0,0,INDEX( DATOS3!$1:$19996,A357,MATCH("Dose_RP", DATOS3!$1:$1,0)))</f>
        <v>#N/A</v>
      </c>
      <c r="K357" t="e">
        <f>IF(INDEX( DATOS3!$1:$19996,A357,MATCH("Total_Fluoro_Time", DATOS3!$1:$1,0))=0,0,INDEX( DATOS3!$1:$19996,A357,MATCH("Total_Fluoro_Time", DATOS3!$1:$1,0)))</f>
        <v>#N/A</v>
      </c>
    </row>
    <row r="358" spans="1:11" hidden="1" x14ac:dyDescent="0.25">
      <c r="A358">
        <v>358</v>
      </c>
      <c r="B358" t="e">
        <f t="shared" si="10"/>
        <v>#N/A</v>
      </c>
      <c r="C358" t="e">
        <f t="shared" si="11"/>
        <v>#N/A</v>
      </c>
      <c r="D358" t="e">
        <f>IF(INDEX( DATOS3!$1:$19996,A358,MATCH("PatientID", DATOS3!$1:$1,0))=0,"",INDEX( DATOS3!$1:$19996,A358,MATCH("PatientID", DATOS3!$1:$1,0)))</f>
        <v>#N/A</v>
      </c>
      <c r="F358" t="e">
        <f>IF(INDEX( DATOS3!$1:$19996,A358,MATCH("SeriesDate", DATOS3!$1:$1,0))=0,"",INDEX( DATOS3!$1:$19996,A358,MATCH("SeriesDate", DATOS3!$1:$1,0)))</f>
        <v>#N/A</v>
      </c>
      <c r="G358" t="e">
        <f>IF(INDEX( DATOS3!$1:$19996,A358,MATCH("SeriesTime", DATOS3!$1:$1,0))=0,"",INDEX( DATOS3!$1:$19996,A358,MATCH("SeriesTime", DATOS3!$1:$1,0)))</f>
        <v>#N/A</v>
      </c>
      <c r="H358" t="e">
        <f>IF(INDEX( DATOS3!$1:$19996,A358,MATCH("StudyDescription", DATOS3!$1:$1,0))=0,"",INDEX( DATOS3!$1:$19996,A358,MATCH("StudyDescription", DATOS3!$1:$1,0)))</f>
        <v>#N/A</v>
      </c>
      <c r="I358" t="e">
        <f>IF(INDEX( DATOS3!$1:$19996,A358,MATCH("Dose_Area_Product_Total", DATOS3!$1:$1,0))=0,0,INDEX( DATOS3!$1:$19996,A358,MATCH("Dose_Area_Product", DATOS3!$1:$1,0)))</f>
        <v>#N/A</v>
      </c>
      <c r="J358" t="e">
        <f>IF(INDEX( DATOS3!$1:$19996,A358,MATCH("Dose_RP_Total", DATOS3!$1:$1,0))=0,0,INDEX( DATOS3!$1:$19996,A358,MATCH("Dose_RP", DATOS3!$1:$1,0)))</f>
        <v>#N/A</v>
      </c>
      <c r="K358" t="e">
        <f>IF(INDEX( DATOS3!$1:$19996,A358,MATCH("Total_Fluoro_Time", DATOS3!$1:$1,0))=0,0,INDEX( DATOS3!$1:$19996,A358,MATCH("Total_Fluoro_Time", DATOS3!$1:$1,0)))</f>
        <v>#N/A</v>
      </c>
    </row>
    <row r="359" spans="1:11" hidden="1" x14ac:dyDescent="0.25">
      <c r="A359">
        <v>359</v>
      </c>
      <c r="B359" t="e">
        <f t="shared" si="10"/>
        <v>#N/A</v>
      </c>
      <c r="C359" t="e">
        <f t="shared" si="11"/>
        <v>#N/A</v>
      </c>
      <c r="D359" t="e">
        <f>IF(INDEX( DATOS3!$1:$19996,A359,MATCH("PatientID", DATOS3!$1:$1,0))=0,"",INDEX( DATOS3!$1:$19996,A359,MATCH("PatientID", DATOS3!$1:$1,0)))</f>
        <v>#N/A</v>
      </c>
      <c r="F359" t="e">
        <f>IF(INDEX( DATOS3!$1:$19996,A359,MATCH("SeriesDate", DATOS3!$1:$1,0))=0,"",INDEX( DATOS3!$1:$19996,A359,MATCH("SeriesDate", DATOS3!$1:$1,0)))</f>
        <v>#N/A</v>
      </c>
      <c r="G359" t="e">
        <f>IF(INDEX( DATOS3!$1:$19996,A359,MATCH("SeriesTime", DATOS3!$1:$1,0))=0,"",INDEX( DATOS3!$1:$19996,A359,MATCH("SeriesTime", DATOS3!$1:$1,0)))</f>
        <v>#N/A</v>
      </c>
      <c r="H359" t="e">
        <f>IF(INDEX( DATOS3!$1:$19996,A359,MATCH("StudyDescription", DATOS3!$1:$1,0))=0,"",INDEX( DATOS3!$1:$19996,A359,MATCH("StudyDescription", DATOS3!$1:$1,0)))</f>
        <v>#N/A</v>
      </c>
      <c r="I359" t="e">
        <f>IF(INDEX( DATOS3!$1:$19996,A359,MATCH("Dose_Area_Product_Total", DATOS3!$1:$1,0))=0,0,INDEX( DATOS3!$1:$19996,A359,MATCH("Dose_Area_Product", DATOS3!$1:$1,0)))</f>
        <v>#N/A</v>
      </c>
      <c r="J359" t="e">
        <f>IF(INDEX( DATOS3!$1:$19996,A359,MATCH("Dose_RP_Total", DATOS3!$1:$1,0))=0,0,INDEX( DATOS3!$1:$19996,A359,MATCH("Dose_RP", DATOS3!$1:$1,0)))</f>
        <v>#N/A</v>
      </c>
      <c r="K359" t="e">
        <f>IF(INDEX( DATOS3!$1:$19996,A359,MATCH("Total_Fluoro_Time", DATOS3!$1:$1,0))=0,0,INDEX( DATOS3!$1:$19996,A359,MATCH("Total_Fluoro_Time", DATOS3!$1:$1,0)))</f>
        <v>#N/A</v>
      </c>
    </row>
    <row r="360" spans="1:11" hidden="1" x14ac:dyDescent="0.25">
      <c r="A360">
        <v>360</v>
      </c>
      <c r="B360" t="e">
        <f t="shared" si="10"/>
        <v>#N/A</v>
      </c>
      <c r="C360" t="e">
        <f t="shared" si="11"/>
        <v>#N/A</v>
      </c>
      <c r="D360" t="e">
        <f>IF(INDEX( DATOS3!$1:$19996,A360,MATCH("PatientID", DATOS3!$1:$1,0))=0,"",INDEX( DATOS3!$1:$19996,A360,MATCH("PatientID", DATOS3!$1:$1,0)))</f>
        <v>#N/A</v>
      </c>
      <c r="F360" t="e">
        <f>IF(INDEX( DATOS3!$1:$19996,A360,MATCH("SeriesDate", DATOS3!$1:$1,0))=0,"",INDEX( DATOS3!$1:$19996,A360,MATCH("SeriesDate", DATOS3!$1:$1,0)))</f>
        <v>#N/A</v>
      </c>
      <c r="G360" t="e">
        <f>IF(INDEX( DATOS3!$1:$19996,A360,MATCH("SeriesTime", DATOS3!$1:$1,0))=0,"",INDEX( DATOS3!$1:$19996,A360,MATCH("SeriesTime", DATOS3!$1:$1,0)))</f>
        <v>#N/A</v>
      </c>
      <c r="H360" t="e">
        <f>IF(INDEX( DATOS3!$1:$19996,A360,MATCH("StudyDescription", DATOS3!$1:$1,0))=0,"",INDEX( DATOS3!$1:$19996,A360,MATCH("StudyDescription", DATOS3!$1:$1,0)))</f>
        <v>#N/A</v>
      </c>
      <c r="I360" t="e">
        <f>IF(INDEX( DATOS3!$1:$19996,A360,MATCH("Dose_Area_Product_Total", DATOS3!$1:$1,0))=0,0,INDEX( DATOS3!$1:$19996,A360,MATCH("Dose_Area_Product", DATOS3!$1:$1,0)))</f>
        <v>#N/A</v>
      </c>
      <c r="J360" t="e">
        <f>IF(INDEX( DATOS3!$1:$19996,A360,MATCH("Dose_RP_Total", DATOS3!$1:$1,0))=0,0,INDEX( DATOS3!$1:$19996,A360,MATCH("Dose_RP", DATOS3!$1:$1,0)))</f>
        <v>#N/A</v>
      </c>
      <c r="K360" t="e">
        <f>IF(INDEX( DATOS3!$1:$19996,A360,MATCH("Total_Fluoro_Time", DATOS3!$1:$1,0))=0,0,INDEX( DATOS3!$1:$19996,A360,MATCH("Total_Fluoro_Time", DATOS3!$1:$1,0)))</f>
        <v>#N/A</v>
      </c>
    </row>
    <row r="361" spans="1:11" hidden="1" x14ac:dyDescent="0.25">
      <c r="A361">
        <v>361</v>
      </c>
      <c r="B361" t="e">
        <f t="shared" si="10"/>
        <v>#N/A</v>
      </c>
      <c r="C361" t="e">
        <f t="shared" si="11"/>
        <v>#N/A</v>
      </c>
      <c r="D361" t="e">
        <f>IF(INDEX( DATOS3!$1:$19996,A361,MATCH("PatientID", DATOS3!$1:$1,0))=0,"",INDEX( DATOS3!$1:$19996,A361,MATCH("PatientID", DATOS3!$1:$1,0)))</f>
        <v>#N/A</v>
      </c>
      <c r="F361" t="e">
        <f>IF(INDEX( DATOS3!$1:$19996,A361,MATCH("SeriesDate", DATOS3!$1:$1,0))=0,"",INDEX( DATOS3!$1:$19996,A361,MATCH("SeriesDate", DATOS3!$1:$1,0)))</f>
        <v>#N/A</v>
      </c>
      <c r="G361" t="e">
        <f>IF(INDEX( DATOS3!$1:$19996,A361,MATCH("SeriesTime", DATOS3!$1:$1,0))=0,"",INDEX( DATOS3!$1:$19996,A361,MATCH("SeriesTime", DATOS3!$1:$1,0)))</f>
        <v>#N/A</v>
      </c>
      <c r="H361" t="e">
        <f>IF(INDEX( DATOS3!$1:$19996,A361,MATCH("StudyDescription", DATOS3!$1:$1,0))=0,"",INDEX( DATOS3!$1:$19996,A361,MATCH("StudyDescription", DATOS3!$1:$1,0)))</f>
        <v>#N/A</v>
      </c>
      <c r="I361" t="e">
        <f>IF(INDEX( DATOS3!$1:$19996,A361,MATCH("Dose_Area_Product_Total", DATOS3!$1:$1,0))=0,0,INDEX( DATOS3!$1:$19996,A361,MATCH("Dose_Area_Product", DATOS3!$1:$1,0)))</f>
        <v>#N/A</v>
      </c>
      <c r="J361" t="e">
        <f>IF(INDEX( DATOS3!$1:$19996,A361,MATCH("Dose_RP_Total", DATOS3!$1:$1,0))=0,0,INDEX( DATOS3!$1:$19996,A361,MATCH("Dose_RP", DATOS3!$1:$1,0)))</f>
        <v>#N/A</v>
      </c>
      <c r="K361" t="e">
        <f>IF(INDEX( DATOS3!$1:$19996,A361,MATCH("Total_Fluoro_Time", DATOS3!$1:$1,0))=0,0,INDEX( DATOS3!$1:$19996,A361,MATCH("Total_Fluoro_Time", DATOS3!$1:$1,0)))</f>
        <v>#N/A</v>
      </c>
    </row>
    <row r="362" spans="1:11" hidden="1" x14ac:dyDescent="0.25">
      <c r="A362">
        <v>362</v>
      </c>
      <c r="B362" t="e">
        <f t="shared" si="10"/>
        <v>#N/A</v>
      </c>
      <c r="C362" t="e">
        <f t="shared" si="11"/>
        <v>#N/A</v>
      </c>
      <c r="D362" t="e">
        <f>IF(INDEX( DATOS3!$1:$19996,A362,MATCH("PatientID", DATOS3!$1:$1,0))=0,"",INDEX( DATOS3!$1:$19996,A362,MATCH("PatientID", DATOS3!$1:$1,0)))</f>
        <v>#N/A</v>
      </c>
      <c r="F362" t="e">
        <f>IF(INDEX( DATOS3!$1:$19996,A362,MATCH("SeriesDate", DATOS3!$1:$1,0))=0,"",INDEX( DATOS3!$1:$19996,A362,MATCH("SeriesDate", DATOS3!$1:$1,0)))</f>
        <v>#N/A</v>
      </c>
      <c r="G362" t="e">
        <f>IF(INDEX( DATOS3!$1:$19996,A362,MATCH("SeriesTime", DATOS3!$1:$1,0))=0,"",INDEX( DATOS3!$1:$19996,A362,MATCH("SeriesTime", DATOS3!$1:$1,0)))</f>
        <v>#N/A</v>
      </c>
      <c r="H362" t="e">
        <f>IF(INDEX( DATOS3!$1:$19996,A362,MATCH("StudyDescription", DATOS3!$1:$1,0))=0,"",INDEX( DATOS3!$1:$19996,A362,MATCH("StudyDescription", DATOS3!$1:$1,0)))</f>
        <v>#N/A</v>
      </c>
      <c r="I362" t="e">
        <f>IF(INDEX( DATOS3!$1:$19996,A362,MATCH("Dose_Area_Product_Total", DATOS3!$1:$1,0))=0,0,INDEX( DATOS3!$1:$19996,A362,MATCH("Dose_Area_Product", DATOS3!$1:$1,0)))</f>
        <v>#N/A</v>
      </c>
      <c r="J362" t="e">
        <f>IF(INDEX( DATOS3!$1:$19996,A362,MATCH("Dose_RP_Total", DATOS3!$1:$1,0))=0,0,INDEX( DATOS3!$1:$19996,A362,MATCH("Dose_RP", DATOS3!$1:$1,0)))</f>
        <v>#N/A</v>
      </c>
      <c r="K362" t="e">
        <f>IF(INDEX( DATOS3!$1:$19996,A362,MATCH("Total_Fluoro_Time", DATOS3!$1:$1,0))=0,0,INDEX( DATOS3!$1:$19996,A362,MATCH("Total_Fluoro_Time", DATOS3!$1:$1,0)))</f>
        <v>#N/A</v>
      </c>
    </row>
    <row r="363" spans="1:11" hidden="1" x14ac:dyDescent="0.25">
      <c r="A363">
        <v>363</v>
      </c>
      <c r="B363" t="e">
        <f t="shared" si="10"/>
        <v>#N/A</v>
      </c>
      <c r="C363" t="e">
        <f t="shared" si="11"/>
        <v>#N/A</v>
      </c>
      <c r="D363" t="e">
        <f>IF(INDEX( DATOS3!$1:$19996,A363,MATCH("PatientID", DATOS3!$1:$1,0))=0,"",INDEX( DATOS3!$1:$19996,A363,MATCH("PatientID", DATOS3!$1:$1,0)))</f>
        <v>#N/A</v>
      </c>
      <c r="F363" t="e">
        <f>IF(INDEX( DATOS3!$1:$19996,A363,MATCH("SeriesDate", DATOS3!$1:$1,0))=0,"",INDEX( DATOS3!$1:$19996,A363,MATCH("SeriesDate", DATOS3!$1:$1,0)))</f>
        <v>#N/A</v>
      </c>
      <c r="G363" t="e">
        <f>IF(INDEX( DATOS3!$1:$19996,A363,MATCH("SeriesTime", DATOS3!$1:$1,0))=0,"",INDEX( DATOS3!$1:$19996,A363,MATCH("SeriesTime", DATOS3!$1:$1,0)))</f>
        <v>#N/A</v>
      </c>
      <c r="H363" t="e">
        <f>IF(INDEX( DATOS3!$1:$19996,A363,MATCH("StudyDescription", DATOS3!$1:$1,0))=0,"",INDEX( DATOS3!$1:$19996,A363,MATCH("StudyDescription", DATOS3!$1:$1,0)))</f>
        <v>#N/A</v>
      </c>
      <c r="I363" t="e">
        <f>IF(INDEX( DATOS3!$1:$19996,A363,MATCH("Dose_Area_Product_Total", DATOS3!$1:$1,0))=0,0,INDEX( DATOS3!$1:$19996,A363,MATCH("Dose_Area_Product", DATOS3!$1:$1,0)))</f>
        <v>#N/A</v>
      </c>
      <c r="J363" t="e">
        <f>IF(INDEX( DATOS3!$1:$19996,A363,MATCH("Dose_RP_Total", DATOS3!$1:$1,0))=0,0,INDEX( DATOS3!$1:$19996,A363,MATCH("Dose_RP", DATOS3!$1:$1,0)))</f>
        <v>#N/A</v>
      </c>
      <c r="K363" t="e">
        <f>IF(INDEX( DATOS3!$1:$19996,A363,MATCH("Total_Fluoro_Time", DATOS3!$1:$1,0))=0,0,INDEX( DATOS3!$1:$19996,A363,MATCH("Total_Fluoro_Time", DATOS3!$1:$1,0)))</f>
        <v>#N/A</v>
      </c>
    </row>
    <row r="364" spans="1:11" hidden="1" x14ac:dyDescent="0.25">
      <c r="A364">
        <v>364</v>
      </c>
      <c r="B364" t="e">
        <f t="shared" si="10"/>
        <v>#N/A</v>
      </c>
      <c r="C364" t="e">
        <f t="shared" si="11"/>
        <v>#N/A</v>
      </c>
      <c r="D364" t="e">
        <f>IF(INDEX( DATOS3!$1:$19996,A364,MATCH("PatientID", DATOS3!$1:$1,0))=0,"",INDEX( DATOS3!$1:$19996,A364,MATCH("PatientID", DATOS3!$1:$1,0)))</f>
        <v>#N/A</v>
      </c>
      <c r="F364" t="e">
        <f>IF(INDEX( DATOS3!$1:$19996,A364,MATCH("SeriesDate", DATOS3!$1:$1,0))=0,"",INDEX( DATOS3!$1:$19996,A364,MATCH("SeriesDate", DATOS3!$1:$1,0)))</f>
        <v>#N/A</v>
      </c>
      <c r="G364" t="e">
        <f>IF(INDEX( DATOS3!$1:$19996,A364,MATCH("SeriesTime", DATOS3!$1:$1,0))=0,"",INDEX( DATOS3!$1:$19996,A364,MATCH("SeriesTime", DATOS3!$1:$1,0)))</f>
        <v>#N/A</v>
      </c>
      <c r="H364" t="e">
        <f>IF(INDEX( DATOS3!$1:$19996,A364,MATCH("StudyDescription", DATOS3!$1:$1,0))=0,"",INDEX( DATOS3!$1:$19996,A364,MATCH("StudyDescription", DATOS3!$1:$1,0)))</f>
        <v>#N/A</v>
      </c>
      <c r="I364" t="e">
        <f>IF(INDEX( DATOS3!$1:$19996,A364,MATCH("Dose_Area_Product_Total", DATOS3!$1:$1,0))=0,0,INDEX( DATOS3!$1:$19996,A364,MATCH("Dose_Area_Product", DATOS3!$1:$1,0)))</f>
        <v>#N/A</v>
      </c>
      <c r="J364" t="e">
        <f>IF(INDEX( DATOS3!$1:$19996,A364,MATCH("Dose_RP_Total", DATOS3!$1:$1,0))=0,0,INDEX( DATOS3!$1:$19996,A364,MATCH("Dose_RP", DATOS3!$1:$1,0)))</f>
        <v>#N/A</v>
      </c>
      <c r="K364" t="e">
        <f>IF(INDEX( DATOS3!$1:$19996,A364,MATCH("Total_Fluoro_Time", DATOS3!$1:$1,0))=0,0,INDEX( DATOS3!$1:$19996,A364,MATCH("Total_Fluoro_Time", DATOS3!$1:$1,0)))</f>
        <v>#N/A</v>
      </c>
    </row>
    <row r="365" spans="1:11" hidden="1" x14ac:dyDescent="0.25">
      <c r="A365">
        <v>365</v>
      </c>
      <c r="B365" t="e">
        <f t="shared" si="10"/>
        <v>#N/A</v>
      </c>
      <c r="C365" t="e">
        <f t="shared" si="11"/>
        <v>#N/A</v>
      </c>
      <c r="D365" t="e">
        <f>IF(INDEX( DATOS3!$1:$19996,A365,MATCH("PatientID", DATOS3!$1:$1,0))=0,"",INDEX( DATOS3!$1:$19996,A365,MATCH("PatientID", DATOS3!$1:$1,0)))</f>
        <v>#N/A</v>
      </c>
      <c r="F365" t="e">
        <f>IF(INDEX( DATOS3!$1:$19996,A365,MATCH("SeriesDate", DATOS3!$1:$1,0))=0,"",INDEX( DATOS3!$1:$19996,A365,MATCH("SeriesDate", DATOS3!$1:$1,0)))</f>
        <v>#N/A</v>
      </c>
      <c r="G365" t="e">
        <f>IF(INDEX( DATOS3!$1:$19996,A365,MATCH("SeriesTime", DATOS3!$1:$1,0))=0,"",INDEX( DATOS3!$1:$19996,A365,MATCH("SeriesTime", DATOS3!$1:$1,0)))</f>
        <v>#N/A</v>
      </c>
      <c r="H365" t="e">
        <f>IF(INDEX( DATOS3!$1:$19996,A365,MATCH("StudyDescription", DATOS3!$1:$1,0))=0,"",INDEX( DATOS3!$1:$19996,A365,MATCH("StudyDescription", DATOS3!$1:$1,0)))</f>
        <v>#N/A</v>
      </c>
      <c r="I365" t="e">
        <f>IF(INDEX( DATOS3!$1:$19996,A365,MATCH("Dose_Area_Product_Total", DATOS3!$1:$1,0))=0,0,INDEX( DATOS3!$1:$19996,A365,MATCH("Dose_Area_Product", DATOS3!$1:$1,0)))</f>
        <v>#N/A</v>
      </c>
      <c r="J365" t="e">
        <f>IF(INDEX( DATOS3!$1:$19996,A365,MATCH("Dose_RP_Total", DATOS3!$1:$1,0))=0,0,INDEX( DATOS3!$1:$19996,A365,MATCH("Dose_RP", DATOS3!$1:$1,0)))</f>
        <v>#N/A</v>
      </c>
      <c r="K365" t="e">
        <f>IF(INDEX( DATOS3!$1:$19996,A365,MATCH("Total_Fluoro_Time", DATOS3!$1:$1,0))=0,0,INDEX( DATOS3!$1:$19996,A365,MATCH("Total_Fluoro_Time", DATOS3!$1:$1,0)))</f>
        <v>#N/A</v>
      </c>
    </row>
    <row r="366" spans="1:11" hidden="1" x14ac:dyDescent="0.25">
      <c r="A366">
        <v>366</v>
      </c>
      <c r="B366" t="e">
        <f t="shared" si="10"/>
        <v>#N/A</v>
      </c>
      <c r="C366" t="e">
        <f t="shared" si="11"/>
        <v>#N/A</v>
      </c>
      <c r="D366" t="e">
        <f>IF(INDEX( DATOS3!$1:$19996,A366,MATCH("PatientID", DATOS3!$1:$1,0))=0,"",INDEX( DATOS3!$1:$19996,A366,MATCH("PatientID", DATOS3!$1:$1,0)))</f>
        <v>#N/A</v>
      </c>
      <c r="F366" t="e">
        <f>IF(INDEX( DATOS3!$1:$19996,A366,MATCH("SeriesDate", DATOS3!$1:$1,0))=0,"",INDEX( DATOS3!$1:$19996,A366,MATCH("SeriesDate", DATOS3!$1:$1,0)))</f>
        <v>#N/A</v>
      </c>
      <c r="G366" t="e">
        <f>IF(INDEX( DATOS3!$1:$19996,A366,MATCH("SeriesTime", DATOS3!$1:$1,0))=0,"",INDEX( DATOS3!$1:$19996,A366,MATCH("SeriesTime", DATOS3!$1:$1,0)))</f>
        <v>#N/A</v>
      </c>
      <c r="H366" t="e">
        <f>IF(INDEX( DATOS3!$1:$19996,A366,MATCH("StudyDescription", DATOS3!$1:$1,0))=0,"",INDEX( DATOS3!$1:$19996,A366,MATCH("StudyDescription", DATOS3!$1:$1,0)))</f>
        <v>#N/A</v>
      </c>
      <c r="I366" t="e">
        <f>IF(INDEX( DATOS3!$1:$19996,A366,MATCH("Dose_Area_Product_Total", DATOS3!$1:$1,0))=0,0,INDEX( DATOS3!$1:$19996,A366,MATCH("Dose_Area_Product", DATOS3!$1:$1,0)))</f>
        <v>#N/A</v>
      </c>
      <c r="J366" t="e">
        <f>IF(INDEX( DATOS3!$1:$19996,A366,MATCH("Dose_RP_Total", DATOS3!$1:$1,0))=0,0,INDEX( DATOS3!$1:$19996,A366,MATCH("Dose_RP", DATOS3!$1:$1,0)))</f>
        <v>#N/A</v>
      </c>
      <c r="K366" t="e">
        <f>IF(INDEX( DATOS3!$1:$19996,A366,MATCH("Total_Fluoro_Time", DATOS3!$1:$1,0))=0,0,INDEX( DATOS3!$1:$19996,A366,MATCH("Total_Fluoro_Time", DATOS3!$1:$1,0)))</f>
        <v>#N/A</v>
      </c>
    </row>
    <row r="367" spans="1:11" hidden="1" x14ac:dyDescent="0.25">
      <c r="A367">
        <v>367</v>
      </c>
      <c r="B367" t="e">
        <f t="shared" si="10"/>
        <v>#N/A</v>
      </c>
      <c r="C367" t="e">
        <f t="shared" si="11"/>
        <v>#N/A</v>
      </c>
      <c r="D367" t="e">
        <f>IF(INDEX( DATOS3!$1:$19996,A367,MATCH("PatientID", DATOS3!$1:$1,0))=0,"",INDEX( DATOS3!$1:$19996,A367,MATCH("PatientID", DATOS3!$1:$1,0)))</f>
        <v>#N/A</v>
      </c>
      <c r="F367" t="e">
        <f>IF(INDEX( DATOS3!$1:$19996,A367,MATCH("SeriesDate", DATOS3!$1:$1,0))=0,"",INDEX( DATOS3!$1:$19996,A367,MATCH("SeriesDate", DATOS3!$1:$1,0)))</f>
        <v>#N/A</v>
      </c>
      <c r="G367" t="e">
        <f>IF(INDEX( DATOS3!$1:$19996,A367,MATCH("SeriesTime", DATOS3!$1:$1,0))=0,"",INDEX( DATOS3!$1:$19996,A367,MATCH("SeriesTime", DATOS3!$1:$1,0)))</f>
        <v>#N/A</v>
      </c>
      <c r="H367" t="e">
        <f>IF(INDEX( DATOS3!$1:$19996,A367,MATCH("StudyDescription", DATOS3!$1:$1,0))=0,"",INDEX( DATOS3!$1:$19996,A367,MATCH("StudyDescription", DATOS3!$1:$1,0)))</f>
        <v>#N/A</v>
      </c>
      <c r="I367" t="e">
        <f>IF(INDEX( DATOS3!$1:$19996,A367,MATCH("Dose_Area_Product_Total", DATOS3!$1:$1,0))=0,0,INDEX( DATOS3!$1:$19996,A367,MATCH("Dose_Area_Product", DATOS3!$1:$1,0)))</f>
        <v>#N/A</v>
      </c>
      <c r="J367" t="e">
        <f>IF(INDEX( DATOS3!$1:$19996,A367,MATCH("Dose_RP_Total", DATOS3!$1:$1,0))=0,0,INDEX( DATOS3!$1:$19996,A367,MATCH("Dose_RP", DATOS3!$1:$1,0)))</f>
        <v>#N/A</v>
      </c>
      <c r="K367" t="e">
        <f>IF(INDEX( DATOS3!$1:$19996,A367,MATCH("Total_Fluoro_Time", DATOS3!$1:$1,0))=0,0,INDEX( DATOS3!$1:$19996,A367,MATCH("Total_Fluoro_Time", DATOS3!$1:$1,0)))</f>
        <v>#N/A</v>
      </c>
    </row>
    <row r="368" spans="1:11" hidden="1" x14ac:dyDescent="0.25">
      <c r="A368">
        <v>368</v>
      </c>
      <c r="B368" t="e">
        <f t="shared" si="10"/>
        <v>#N/A</v>
      </c>
      <c r="C368" t="e">
        <f t="shared" si="11"/>
        <v>#N/A</v>
      </c>
      <c r="D368" t="e">
        <f>IF(INDEX( DATOS3!$1:$19996,A368,MATCH("PatientID", DATOS3!$1:$1,0))=0,"",INDEX( DATOS3!$1:$19996,A368,MATCH("PatientID", DATOS3!$1:$1,0)))</f>
        <v>#N/A</v>
      </c>
      <c r="F368" t="e">
        <f>IF(INDEX( DATOS3!$1:$19996,A368,MATCH("SeriesDate", DATOS3!$1:$1,0))=0,"",INDEX( DATOS3!$1:$19996,A368,MATCH("SeriesDate", DATOS3!$1:$1,0)))</f>
        <v>#N/A</v>
      </c>
      <c r="G368" t="e">
        <f>IF(INDEX( DATOS3!$1:$19996,A368,MATCH("SeriesTime", DATOS3!$1:$1,0))=0,"",INDEX( DATOS3!$1:$19996,A368,MATCH("SeriesTime", DATOS3!$1:$1,0)))</f>
        <v>#N/A</v>
      </c>
      <c r="H368" t="e">
        <f>IF(INDEX( DATOS3!$1:$19996,A368,MATCH("StudyDescription", DATOS3!$1:$1,0))=0,"",INDEX( DATOS3!$1:$19996,A368,MATCH("StudyDescription", DATOS3!$1:$1,0)))</f>
        <v>#N/A</v>
      </c>
      <c r="I368" t="e">
        <f>IF(INDEX( DATOS3!$1:$19996,A368,MATCH("Dose_Area_Product_Total", DATOS3!$1:$1,0))=0,0,INDEX( DATOS3!$1:$19996,A368,MATCH("Dose_Area_Product", DATOS3!$1:$1,0)))</f>
        <v>#N/A</v>
      </c>
      <c r="J368" t="e">
        <f>IF(INDEX( DATOS3!$1:$19996,A368,MATCH("Dose_RP_Total", DATOS3!$1:$1,0))=0,0,INDEX( DATOS3!$1:$19996,A368,MATCH("Dose_RP", DATOS3!$1:$1,0)))</f>
        <v>#N/A</v>
      </c>
      <c r="K368" t="e">
        <f>IF(INDEX( DATOS3!$1:$19996,A368,MATCH("Total_Fluoro_Time", DATOS3!$1:$1,0))=0,0,INDEX( DATOS3!$1:$19996,A368,MATCH("Total_Fluoro_Time", DATOS3!$1:$1,0)))</f>
        <v>#N/A</v>
      </c>
    </row>
    <row r="369" spans="1:11" hidden="1" x14ac:dyDescent="0.25">
      <c r="A369">
        <v>369</v>
      </c>
      <c r="B369" t="e">
        <f t="shared" si="10"/>
        <v>#N/A</v>
      </c>
      <c r="C369" t="e">
        <f t="shared" si="11"/>
        <v>#N/A</v>
      </c>
      <c r="D369" t="e">
        <f>IF(INDEX( DATOS3!$1:$19996,A369,MATCH("PatientID", DATOS3!$1:$1,0))=0,"",INDEX( DATOS3!$1:$19996,A369,MATCH("PatientID", DATOS3!$1:$1,0)))</f>
        <v>#N/A</v>
      </c>
      <c r="F369" t="e">
        <f>IF(INDEX( DATOS3!$1:$19996,A369,MATCH("SeriesDate", DATOS3!$1:$1,0))=0,"",INDEX( DATOS3!$1:$19996,A369,MATCH("SeriesDate", DATOS3!$1:$1,0)))</f>
        <v>#N/A</v>
      </c>
      <c r="G369" t="e">
        <f>IF(INDEX( DATOS3!$1:$19996,A369,MATCH("SeriesTime", DATOS3!$1:$1,0))=0,"",INDEX( DATOS3!$1:$19996,A369,MATCH("SeriesTime", DATOS3!$1:$1,0)))</f>
        <v>#N/A</v>
      </c>
      <c r="H369" t="e">
        <f>IF(INDEX( DATOS3!$1:$19996,A369,MATCH("StudyDescription", DATOS3!$1:$1,0))=0,"",INDEX( DATOS3!$1:$19996,A369,MATCH("StudyDescription", DATOS3!$1:$1,0)))</f>
        <v>#N/A</v>
      </c>
      <c r="I369" t="e">
        <f>IF(INDEX( DATOS3!$1:$19996,A369,MATCH("Dose_Area_Product_Total", DATOS3!$1:$1,0))=0,0,INDEX( DATOS3!$1:$19996,A369,MATCH("Dose_Area_Product", DATOS3!$1:$1,0)))</f>
        <v>#N/A</v>
      </c>
      <c r="J369" t="e">
        <f>IF(INDEX( DATOS3!$1:$19996,A369,MATCH("Dose_RP_Total", DATOS3!$1:$1,0))=0,0,INDEX( DATOS3!$1:$19996,A369,MATCH("Dose_RP", DATOS3!$1:$1,0)))</f>
        <v>#N/A</v>
      </c>
      <c r="K369" t="e">
        <f>IF(INDEX( DATOS3!$1:$19996,A369,MATCH("Total_Fluoro_Time", DATOS3!$1:$1,0))=0,0,INDEX( DATOS3!$1:$19996,A369,MATCH("Total_Fluoro_Time", DATOS3!$1:$1,0)))</f>
        <v>#N/A</v>
      </c>
    </row>
    <row r="370" spans="1:11" hidden="1" x14ac:dyDescent="0.25">
      <c r="A370">
        <v>370</v>
      </c>
      <c r="B370" t="e">
        <f t="shared" si="10"/>
        <v>#N/A</v>
      </c>
      <c r="C370" t="e">
        <f t="shared" si="11"/>
        <v>#N/A</v>
      </c>
      <c r="D370" t="e">
        <f>IF(INDEX( DATOS3!$1:$19996,A370,MATCH("PatientID", DATOS3!$1:$1,0))=0,"",INDEX( DATOS3!$1:$19996,A370,MATCH("PatientID", DATOS3!$1:$1,0)))</f>
        <v>#N/A</v>
      </c>
      <c r="F370" t="e">
        <f>IF(INDEX( DATOS3!$1:$19996,A370,MATCH("SeriesDate", DATOS3!$1:$1,0))=0,"",INDEX( DATOS3!$1:$19996,A370,MATCH("SeriesDate", DATOS3!$1:$1,0)))</f>
        <v>#N/A</v>
      </c>
      <c r="G370" t="e">
        <f>IF(INDEX( DATOS3!$1:$19996,A370,MATCH("SeriesTime", DATOS3!$1:$1,0))=0,"",INDEX( DATOS3!$1:$19996,A370,MATCH("SeriesTime", DATOS3!$1:$1,0)))</f>
        <v>#N/A</v>
      </c>
      <c r="H370" t="e">
        <f>IF(INDEX( DATOS3!$1:$19996,A370,MATCH("StudyDescription", DATOS3!$1:$1,0))=0,"",INDEX( DATOS3!$1:$19996,A370,MATCH("StudyDescription", DATOS3!$1:$1,0)))</f>
        <v>#N/A</v>
      </c>
      <c r="I370" t="e">
        <f>IF(INDEX( DATOS3!$1:$19996,A370,MATCH("Dose_Area_Product_Total", DATOS3!$1:$1,0))=0,0,INDEX( DATOS3!$1:$19996,A370,MATCH("Dose_Area_Product", DATOS3!$1:$1,0)))</f>
        <v>#N/A</v>
      </c>
      <c r="J370" t="e">
        <f>IF(INDEX( DATOS3!$1:$19996,A370,MATCH("Dose_RP_Total", DATOS3!$1:$1,0))=0,0,INDEX( DATOS3!$1:$19996,A370,MATCH("Dose_RP", DATOS3!$1:$1,0)))</f>
        <v>#N/A</v>
      </c>
      <c r="K370" t="e">
        <f>IF(INDEX( DATOS3!$1:$19996,A370,MATCH("Total_Fluoro_Time", DATOS3!$1:$1,0))=0,0,INDEX( DATOS3!$1:$19996,A370,MATCH("Total_Fluoro_Time", DATOS3!$1:$1,0)))</f>
        <v>#N/A</v>
      </c>
    </row>
    <row r="371" spans="1:11" hidden="1" x14ac:dyDescent="0.25">
      <c r="A371">
        <v>371</v>
      </c>
      <c r="B371" t="e">
        <f t="shared" si="10"/>
        <v>#N/A</v>
      </c>
      <c r="C371" t="e">
        <f t="shared" si="11"/>
        <v>#N/A</v>
      </c>
      <c r="D371" t="e">
        <f>IF(INDEX( DATOS3!$1:$19996,A371,MATCH("PatientID", DATOS3!$1:$1,0))=0,"",INDEX( DATOS3!$1:$19996,A371,MATCH("PatientID", DATOS3!$1:$1,0)))</f>
        <v>#N/A</v>
      </c>
      <c r="F371" t="e">
        <f>IF(INDEX( DATOS3!$1:$19996,A371,MATCH("SeriesDate", DATOS3!$1:$1,0))=0,"",INDEX( DATOS3!$1:$19996,A371,MATCH("SeriesDate", DATOS3!$1:$1,0)))</f>
        <v>#N/A</v>
      </c>
      <c r="G371" t="e">
        <f>IF(INDEX( DATOS3!$1:$19996,A371,MATCH("SeriesTime", DATOS3!$1:$1,0))=0,"",INDEX( DATOS3!$1:$19996,A371,MATCH("SeriesTime", DATOS3!$1:$1,0)))</f>
        <v>#N/A</v>
      </c>
      <c r="H371" t="e">
        <f>IF(INDEX( DATOS3!$1:$19996,A371,MATCH("StudyDescription", DATOS3!$1:$1,0))=0,"",INDEX( DATOS3!$1:$19996,A371,MATCH("StudyDescription", DATOS3!$1:$1,0)))</f>
        <v>#N/A</v>
      </c>
      <c r="I371" t="e">
        <f>IF(INDEX( DATOS3!$1:$19996,A371,MATCH("Dose_Area_Product_Total", DATOS3!$1:$1,0))=0,0,INDEX( DATOS3!$1:$19996,A371,MATCH("Dose_Area_Product", DATOS3!$1:$1,0)))</f>
        <v>#N/A</v>
      </c>
      <c r="J371" t="e">
        <f>IF(INDEX( DATOS3!$1:$19996,A371,MATCH("Dose_RP_Total", DATOS3!$1:$1,0))=0,0,INDEX( DATOS3!$1:$19996,A371,MATCH("Dose_RP", DATOS3!$1:$1,0)))</f>
        <v>#N/A</v>
      </c>
      <c r="K371" t="e">
        <f>IF(INDEX( DATOS3!$1:$19996,A371,MATCH("Total_Fluoro_Time", DATOS3!$1:$1,0))=0,0,INDEX( DATOS3!$1:$19996,A371,MATCH("Total_Fluoro_Time", DATOS3!$1:$1,0)))</f>
        <v>#N/A</v>
      </c>
    </row>
    <row r="372" spans="1:11" hidden="1" x14ac:dyDescent="0.25">
      <c r="A372">
        <v>372</v>
      </c>
      <c r="B372" t="e">
        <f t="shared" si="10"/>
        <v>#N/A</v>
      </c>
      <c r="C372" t="e">
        <f t="shared" si="11"/>
        <v>#N/A</v>
      </c>
      <c r="D372" t="e">
        <f>IF(INDEX( DATOS3!$1:$19996,A372,MATCH("PatientID", DATOS3!$1:$1,0))=0,"",INDEX( DATOS3!$1:$19996,A372,MATCH("PatientID", DATOS3!$1:$1,0)))</f>
        <v>#N/A</v>
      </c>
      <c r="F372" t="e">
        <f>IF(INDEX( DATOS3!$1:$19996,A372,MATCH("SeriesDate", DATOS3!$1:$1,0))=0,"",INDEX( DATOS3!$1:$19996,A372,MATCH("SeriesDate", DATOS3!$1:$1,0)))</f>
        <v>#N/A</v>
      </c>
      <c r="G372" t="e">
        <f>IF(INDEX( DATOS3!$1:$19996,A372,MATCH("SeriesTime", DATOS3!$1:$1,0))=0,"",INDEX( DATOS3!$1:$19996,A372,MATCH("SeriesTime", DATOS3!$1:$1,0)))</f>
        <v>#N/A</v>
      </c>
      <c r="H372" t="e">
        <f>IF(INDEX( DATOS3!$1:$19996,A372,MATCH("StudyDescription", DATOS3!$1:$1,0))=0,"",INDEX( DATOS3!$1:$19996,A372,MATCH("StudyDescription", DATOS3!$1:$1,0)))</f>
        <v>#N/A</v>
      </c>
      <c r="I372" t="e">
        <f>IF(INDEX( DATOS3!$1:$19996,A372,MATCH("Dose_Area_Product_Total", DATOS3!$1:$1,0))=0,0,INDEX( DATOS3!$1:$19996,A372,MATCH("Dose_Area_Product", DATOS3!$1:$1,0)))</f>
        <v>#N/A</v>
      </c>
      <c r="J372" t="e">
        <f>IF(INDEX( DATOS3!$1:$19996,A372,MATCH("Dose_RP_Total", DATOS3!$1:$1,0))=0,0,INDEX( DATOS3!$1:$19996,A372,MATCH("Dose_RP", DATOS3!$1:$1,0)))</f>
        <v>#N/A</v>
      </c>
      <c r="K372" t="e">
        <f>IF(INDEX( DATOS3!$1:$19996,A372,MATCH("Total_Fluoro_Time", DATOS3!$1:$1,0))=0,0,INDEX( DATOS3!$1:$19996,A372,MATCH("Total_Fluoro_Time", DATOS3!$1:$1,0)))</f>
        <v>#N/A</v>
      </c>
    </row>
    <row r="373" spans="1:11" hidden="1" x14ac:dyDescent="0.25">
      <c r="A373">
        <v>373</v>
      </c>
      <c r="B373" t="e">
        <f t="shared" si="10"/>
        <v>#N/A</v>
      </c>
      <c r="C373" t="e">
        <f t="shared" si="11"/>
        <v>#N/A</v>
      </c>
      <c r="D373" t="e">
        <f>IF(INDEX( DATOS3!$1:$19996,A373,MATCH("PatientID", DATOS3!$1:$1,0))=0,"",INDEX( DATOS3!$1:$19996,A373,MATCH("PatientID", DATOS3!$1:$1,0)))</f>
        <v>#N/A</v>
      </c>
      <c r="F373" t="e">
        <f>IF(INDEX( DATOS3!$1:$19996,A373,MATCH("SeriesDate", DATOS3!$1:$1,0))=0,"",INDEX( DATOS3!$1:$19996,A373,MATCH("SeriesDate", DATOS3!$1:$1,0)))</f>
        <v>#N/A</v>
      </c>
      <c r="G373" t="e">
        <f>IF(INDEX( DATOS3!$1:$19996,A373,MATCH("SeriesTime", DATOS3!$1:$1,0))=0,"",INDEX( DATOS3!$1:$19996,A373,MATCH("SeriesTime", DATOS3!$1:$1,0)))</f>
        <v>#N/A</v>
      </c>
      <c r="H373" t="e">
        <f>IF(INDEX( DATOS3!$1:$19996,A373,MATCH("StudyDescription", DATOS3!$1:$1,0))=0,"",INDEX( DATOS3!$1:$19996,A373,MATCH("StudyDescription", DATOS3!$1:$1,0)))</f>
        <v>#N/A</v>
      </c>
      <c r="I373" t="e">
        <f>IF(INDEX( DATOS3!$1:$19996,A373,MATCH("Dose_Area_Product_Total", DATOS3!$1:$1,0))=0,0,INDEX( DATOS3!$1:$19996,A373,MATCH("Dose_Area_Product", DATOS3!$1:$1,0)))</f>
        <v>#N/A</v>
      </c>
      <c r="J373" t="e">
        <f>IF(INDEX( DATOS3!$1:$19996,A373,MATCH("Dose_RP_Total", DATOS3!$1:$1,0))=0,0,INDEX( DATOS3!$1:$19996,A373,MATCH("Dose_RP", DATOS3!$1:$1,0)))</f>
        <v>#N/A</v>
      </c>
      <c r="K373" t="e">
        <f>IF(INDEX( DATOS3!$1:$19996,A373,MATCH("Total_Fluoro_Time", DATOS3!$1:$1,0))=0,0,INDEX( DATOS3!$1:$19996,A373,MATCH("Total_Fluoro_Time", DATOS3!$1:$1,0)))</f>
        <v>#N/A</v>
      </c>
    </row>
    <row r="374" spans="1:11" hidden="1" x14ac:dyDescent="0.25">
      <c r="A374">
        <v>374</v>
      </c>
      <c r="B374" t="e">
        <f t="shared" si="10"/>
        <v>#N/A</v>
      </c>
      <c r="C374" t="e">
        <f t="shared" si="11"/>
        <v>#N/A</v>
      </c>
      <c r="D374" t="e">
        <f>IF(INDEX( DATOS3!$1:$19996,A374,MATCH("PatientID", DATOS3!$1:$1,0))=0,"",INDEX( DATOS3!$1:$19996,A374,MATCH("PatientID", DATOS3!$1:$1,0)))</f>
        <v>#N/A</v>
      </c>
      <c r="F374" t="e">
        <f>IF(INDEX( DATOS3!$1:$19996,A374,MATCH("SeriesDate", DATOS3!$1:$1,0))=0,"",INDEX( DATOS3!$1:$19996,A374,MATCH("SeriesDate", DATOS3!$1:$1,0)))</f>
        <v>#N/A</v>
      </c>
      <c r="G374" t="e">
        <f>IF(INDEX( DATOS3!$1:$19996,A374,MATCH("SeriesTime", DATOS3!$1:$1,0))=0,"",INDEX( DATOS3!$1:$19996,A374,MATCH("SeriesTime", DATOS3!$1:$1,0)))</f>
        <v>#N/A</v>
      </c>
      <c r="H374" t="e">
        <f>IF(INDEX( DATOS3!$1:$19996,A374,MATCH("StudyDescription", DATOS3!$1:$1,0))=0,"",INDEX( DATOS3!$1:$19996,A374,MATCH("StudyDescription", DATOS3!$1:$1,0)))</f>
        <v>#N/A</v>
      </c>
      <c r="I374" t="e">
        <f>IF(INDEX( DATOS3!$1:$19996,A374,MATCH("Dose_Area_Product_Total", DATOS3!$1:$1,0))=0,0,INDEX( DATOS3!$1:$19996,A374,MATCH("Dose_Area_Product", DATOS3!$1:$1,0)))</f>
        <v>#N/A</v>
      </c>
      <c r="J374" t="e">
        <f>IF(INDEX( DATOS3!$1:$19996,A374,MATCH("Dose_RP_Total", DATOS3!$1:$1,0))=0,0,INDEX( DATOS3!$1:$19996,A374,MATCH("Dose_RP", DATOS3!$1:$1,0)))</f>
        <v>#N/A</v>
      </c>
      <c r="K374" t="e">
        <f>IF(INDEX( DATOS3!$1:$19996,A374,MATCH("Total_Fluoro_Time", DATOS3!$1:$1,0))=0,0,INDEX( DATOS3!$1:$19996,A374,MATCH("Total_Fluoro_Time", DATOS3!$1:$1,0)))</f>
        <v>#N/A</v>
      </c>
    </row>
    <row r="375" spans="1:11" hidden="1" x14ac:dyDescent="0.25">
      <c r="A375">
        <v>375</v>
      </c>
      <c r="B375" t="e">
        <f t="shared" si="10"/>
        <v>#N/A</v>
      </c>
      <c r="C375" t="e">
        <f t="shared" si="11"/>
        <v>#N/A</v>
      </c>
      <c r="D375" t="e">
        <f>IF(INDEX( DATOS3!$1:$19996,A375,MATCH("PatientID", DATOS3!$1:$1,0))=0,"",INDEX( DATOS3!$1:$19996,A375,MATCH("PatientID", DATOS3!$1:$1,0)))</f>
        <v>#N/A</v>
      </c>
      <c r="F375" t="e">
        <f>IF(INDEX( DATOS3!$1:$19996,A375,MATCH("SeriesDate", DATOS3!$1:$1,0))=0,"",INDEX( DATOS3!$1:$19996,A375,MATCH("SeriesDate", DATOS3!$1:$1,0)))</f>
        <v>#N/A</v>
      </c>
      <c r="G375" t="e">
        <f>IF(INDEX( DATOS3!$1:$19996,A375,MATCH("SeriesTime", DATOS3!$1:$1,0))=0,"",INDEX( DATOS3!$1:$19996,A375,MATCH("SeriesTime", DATOS3!$1:$1,0)))</f>
        <v>#N/A</v>
      </c>
      <c r="H375" t="e">
        <f>IF(INDEX( DATOS3!$1:$19996,A375,MATCH("StudyDescription", DATOS3!$1:$1,0))=0,"",INDEX( DATOS3!$1:$19996,A375,MATCH("StudyDescription", DATOS3!$1:$1,0)))</f>
        <v>#N/A</v>
      </c>
      <c r="I375" t="e">
        <f>IF(INDEX( DATOS3!$1:$19996,A375,MATCH("Dose_Area_Product_Total", DATOS3!$1:$1,0))=0,0,INDEX( DATOS3!$1:$19996,A375,MATCH("Dose_Area_Product", DATOS3!$1:$1,0)))</f>
        <v>#N/A</v>
      </c>
      <c r="J375" t="e">
        <f>IF(INDEX( DATOS3!$1:$19996,A375,MATCH("Dose_RP_Total", DATOS3!$1:$1,0))=0,0,INDEX( DATOS3!$1:$19996,A375,MATCH("Dose_RP", DATOS3!$1:$1,0)))</f>
        <v>#N/A</v>
      </c>
      <c r="K375" t="e">
        <f>IF(INDEX( DATOS3!$1:$19996,A375,MATCH("Total_Fluoro_Time", DATOS3!$1:$1,0))=0,0,INDEX( DATOS3!$1:$19996,A375,MATCH("Total_Fluoro_Time", DATOS3!$1:$1,0)))</f>
        <v>#N/A</v>
      </c>
    </row>
    <row r="376" spans="1:11" hidden="1" x14ac:dyDescent="0.25">
      <c r="A376">
        <v>376</v>
      </c>
      <c r="B376" t="e">
        <f t="shared" si="10"/>
        <v>#N/A</v>
      </c>
      <c r="C376" t="e">
        <f t="shared" si="11"/>
        <v>#N/A</v>
      </c>
      <c r="D376" t="e">
        <f>IF(INDEX( DATOS3!$1:$19996,A376,MATCH("PatientID", DATOS3!$1:$1,0))=0,"",INDEX( DATOS3!$1:$19996,A376,MATCH("PatientID", DATOS3!$1:$1,0)))</f>
        <v>#N/A</v>
      </c>
      <c r="F376" t="e">
        <f>IF(INDEX( DATOS3!$1:$19996,A376,MATCH("SeriesDate", DATOS3!$1:$1,0))=0,"",INDEX( DATOS3!$1:$19996,A376,MATCH("SeriesDate", DATOS3!$1:$1,0)))</f>
        <v>#N/A</v>
      </c>
      <c r="G376" t="e">
        <f>IF(INDEX( DATOS3!$1:$19996,A376,MATCH("SeriesTime", DATOS3!$1:$1,0))=0,"",INDEX( DATOS3!$1:$19996,A376,MATCH("SeriesTime", DATOS3!$1:$1,0)))</f>
        <v>#N/A</v>
      </c>
      <c r="H376" t="e">
        <f>IF(INDEX( DATOS3!$1:$19996,A376,MATCH("StudyDescription", DATOS3!$1:$1,0))=0,"",INDEX( DATOS3!$1:$19996,A376,MATCH("StudyDescription", DATOS3!$1:$1,0)))</f>
        <v>#N/A</v>
      </c>
      <c r="I376" t="e">
        <f>IF(INDEX( DATOS3!$1:$19996,A376,MATCH("Dose_Area_Product_Total", DATOS3!$1:$1,0))=0,0,INDEX( DATOS3!$1:$19996,A376,MATCH("Dose_Area_Product", DATOS3!$1:$1,0)))</f>
        <v>#N/A</v>
      </c>
      <c r="J376" t="e">
        <f>IF(INDEX( DATOS3!$1:$19996,A376,MATCH("Dose_RP_Total", DATOS3!$1:$1,0))=0,0,INDEX( DATOS3!$1:$19996,A376,MATCH("Dose_RP", DATOS3!$1:$1,0)))</f>
        <v>#N/A</v>
      </c>
      <c r="K376" t="e">
        <f>IF(INDEX( DATOS3!$1:$19996,A376,MATCH("Total_Fluoro_Time", DATOS3!$1:$1,0))=0,0,INDEX( DATOS3!$1:$19996,A376,MATCH("Total_Fluoro_Time", DATOS3!$1:$1,0)))</f>
        <v>#N/A</v>
      </c>
    </row>
    <row r="377" spans="1:11" hidden="1" x14ac:dyDescent="0.25">
      <c r="A377">
        <v>377</v>
      </c>
      <c r="B377" t="e">
        <f t="shared" si="10"/>
        <v>#N/A</v>
      </c>
      <c r="C377" t="e">
        <f t="shared" si="11"/>
        <v>#N/A</v>
      </c>
      <c r="D377" t="e">
        <f>IF(INDEX( DATOS3!$1:$19996,A377,MATCH("PatientID", DATOS3!$1:$1,0))=0,"",INDEX( DATOS3!$1:$19996,A377,MATCH("PatientID", DATOS3!$1:$1,0)))</f>
        <v>#N/A</v>
      </c>
      <c r="F377" t="e">
        <f>IF(INDEX( DATOS3!$1:$19996,A377,MATCH("SeriesDate", DATOS3!$1:$1,0))=0,"",INDEX( DATOS3!$1:$19996,A377,MATCH("SeriesDate", DATOS3!$1:$1,0)))</f>
        <v>#N/A</v>
      </c>
      <c r="G377" t="e">
        <f>IF(INDEX( DATOS3!$1:$19996,A377,MATCH("SeriesTime", DATOS3!$1:$1,0))=0,"",INDEX( DATOS3!$1:$19996,A377,MATCH("SeriesTime", DATOS3!$1:$1,0)))</f>
        <v>#N/A</v>
      </c>
      <c r="H377" t="e">
        <f>IF(INDEX( DATOS3!$1:$19996,A377,MATCH("StudyDescription", DATOS3!$1:$1,0))=0,"",INDEX( DATOS3!$1:$19996,A377,MATCH("StudyDescription", DATOS3!$1:$1,0)))</f>
        <v>#N/A</v>
      </c>
      <c r="I377" t="e">
        <f>IF(INDEX( DATOS3!$1:$19996,A377,MATCH("Dose_Area_Product_Total", DATOS3!$1:$1,0))=0,0,INDEX( DATOS3!$1:$19996,A377,MATCH("Dose_Area_Product", DATOS3!$1:$1,0)))</f>
        <v>#N/A</v>
      </c>
      <c r="J377" t="e">
        <f>IF(INDEX( DATOS3!$1:$19996,A377,MATCH("Dose_RP_Total", DATOS3!$1:$1,0))=0,0,INDEX( DATOS3!$1:$19996,A377,MATCH("Dose_RP", DATOS3!$1:$1,0)))</f>
        <v>#N/A</v>
      </c>
      <c r="K377" t="e">
        <f>IF(INDEX( DATOS3!$1:$19996,A377,MATCH("Total_Fluoro_Time", DATOS3!$1:$1,0))=0,0,INDEX( DATOS3!$1:$19996,A377,MATCH("Total_Fluoro_Time", DATOS3!$1:$1,0)))</f>
        <v>#N/A</v>
      </c>
    </row>
    <row r="378" spans="1:11" hidden="1" x14ac:dyDescent="0.25">
      <c r="A378">
        <v>378</v>
      </c>
      <c r="B378" t="e">
        <f t="shared" si="10"/>
        <v>#N/A</v>
      </c>
      <c r="C378" t="e">
        <f t="shared" si="11"/>
        <v>#N/A</v>
      </c>
      <c r="D378" t="e">
        <f>IF(INDEX( DATOS3!$1:$19996,A378,MATCH("PatientID", DATOS3!$1:$1,0))=0,"",INDEX( DATOS3!$1:$19996,A378,MATCH("PatientID", DATOS3!$1:$1,0)))</f>
        <v>#N/A</v>
      </c>
      <c r="F378" t="e">
        <f>IF(INDEX( DATOS3!$1:$19996,A378,MATCH("SeriesDate", DATOS3!$1:$1,0))=0,"",INDEX( DATOS3!$1:$19996,A378,MATCH("SeriesDate", DATOS3!$1:$1,0)))</f>
        <v>#N/A</v>
      </c>
      <c r="G378" t="e">
        <f>IF(INDEX( DATOS3!$1:$19996,A378,MATCH("SeriesTime", DATOS3!$1:$1,0))=0,"",INDEX( DATOS3!$1:$19996,A378,MATCH("SeriesTime", DATOS3!$1:$1,0)))</f>
        <v>#N/A</v>
      </c>
      <c r="H378" t="e">
        <f>IF(INDEX( DATOS3!$1:$19996,A378,MATCH("StudyDescription", DATOS3!$1:$1,0))=0,"",INDEX( DATOS3!$1:$19996,A378,MATCH("StudyDescription", DATOS3!$1:$1,0)))</f>
        <v>#N/A</v>
      </c>
      <c r="I378" t="e">
        <f>IF(INDEX( DATOS3!$1:$19996,A378,MATCH("Dose_Area_Product_Total", DATOS3!$1:$1,0))=0,0,INDEX( DATOS3!$1:$19996,A378,MATCH("Dose_Area_Product", DATOS3!$1:$1,0)))</f>
        <v>#N/A</v>
      </c>
      <c r="J378" t="e">
        <f>IF(INDEX( DATOS3!$1:$19996,A378,MATCH("Dose_RP_Total", DATOS3!$1:$1,0))=0,0,INDEX( DATOS3!$1:$19996,A378,MATCH("Dose_RP", DATOS3!$1:$1,0)))</f>
        <v>#N/A</v>
      </c>
      <c r="K378" t="e">
        <f>IF(INDEX( DATOS3!$1:$19996,A378,MATCH("Total_Fluoro_Time", DATOS3!$1:$1,0))=0,0,INDEX( DATOS3!$1:$19996,A378,MATCH("Total_Fluoro_Time", DATOS3!$1:$1,0)))</f>
        <v>#N/A</v>
      </c>
    </row>
    <row r="379" spans="1:11" hidden="1" x14ac:dyDescent="0.25">
      <c r="A379">
        <v>379</v>
      </c>
      <c r="B379" t="e">
        <f t="shared" si="10"/>
        <v>#N/A</v>
      </c>
      <c r="C379" t="e">
        <f t="shared" si="11"/>
        <v>#N/A</v>
      </c>
      <c r="D379" t="e">
        <f>IF(INDEX( DATOS3!$1:$19996,A379,MATCH("PatientID", DATOS3!$1:$1,0))=0,"",INDEX( DATOS3!$1:$19996,A379,MATCH("PatientID", DATOS3!$1:$1,0)))</f>
        <v>#N/A</v>
      </c>
      <c r="F379" t="e">
        <f>IF(INDEX( DATOS3!$1:$19996,A379,MATCH("SeriesDate", DATOS3!$1:$1,0))=0,"",INDEX( DATOS3!$1:$19996,A379,MATCH("SeriesDate", DATOS3!$1:$1,0)))</f>
        <v>#N/A</v>
      </c>
      <c r="G379" t="e">
        <f>IF(INDEX( DATOS3!$1:$19996,A379,MATCH("SeriesTime", DATOS3!$1:$1,0))=0,"",INDEX( DATOS3!$1:$19996,A379,MATCH("SeriesTime", DATOS3!$1:$1,0)))</f>
        <v>#N/A</v>
      </c>
      <c r="H379" t="e">
        <f>IF(INDEX( DATOS3!$1:$19996,A379,MATCH("StudyDescription", DATOS3!$1:$1,0))=0,"",INDEX( DATOS3!$1:$19996,A379,MATCH("StudyDescription", DATOS3!$1:$1,0)))</f>
        <v>#N/A</v>
      </c>
      <c r="I379" t="e">
        <f>IF(INDEX( DATOS3!$1:$19996,A379,MATCH("Dose_Area_Product_Total", DATOS3!$1:$1,0))=0,0,INDEX( DATOS3!$1:$19996,A379,MATCH("Dose_Area_Product", DATOS3!$1:$1,0)))</f>
        <v>#N/A</v>
      </c>
      <c r="J379" t="e">
        <f>IF(INDEX( DATOS3!$1:$19996,A379,MATCH("Dose_RP_Total", DATOS3!$1:$1,0))=0,0,INDEX( DATOS3!$1:$19996,A379,MATCH("Dose_RP", DATOS3!$1:$1,0)))</f>
        <v>#N/A</v>
      </c>
      <c r="K379" t="e">
        <f>IF(INDEX( DATOS3!$1:$19996,A379,MATCH("Total_Fluoro_Time", DATOS3!$1:$1,0))=0,0,INDEX( DATOS3!$1:$19996,A379,MATCH("Total_Fluoro_Time", DATOS3!$1:$1,0)))</f>
        <v>#N/A</v>
      </c>
    </row>
    <row r="380" spans="1:11" hidden="1" x14ac:dyDescent="0.25">
      <c r="A380">
        <v>380</v>
      </c>
      <c r="B380" t="e">
        <f t="shared" si="10"/>
        <v>#N/A</v>
      </c>
      <c r="C380" t="e">
        <f t="shared" si="11"/>
        <v>#N/A</v>
      </c>
      <c r="D380" t="e">
        <f>IF(INDEX( DATOS3!$1:$19996,A380,MATCH("PatientID", DATOS3!$1:$1,0))=0,"",INDEX( DATOS3!$1:$19996,A380,MATCH("PatientID", DATOS3!$1:$1,0)))</f>
        <v>#N/A</v>
      </c>
      <c r="F380" t="e">
        <f>IF(INDEX( DATOS3!$1:$19996,A380,MATCH("SeriesDate", DATOS3!$1:$1,0))=0,"",INDEX( DATOS3!$1:$19996,A380,MATCH("SeriesDate", DATOS3!$1:$1,0)))</f>
        <v>#N/A</v>
      </c>
      <c r="G380" t="e">
        <f>IF(INDEX( DATOS3!$1:$19996,A380,MATCH("SeriesTime", DATOS3!$1:$1,0))=0,"",INDEX( DATOS3!$1:$19996,A380,MATCH("SeriesTime", DATOS3!$1:$1,0)))</f>
        <v>#N/A</v>
      </c>
      <c r="H380" t="e">
        <f>IF(INDEX( DATOS3!$1:$19996,A380,MATCH("StudyDescription", DATOS3!$1:$1,0))=0,"",INDEX( DATOS3!$1:$19996,A380,MATCH("StudyDescription", DATOS3!$1:$1,0)))</f>
        <v>#N/A</v>
      </c>
      <c r="I380" t="e">
        <f>IF(INDEX( DATOS3!$1:$19996,A380,MATCH("Dose_Area_Product_Total", DATOS3!$1:$1,0))=0,0,INDEX( DATOS3!$1:$19996,A380,MATCH("Dose_Area_Product", DATOS3!$1:$1,0)))</f>
        <v>#N/A</v>
      </c>
      <c r="J380" t="e">
        <f>IF(INDEX( DATOS3!$1:$19996,A380,MATCH("Dose_RP_Total", DATOS3!$1:$1,0))=0,0,INDEX( DATOS3!$1:$19996,A380,MATCH("Dose_RP", DATOS3!$1:$1,0)))</f>
        <v>#N/A</v>
      </c>
      <c r="K380" t="e">
        <f>IF(INDEX( DATOS3!$1:$19996,A380,MATCH("Total_Fluoro_Time", DATOS3!$1:$1,0))=0,0,INDEX( DATOS3!$1:$19996,A380,MATCH("Total_Fluoro_Time", DATOS3!$1:$1,0)))</f>
        <v>#N/A</v>
      </c>
    </row>
    <row r="381" spans="1:11" hidden="1" x14ac:dyDescent="0.25">
      <c r="A381">
        <v>381</v>
      </c>
      <c r="B381" t="e">
        <f t="shared" si="10"/>
        <v>#N/A</v>
      </c>
      <c r="C381" t="e">
        <f t="shared" si="11"/>
        <v>#N/A</v>
      </c>
      <c r="D381" t="e">
        <f>IF(INDEX( DATOS3!$1:$19996,A381,MATCH("PatientID", DATOS3!$1:$1,0))=0,"",INDEX( DATOS3!$1:$19996,A381,MATCH("PatientID", DATOS3!$1:$1,0)))</f>
        <v>#N/A</v>
      </c>
      <c r="F381" t="e">
        <f>IF(INDEX( DATOS3!$1:$19996,A381,MATCH("SeriesDate", DATOS3!$1:$1,0))=0,"",INDEX( DATOS3!$1:$19996,A381,MATCH("SeriesDate", DATOS3!$1:$1,0)))</f>
        <v>#N/A</v>
      </c>
      <c r="G381" t="e">
        <f>IF(INDEX( DATOS3!$1:$19996,A381,MATCH("SeriesTime", DATOS3!$1:$1,0))=0,"",INDEX( DATOS3!$1:$19996,A381,MATCH("SeriesTime", DATOS3!$1:$1,0)))</f>
        <v>#N/A</v>
      </c>
      <c r="H381" t="e">
        <f>IF(INDEX( DATOS3!$1:$19996,A381,MATCH("StudyDescription", DATOS3!$1:$1,0))=0,"",INDEX( DATOS3!$1:$19996,A381,MATCH("StudyDescription", DATOS3!$1:$1,0)))</f>
        <v>#N/A</v>
      </c>
      <c r="I381" t="e">
        <f>IF(INDEX( DATOS3!$1:$19996,A381,MATCH("Dose_Area_Product_Total", DATOS3!$1:$1,0))=0,0,INDEX( DATOS3!$1:$19996,A381,MATCH("Dose_Area_Product", DATOS3!$1:$1,0)))</f>
        <v>#N/A</v>
      </c>
      <c r="J381" t="e">
        <f>IF(INDEX( DATOS3!$1:$19996,A381,MATCH("Dose_RP_Total", DATOS3!$1:$1,0))=0,0,INDEX( DATOS3!$1:$19996,A381,MATCH("Dose_RP", DATOS3!$1:$1,0)))</f>
        <v>#N/A</v>
      </c>
      <c r="K381" t="e">
        <f>IF(INDEX( DATOS3!$1:$19996,A381,MATCH("Total_Fluoro_Time", DATOS3!$1:$1,0))=0,0,INDEX( DATOS3!$1:$19996,A381,MATCH("Total_Fluoro_Time", DATOS3!$1:$1,0)))</f>
        <v>#N/A</v>
      </c>
    </row>
    <row r="382" spans="1:11" hidden="1" x14ac:dyDescent="0.25">
      <c r="A382">
        <v>382</v>
      </c>
      <c r="B382" t="e">
        <f t="shared" si="10"/>
        <v>#N/A</v>
      </c>
      <c r="C382" t="e">
        <f t="shared" si="11"/>
        <v>#N/A</v>
      </c>
      <c r="D382" t="e">
        <f>IF(INDEX( DATOS3!$1:$19996,A382,MATCH("PatientID", DATOS3!$1:$1,0))=0,"",INDEX( DATOS3!$1:$19996,A382,MATCH("PatientID", DATOS3!$1:$1,0)))</f>
        <v>#N/A</v>
      </c>
      <c r="F382" t="e">
        <f>IF(INDEX( DATOS3!$1:$19996,A382,MATCH("SeriesDate", DATOS3!$1:$1,0))=0,"",INDEX( DATOS3!$1:$19996,A382,MATCH("SeriesDate", DATOS3!$1:$1,0)))</f>
        <v>#N/A</v>
      </c>
      <c r="G382" t="e">
        <f>IF(INDEX( DATOS3!$1:$19996,A382,MATCH("SeriesTime", DATOS3!$1:$1,0))=0,"",INDEX( DATOS3!$1:$19996,A382,MATCH("SeriesTime", DATOS3!$1:$1,0)))</f>
        <v>#N/A</v>
      </c>
      <c r="H382" t="e">
        <f>IF(INDEX( DATOS3!$1:$19996,A382,MATCH("StudyDescription", DATOS3!$1:$1,0))=0,"",INDEX( DATOS3!$1:$19996,A382,MATCH("StudyDescription", DATOS3!$1:$1,0)))</f>
        <v>#N/A</v>
      </c>
      <c r="I382" t="e">
        <f>IF(INDEX( DATOS3!$1:$19996,A382,MATCH("Dose_Area_Product_Total", DATOS3!$1:$1,0))=0,0,INDEX( DATOS3!$1:$19996,A382,MATCH("Dose_Area_Product", DATOS3!$1:$1,0)))</f>
        <v>#N/A</v>
      </c>
      <c r="J382" t="e">
        <f>IF(INDEX( DATOS3!$1:$19996,A382,MATCH("Dose_RP_Total", DATOS3!$1:$1,0))=0,0,INDEX( DATOS3!$1:$19996,A382,MATCH("Dose_RP", DATOS3!$1:$1,0)))</f>
        <v>#N/A</v>
      </c>
      <c r="K382" t="e">
        <f>IF(INDEX( DATOS3!$1:$19996,A382,MATCH("Total_Fluoro_Time", DATOS3!$1:$1,0))=0,0,INDEX( DATOS3!$1:$19996,A382,MATCH("Total_Fluoro_Time", DATOS3!$1:$1,0)))</f>
        <v>#N/A</v>
      </c>
    </row>
    <row r="383" spans="1:11" hidden="1" x14ac:dyDescent="0.25">
      <c r="A383">
        <v>383</v>
      </c>
      <c r="B383" t="e">
        <f t="shared" si="10"/>
        <v>#N/A</v>
      </c>
      <c r="C383" t="e">
        <f t="shared" si="11"/>
        <v>#N/A</v>
      </c>
      <c r="D383" t="e">
        <f>IF(INDEX( DATOS3!$1:$19996,A383,MATCH("PatientID", DATOS3!$1:$1,0))=0,"",INDEX( DATOS3!$1:$19996,A383,MATCH("PatientID", DATOS3!$1:$1,0)))</f>
        <v>#N/A</v>
      </c>
      <c r="F383" t="e">
        <f>IF(INDEX( DATOS3!$1:$19996,A383,MATCH("SeriesDate", DATOS3!$1:$1,0))=0,"",INDEX( DATOS3!$1:$19996,A383,MATCH("SeriesDate", DATOS3!$1:$1,0)))</f>
        <v>#N/A</v>
      </c>
      <c r="G383" t="e">
        <f>IF(INDEX( DATOS3!$1:$19996,A383,MATCH("SeriesTime", DATOS3!$1:$1,0))=0,"",INDEX( DATOS3!$1:$19996,A383,MATCH("SeriesTime", DATOS3!$1:$1,0)))</f>
        <v>#N/A</v>
      </c>
      <c r="H383" t="e">
        <f>IF(INDEX( DATOS3!$1:$19996,A383,MATCH("StudyDescription", DATOS3!$1:$1,0))=0,"",INDEX( DATOS3!$1:$19996,A383,MATCH("StudyDescription", DATOS3!$1:$1,0)))</f>
        <v>#N/A</v>
      </c>
      <c r="I383" t="e">
        <f>IF(INDEX( DATOS3!$1:$19996,A383,MATCH("Dose_Area_Product_Total", DATOS3!$1:$1,0))=0,0,INDEX( DATOS3!$1:$19996,A383,MATCH("Dose_Area_Product", DATOS3!$1:$1,0)))</f>
        <v>#N/A</v>
      </c>
      <c r="J383" t="e">
        <f>IF(INDEX( DATOS3!$1:$19996,A383,MATCH("Dose_RP_Total", DATOS3!$1:$1,0))=0,0,INDEX( DATOS3!$1:$19996,A383,MATCH("Dose_RP", DATOS3!$1:$1,0)))</f>
        <v>#N/A</v>
      </c>
      <c r="K383" t="e">
        <f>IF(INDEX( DATOS3!$1:$19996,A383,MATCH("Total_Fluoro_Time", DATOS3!$1:$1,0))=0,0,INDEX( DATOS3!$1:$19996,A383,MATCH("Total_Fluoro_Time", DATOS3!$1:$1,0)))</f>
        <v>#N/A</v>
      </c>
    </row>
    <row r="384" spans="1:11" hidden="1" x14ac:dyDescent="0.25">
      <c r="A384">
        <v>384</v>
      </c>
      <c r="B384" t="e">
        <f t="shared" si="10"/>
        <v>#N/A</v>
      </c>
      <c r="C384" t="e">
        <f t="shared" si="11"/>
        <v>#N/A</v>
      </c>
      <c r="D384" t="e">
        <f>IF(INDEX( DATOS3!$1:$19996,A384,MATCH("PatientID", DATOS3!$1:$1,0))=0,"",INDEX( DATOS3!$1:$19996,A384,MATCH("PatientID", DATOS3!$1:$1,0)))</f>
        <v>#N/A</v>
      </c>
      <c r="F384" t="e">
        <f>IF(INDEX( DATOS3!$1:$19996,A384,MATCH("SeriesDate", DATOS3!$1:$1,0))=0,"",INDEX( DATOS3!$1:$19996,A384,MATCH("SeriesDate", DATOS3!$1:$1,0)))</f>
        <v>#N/A</v>
      </c>
      <c r="G384" t="e">
        <f>IF(INDEX( DATOS3!$1:$19996,A384,MATCH("SeriesTime", DATOS3!$1:$1,0))=0,"",INDEX( DATOS3!$1:$19996,A384,MATCH("SeriesTime", DATOS3!$1:$1,0)))</f>
        <v>#N/A</v>
      </c>
      <c r="H384" t="e">
        <f>IF(INDEX( DATOS3!$1:$19996,A384,MATCH("StudyDescription", DATOS3!$1:$1,0))=0,"",INDEX( DATOS3!$1:$19996,A384,MATCH("StudyDescription", DATOS3!$1:$1,0)))</f>
        <v>#N/A</v>
      </c>
      <c r="I384" t="e">
        <f>IF(INDEX( DATOS3!$1:$19996,A384,MATCH("Dose_Area_Product_Total", DATOS3!$1:$1,0))=0,0,INDEX( DATOS3!$1:$19996,A384,MATCH("Dose_Area_Product", DATOS3!$1:$1,0)))</f>
        <v>#N/A</v>
      </c>
      <c r="J384" t="e">
        <f>IF(INDEX( DATOS3!$1:$19996,A384,MATCH("Dose_RP_Total", DATOS3!$1:$1,0))=0,0,INDEX( DATOS3!$1:$19996,A384,MATCH("Dose_RP", DATOS3!$1:$1,0)))</f>
        <v>#N/A</v>
      </c>
      <c r="K384" t="e">
        <f>IF(INDEX( DATOS3!$1:$19996,A384,MATCH("Total_Fluoro_Time", DATOS3!$1:$1,0))=0,0,INDEX( DATOS3!$1:$19996,A384,MATCH("Total_Fluoro_Time", DATOS3!$1:$1,0)))</f>
        <v>#N/A</v>
      </c>
    </row>
    <row r="385" spans="1:11" hidden="1" x14ac:dyDescent="0.25">
      <c r="A385">
        <v>385</v>
      </c>
      <c r="B385" t="e">
        <f t="shared" si="10"/>
        <v>#N/A</v>
      </c>
      <c r="C385" t="e">
        <f t="shared" si="11"/>
        <v>#N/A</v>
      </c>
      <c r="D385" t="e">
        <f>IF(INDEX( DATOS3!$1:$19996,A385,MATCH("PatientID", DATOS3!$1:$1,0))=0,"",INDEX( DATOS3!$1:$19996,A385,MATCH("PatientID", DATOS3!$1:$1,0)))</f>
        <v>#N/A</v>
      </c>
      <c r="F385" t="e">
        <f>IF(INDEX( DATOS3!$1:$19996,A385,MATCH("SeriesDate", DATOS3!$1:$1,0))=0,"",INDEX( DATOS3!$1:$19996,A385,MATCH("SeriesDate", DATOS3!$1:$1,0)))</f>
        <v>#N/A</v>
      </c>
      <c r="G385" t="e">
        <f>IF(INDEX( DATOS3!$1:$19996,A385,MATCH("SeriesTime", DATOS3!$1:$1,0))=0,"",INDEX( DATOS3!$1:$19996,A385,MATCH("SeriesTime", DATOS3!$1:$1,0)))</f>
        <v>#N/A</v>
      </c>
      <c r="H385" t="e">
        <f>IF(INDEX( DATOS3!$1:$19996,A385,MATCH("StudyDescription", DATOS3!$1:$1,0))=0,"",INDEX( DATOS3!$1:$19996,A385,MATCH("StudyDescription", DATOS3!$1:$1,0)))</f>
        <v>#N/A</v>
      </c>
      <c r="I385" t="e">
        <f>IF(INDEX( DATOS3!$1:$19996,A385,MATCH("Dose_Area_Product_Total", DATOS3!$1:$1,0))=0,0,INDEX( DATOS3!$1:$19996,A385,MATCH("Dose_Area_Product", DATOS3!$1:$1,0)))</f>
        <v>#N/A</v>
      </c>
      <c r="J385" t="e">
        <f>IF(INDEX( DATOS3!$1:$19996,A385,MATCH("Dose_RP_Total", DATOS3!$1:$1,0))=0,0,INDEX( DATOS3!$1:$19996,A385,MATCH("Dose_RP", DATOS3!$1:$1,0)))</f>
        <v>#N/A</v>
      </c>
      <c r="K385" t="e">
        <f>IF(INDEX( DATOS3!$1:$19996,A385,MATCH("Total_Fluoro_Time", DATOS3!$1:$1,0))=0,0,INDEX( DATOS3!$1:$19996,A385,MATCH("Total_Fluoro_Time", DATOS3!$1:$1,0)))</f>
        <v>#N/A</v>
      </c>
    </row>
    <row r="386" spans="1:11" hidden="1" x14ac:dyDescent="0.25">
      <c r="A386">
        <v>386</v>
      </c>
      <c r="B386" t="e">
        <f t="shared" si="10"/>
        <v>#N/A</v>
      </c>
      <c r="C386" t="e">
        <f t="shared" si="11"/>
        <v>#N/A</v>
      </c>
      <c r="D386" t="e">
        <f>IF(INDEX( DATOS3!$1:$19996,A386,MATCH("PatientID", DATOS3!$1:$1,0))=0,"",INDEX( DATOS3!$1:$19996,A386,MATCH("PatientID", DATOS3!$1:$1,0)))</f>
        <v>#N/A</v>
      </c>
      <c r="F386" t="e">
        <f>IF(INDEX( DATOS3!$1:$19996,A386,MATCH("SeriesDate", DATOS3!$1:$1,0))=0,"",INDEX( DATOS3!$1:$19996,A386,MATCH("SeriesDate", DATOS3!$1:$1,0)))</f>
        <v>#N/A</v>
      </c>
      <c r="G386" t="e">
        <f>IF(INDEX( DATOS3!$1:$19996,A386,MATCH("SeriesTime", DATOS3!$1:$1,0))=0,"",INDEX( DATOS3!$1:$19996,A386,MATCH("SeriesTime", DATOS3!$1:$1,0)))</f>
        <v>#N/A</v>
      </c>
      <c r="H386" t="e">
        <f>IF(INDEX( DATOS3!$1:$19996,A386,MATCH("StudyDescription", DATOS3!$1:$1,0))=0,"",INDEX( DATOS3!$1:$19996,A386,MATCH("StudyDescription", DATOS3!$1:$1,0)))</f>
        <v>#N/A</v>
      </c>
      <c r="I386" t="e">
        <f>IF(INDEX( DATOS3!$1:$19996,A386,MATCH("Dose_Area_Product_Total", DATOS3!$1:$1,0))=0,0,INDEX( DATOS3!$1:$19996,A386,MATCH("Dose_Area_Product", DATOS3!$1:$1,0)))</f>
        <v>#N/A</v>
      </c>
      <c r="J386" t="e">
        <f>IF(INDEX( DATOS3!$1:$19996,A386,MATCH("Dose_RP_Total", DATOS3!$1:$1,0))=0,0,INDEX( DATOS3!$1:$19996,A386,MATCH("Dose_RP", DATOS3!$1:$1,0)))</f>
        <v>#N/A</v>
      </c>
      <c r="K386" t="e">
        <f>IF(INDEX( DATOS3!$1:$19996,A386,MATCH("Total_Fluoro_Time", DATOS3!$1:$1,0))=0,0,INDEX( DATOS3!$1:$19996,A386,MATCH("Total_Fluoro_Time", DATOS3!$1:$1,0)))</f>
        <v>#N/A</v>
      </c>
    </row>
    <row r="387" spans="1:11" hidden="1" x14ac:dyDescent="0.25">
      <c r="A387">
        <v>387</v>
      </c>
      <c r="B387" t="e">
        <f t="shared" ref="B387:B450" si="12">IF(D387="","","ARTISZEE")</f>
        <v>#N/A</v>
      </c>
      <c r="C387" t="e">
        <f t="shared" ref="C387:C450" si="13">IF(B387="ARTISZEE","Cardiología","")</f>
        <v>#N/A</v>
      </c>
      <c r="D387" t="e">
        <f>IF(INDEX( DATOS3!$1:$19996,A387,MATCH("PatientID", DATOS3!$1:$1,0))=0,"",INDEX( DATOS3!$1:$19996,A387,MATCH("PatientID", DATOS3!$1:$1,0)))</f>
        <v>#N/A</v>
      </c>
      <c r="F387" t="e">
        <f>IF(INDEX( DATOS3!$1:$19996,A387,MATCH("SeriesDate", DATOS3!$1:$1,0))=0,"",INDEX( DATOS3!$1:$19996,A387,MATCH("SeriesDate", DATOS3!$1:$1,0)))</f>
        <v>#N/A</v>
      </c>
      <c r="G387" t="e">
        <f>IF(INDEX( DATOS3!$1:$19996,A387,MATCH("SeriesTime", DATOS3!$1:$1,0))=0,"",INDEX( DATOS3!$1:$19996,A387,MATCH("SeriesTime", DATOS3!$1:$1,0)))</f>
        <v>#N/A</v>
      </c>
      <c r="H387" t="e">
        <f>IF(INDEX( DATOS3!$1:$19996,A387,MATCH("StudyDescription", DATOS3!$1:$1,0))=0,"",INDEX( DATOS3!$1:$19996,A387,MATCH("StudyDescription", DATOS3!$1:$1,0)))</f>
        <v>#N/A</v>
      </c>
      <c r="I387" t="e">
        <f>IF(INDEX( DATOS3!$1:$19996,A387,MATCH("Dose_Area_Product_Total", DATOS3!$1:$1,0))=0,0,INDEX( DATOS3!$1:$19996,A387,MATCH("Dose_Area_Product", DATOS3!$1:$1,0)))</f>
        <v>#N/A</v>
      </c>
      <c r="J387" t="e">
        <f>IF(INDEX( DATOS3!$1:$19996,A387,MATCH("Dose_RP_Total", DATOS3!$1:$1,0))=0,0,INDEX( DATOS3!$1:$19996,A387,MATCH("Dose_RP", DATOS3!$1:$1,0)))</f>
        <v>#N/A</v>
      </c>
      <c r="K387" t="e">
        <f>IF(INDEX( DATOS3!$1:$19996,A387,MATCH("Total_Fluoro_Time", DATOS3!$1:$1,0))=0,0,INDEX( DATOS3!$1:$19996,A387,MATCH("Total_Fluoro_Time", DATOS3!$1:$1,0)))</f>
        <v>#N/A</v>
      </c>
    </row>
    <row r="388" spans="1:11" hidden="1" x14ac:dyDescent="0.25">
      <c r="A388">
        <v>388</v>
      </c>
      <c r="B388" t="e">
        <f t="shared" si="12"/>
        <v>#N/A</v>
      </c>
      <c r="C388" t="e">
        <f t="shared" si="13"/>
        <v>#N/A</v>
      </c>
      <c r="D388" t="e">
        <f>IF(INDEX( DATOS3!$1:$19996,A388,MATCH("PatientID", DATOS3!$1:$1,0))=0,"",INDEX( DATOS3!$1:$19996,A388,MATCH("PatientID", DATOS3!$1:$1,0)))</f>
        <v>#N/A</v>
      </c>
      <c r="F388" t="e">
        <f>IF(INDEX( DATOS3!$1:$19996,A388,MATCH("SeriesDate", DATOS3!$1:$1,0))=0,"",INDEX( DATOS3!$1:$19996,A388,MATCH("SeriesDate", DATOS3!$1:$1,0)))</f>
        <v>#N/A</v>
      </c>
      <c r="G388" t="e">
        <f>IF(INDEX( DATOS3!$1:$19996,A388,MATCH("SeriesTime", DATOS3!$1:$1,0))=0,"",INDEX( DATOS3!$1:$19996,A388,MATCH("SeriesTime", DATOS3!$1:$1,0)))</f>
        <v>#N/A</v>
      </c>
      <c r="H388" t="e">
        <f>IF(INDEX( DATOS3!$1:$19996,A388,MATCH("StudyDescription", DATOS3!$1:$1,0))=0,"",INDEX( DATOS3!$1:$19996,A388,MATCH("StudyDescription", DATOS3!$1:$1,0)))</f>
        <v>#N/A</v>
      </c>
      <c r="I388" t="e">
        <f>IF(INDEX( DATOS3!$1:$19996,A388,MATCH("Dose_Area_Product_Total", DATOS3!$1:$1,0))=0,0,INDEX( DATOS3!$1:$19996,A388,MATCH("Dose_Area_Product", DATOS3!$1:$1,0)))</f>
        <v>#N/A</v>
      </c>
      <c r="J388" t="e">
        <f>IF(INDEX( DATOS3!$1:$19996,A388,MATCH("Dose_RP_Total", DATOS3!$1:$1,0))=0,0,INDEX( DATOS3!$1:$19996,A388,MATCH("Dose_RP", DATOS3!$1:$1,0)))</f>
        <v>#N/A</v>
      </c>
      <c r="K388" t="e">
        <f>IF(INDEX( DATOS3!$1:$19996,A388,MATCH("Total_Fluoro_Time", DATOS3!$1:$1,0))=0,0,INDEX( DATOS3!$1:$19996,A388,MATCH("Total_Fluoro_Time", DATOS3!$1:$1,0)))</f>
        <v>#N/A</v>
      </c>
    </row>
    <row r="389" spans="1:11" hidden="1" x14ac:dyDescent="0.25">
      <c r="A389">
        <v>389</v>
      </c>
      <c r="B389" t="e">
        <f t="shared" si="12"/>
        <v>#N/A</v>
      </c>
      <c r="C389" t="e">
        <f t="shared" si="13"/>
        <v>#N/A</v>
      </c>
      <c r="D389" t="e">
        <f>IF(INDEX( DATOS3!$1:$19996,A389,MATCH("PatientID", DATOS3!$1:$1,0))=0,"",INDEX( DATOS3!$1:$19996,A389,MATCH("PatientID", DATOS3!$1:$1,0)))</f>
        <v>#N/A</v>
      </c>
      <c r="F389" t="e">
        <f>IF(INDEX( DATOS3!$1:$19996,A389,MATCH("SeriesDate", DATOS3!$1:$1,0))=0,"",INDEX( DATOS3!$1:$19996,A389,MATCH("SeriesDate", DATOS3!$1:$1,0)))</f>
        <v>#N/A</v>
      </c>
      <c r="G389" t="e">
        <f>IF(INDEX( DATOS3!$1:$19996,A389,MATCH("SeriesTime", DATOS3!$1:$1,0))=0,"",INDEX( DATOS3!$1:$19996,A389,MATCH("SeriesTime", DATOS3!$1:$1,0)))</f>
        <v>#N/A</v>
      </c>
      <c r="H389" t="e">
        <f>IF(INDEX( DATOS3!$1:$19996,A389,MATCH("StudyDescription", DATOS3!$1:$1,0))=0,"",INDEX( DATOS3!$1:$19996,A389,MATCH("StudyDescription", DATOS3!$1:$1,0)))</f>
        <v>#N/A</v>
      </c>
      <c r="I389" t="e">
        <f>IF(INDEX( DATOS3!$1:$19996,A389,MATCH("Dose_Area_Product_Total", DATOS3!$1:$1,0))=0,0,INDEX( DATOS3!$1:$19996,A389,MATCH("Dose_Area_Product", DATOS3!$1:$1,0)))</f>
        <v>#N/A</v>
      </c>
      <c r="J389" t="e">
        <f>IF(INDEX( DATOS3!$1:$19996,A389,MATCH("Dose_RP_Total", DATOS3!$1:$1,0))=0,0,INDEX( DATOS3!$1:$19996,A389,MATCH("Dose_RP", DATOS3!$1:$1,0)))</f>
        <v>#N/A</v>
      </c>
      <c r="K389" t="e">
        <f>IF(INDEX( DATOS3!$1:$19996,A389,MATCH("Total_Fluoro_Time", DATOS3!$1:$1,0))=0,0,INDEX( DATOS3!$1:$19996,A389,MATCH("Total_Fluoro_Time", DATOS3!$1:$1,0)))</f>
        <v>#N/A</v>
      </c>
    </row>
    <row r="390" spans="1:11" hidden="1" x14ac:dyDescent="0.25">
      <c r="A390">
        <v>390</v>
      </c>
      <c r="B390" t="e">
        <f t="shared" si="12"/>
        <v>#N/A</v>
      </c>
      <c r="C390" t="e">
        <f t="shared" si="13"/>
        <v>#N/A</v>
      </c>
      <c r="D390" t="e">
        <f>IF(INDEX( DATOS3!$1:$19996,A390,MATCH("PatientID", DATOS3!$1:$1,0))=0,"",INDEX( DATOS3!$1:$19996,A390,MATCH("PatientID", DATOS3!$1:$1,0)))</f>
        <v>#N/A</v>
      </c>
      <c r="F390" t="e">
        <f>IF(INDEX( DATOS3!$1:$19996,A390,MATCH("SeriesDate", DATOS3!$1:$1,0))=0,"",INDEX( DATOS3!$1:$19996,A390,MATCH("SeriesDate", DATOS3!$1:$1,0)))</f>
        <v>#N/A</v>
      </c>
      <c r="G390" t="e">
        <f>IF(INDEX( DATOS3!$1:$19996,A390,MATCH("SeriesTime", DATOS3!$1:$1,0))=0,"",INDEX( DATOS3!$1:$19996,A390,MATCH("SeriesTime", DATOS3!$1:$1,0)))</f>
        <v>#N/A</v>
      </c>
      <c r="H390" t="e">
        <f>IF(INDEX( DATOS3!$1:$19996,A390,MATCH("StudyDescription", DATOS3!$1:$1,0))=0,"",INDEX( DATOS3!$1:$19996,A390,MATCH("StudyDescription", DATOS3!$1:$1,0)))</f>
        <v>#N/A</v>
      </c>
      <c r="I390" t="e">
        <f>IF(INDEX( DATOS3!$1:$19996,A390,MATCH("Dose_Area_Product_Total", DATOS3!$1:$1,0))=0,0,INDEX( DATOS3!$1:$19996,A390,MATCH("Dose_Area_Product", DATOS3!$1:$1,0)))</f>
        <v>#N/A</v>
      </c>
      <c r="J390" t="e">
        <f>IF(INDEX( DATOS3!$1:$19996,A390,MATCH("Dose_RP_Total", DATOS3!$1:$1,0))=0,0,INDEX( DATOS3!$1:$19996,A390,MATCH("Dose_RP", DATOS3!$1:$1,0)))</f>
        <v>#N/A</v>
      </c>
      <c r="K390" t="e">
        <f>IF(INDEX( DATOS3!$1:$19996,A390,MATCH("Total_Fluoro_Time", DATOS3!$1:$1,0))=0,0,INDEX( DATOS3!$1:$19996,A390,MATCH("Total_Fluoro_Time", DATOS3!$1:$1,0)))</f>
        <v>#N/A</v>
      </c>
    </row>
    <row r="391" spans="1:11" hidden="1" x14ac:dyDescent="0.25">
      <c r="A391">
        <v>391</v>
      </c>
      <c r="B391" t="e">
        <f t="shared" si="12"/>
        <v>#N/A</v>
      </c>
      <c r="C391" t="e">
        <f t="shared" si="13"/>
        <v>#N/A</v>
      </c>
      <c r="D391" t="e">
        <f>IF(INDEX( DATOS3!$1:$19996,A391,MATCH("PatientID", DATOS3!$1:$1,0))=0,"",INDEX( DATOS3!$1:$19996,A391,MATCH("PatientID", DATOS3!$1:$1,0)))</f>
        <v>#N/A</v>
      </c>
      <c r="F391" t="e">
        <f>IF(INDEX( DATOS3!$1:$19996,A391,MATCH("SeriesDate", DATOS3!$1:$1,0))=0,"",INDEX( DATOS3!$1:$19996,A391,MATCH("SeriesDate", DATOS3!$1:$1,0)))</f>
        <v>#N/A</v>
      </c>
      <c r="G391" t="e">
        <f>IF(INDEX( DATOS3!$1:$19996,A391,MATCH("SeriesTime", DATOS3!$1:$1,0))=0,"",INDEX( DATOS3!$1:$19996,A391,MATCH("SeriesTime", DATOS3!$1:$1,0)))</f>
        <v>#N/A</v>
      </c>
      <c r="H391" t="e">
        <f>IF(INDEX( DATOS3!$1:$19996,A391,MATCH("StudyDescription", DATOS3!$1:$1,0))=0,"",INDEX( DATOS3!$1:$19996,A391,MATCH("StudyDescription", DATOS3!$1:$1,0)))</f>
        <v>#N/A</v>
      </c>
      <c r="I391" t="e">
        <f>IF(INDEX( DATOS3!$1:$19996,A391,MATCH("Dose_Area_Product_Total", DATOS3!$1:$1,0))=0,0,INDEX( DATOS3!$1:$19996,A391,MATCH("Dose_Area_Product", DATOS3!$1:$1,0)))</f>
        <v>#N/A</v>
      </c>
      <c r="J391" t="e">
        <f>IF(INDEX( DATOS3!$1:$19996,A391,MATCH("Dose_RP_Total", DATOS3!$1:$1,0))=0,0,INDEX( DATOS3!$1:$19996,A391,MATCH("Dose_RP", DATOS3!$1:$1,0)))</f>
        <v>#N/A</v>
      </c>
      <c r="K391" t="e">
        <f>IF(INDEX( DATOS3!$1:$19996,A391,MATCH("Total_Fluoro_Time", DATOS3!$1:$1,0))=0,0,INDEX( DATOS3!$1:$19996,A391,MATCH("Total_Fluoro_Time", DATOS3!$1:$1,0)))</f>
        <v>#N/A</v>
      </c>
    </row>
    <row r="392" spans="1:11" hidden="1" x14ac:dyDescent="0.25">
      <c r="A392">
        <v>392</v>
      </c>
      <c r="B392" t="e">
        <f t="shared" si="12"/>
        <v>#N/A</v>
      </c>
      <c r="C392" t="e">
        <f t="shared" si="13"/>
        <v>#N/A</v>
      </c>
      <c r="D392" t="e">
        <f>IF(INDEX( DATOS3!$1:$19996,A392,MATCH("PatientID", DATOS3!$1:$1,0))=0,"",INDEX( DATOS3!$1:$19996,A392,MATCH("PatientID", DATOS3!$1:$1,0)))</f>
        <v>#N/A</v>
      </c>
      <c r="F392" t="e">
        <f>IF(INDEX( DATOS3!$1:$19996,A392,MATCH("SeriesDate", DATOS3!$1:$1,0))=0,"",INDEX( DATOS3!$1:$19996,A392,MATCH("SeriesDate", DATOS3!$1:$1,0)))</f>
        <v>#N/A</v>
      </c>
      <c r="G392" t="e">
        <f>IF(INDEX( DATOS3!$1:$19996,A392,MATCH("SeriesTime", DATOS3!$1:$1,0))=0,"",INDEX( DATOS3!$1:$19996,A392,MATCH("SeriesTime", DATOS3!$1:$1,0)))</f>
        <v>#N/A</v>
      </c>
      <c r="H392" t="e">
        <f>IF(INDEX( DATOS3!$1:$19996,A392,MATCH("StudyDescription", DATOS3!$1:$1,0))=0,"",INDEX( DATOS3!$1:$19996,A392,MATCH("StudyDescription", DATOS3!$1:$1,0)))</f>
        <v>#N/A</v>
      </c>
      <c r="I392" t="e">
        <f>IF(INDEX( DATOS3!$1:$19996,A392,MATCH("Dose_Area_Product_Total", DATOS3!$1:$1,0))=0,0,INDEX( DATOS3!$1:$19996,A392,MATCH("Dose_Area_Product", DATOS3!$1:$1,0)))</f>
        <v>#N/A</v>
      </c>
      <c r="J392" t="e">
        <f>IF(INDEX( DATOS3!$1:$19996,A392,MATCH("Dose_RP_Total", DATOS3!$1:$1,0))=0,0,INDEX( DATOS3!$1:$19996,A392,MATCH("Dose_RP", DATOS3!$1:$1,0)))</f>
        <v>#N/A</v>
      </c>
      <c r="K392" t="e">
        <f>IF(INDEX( DATOS3!$1:$19996,A392,MATCH("Total_Fluoro_Time", DATOS3!$1:$1,0))=0,0,INDEX( DATOS3!$1:$19996,A392,MATCH("Total_Fluoro_Time", DATOS3!$1:$1,0)))</f>
        <v>#N/A</v>
      </c>
    </row>
    <row r="393" spans="1:11" hidden="1" x14ac:dyDescent="0.25">
      <c r="A393">
        <v>393</v>
      </c>
      <c r="B393" t="e">
        <f t="shared" si="12"/>
        <v>#N/A</v>
      </c>
      <c r="C393" t="e">
        <f t="shared" si="13"/>
        <v>#N/A</v>
      </c>
      <c r="D393" t="e">
        <f>IF(INDEX( DATOS3!$1:$19996,A393,MATCH("PatientID", DATOS3!$1:$1,0))=0,"",INDEX( DATOS3!$1:$19996,A393,MATCH("PatientID", DATOS3!$1:$1,0)))</f>
        <v>#N/A</v>
      </c>
      <c r="F393" t="e">
        <f>IF(INDEX( DATOS3!$1:$19996,A393,MATCH("SeriesDate", DATOS3!$1:$1,0))=0,"",INDEX( DATOS3!$1:$19996,A393,MATCH("SeriesDate", DATOS3!$1:$1,0)))</f>
        <v>#N/A</v>
      </c>
      <c r="G393" t="e">
        <f>IF(INDEX( DATOS3!$1:$19996,A393,MATCH("SeriesTime", DATOS3!$1:$1,0))=0,"",INDEX( DATOS3!$1:$19996,A393,MATCH("SeriesTime", DATOS3!$1:$1,0)))</f>
        <v>#N/A</v>
      </c>
      <c r="H393" t="e">
        <f>IF(INDEX( DATOS3!$1:$19996,A393,MATCH("StudyDescription", DATOS3!$1:$1,0))=0,"",INDEX( DATOS3!$1:$19996,A393,MATCH("StudyDescription", DATOS3!$1:$1,0)))</f>
        <v>#N/A</v>
      </c>
      <c r="I393" t="e">
        <f>IF(INDEX( DATOS3!$1:$19996,A393,MATCH("Dose_Area_Product_Total", DATOS3!$1:$1,0))=0,0,INDEX( DATOS3!$1:$19996,A393,MATCH("Dose_Area_Product", DATOS3!$1:$1,0)))</f>
        <v>#N/A</v>
      </c>
      <c r="J393" t="e">
        <f>IF(INDEX( DATOS3!$1:$19996,A393,MATCH("Dose_RP_Total", DATOS3!$1:$1,0))=0,0,INDEX( DATOS3!$1:$19996,A393,MATCH("Dose_RP", DATOS3!$1:$1,0)))</f>
        <v>#N/A</v>
      </c>
      <c r="K393" t="e">
        <f>IF(INDEX( DATOS3!$1:$19996,A393,MATCH("Total_Fluoro_Time", DATOS3!$1:$1,0))=0,0,INDEX( DATOS3!$1:$19996,A393,MATCH("Total_Fluoro_Time", DATOS3!$1:$1,0)))</f>
        <v>#N/A</v>
      </c>
    </row>
    <row r="394" spans="1:11" hidden="1" x14ac:dyDescent="0.25">
      <c r="A394">
        <v>394</v>
      </c>
      <c r="B394" t="e">
        <f t="shared" si="12"/>
        <v>#N/A</v>
      </c>
      <c r="C394" t="e">
        <f t="shared" si="13"/>
        <v>#N/A</v>
      </c>
      <c r="D394" t="e">
        <f>IF(INDEX( DATOS3!$1:$19996,A394,MATCH("PatientID", DATOS3!$1:$1,0))=0,"",INDEX( DATOS3!$1:$19996,A394,MATCH("PatientID", DATOS3!$1:$1,0)))</f>
        <v>#N/A</v>
      </c>
      <c r="F394" t="e">
        <f>IF(INDEX( DATOS3!$1:$19996,A394,MATCH("SeriesDate", DATOS3!$1:$1,0))=0,"",INDEX( DATOS3!$1:$19996,A394,MATCH("SeriesDate", DATOS3!$1:$1,0)))</f>
        <v>#N/A</v>
      </c>
      <c r="G394" t="e">
        <f>IF(INDEX( DATOS3!$1:$19996,A394,MATCH("SeriesTime", DATOS3!$1:$1,0))=0,"",INDEX( DATOS3!$1:$19996,A394,MATCH("SeriesTime", DATOS3!$1:$1,0)))</f>
        <v>#N/A</v>
      </c>
      <c r="H394" t="e">
        <f>IF(INDEX( DATOS3!$1:$19996,A394,MATCH("StudyDescription", DATOS3!$1:$1,0))=0,"",INDEX( DATOS3!$1:$19996,A394,MATCH("StudyDescription", DATOS3!$1:$1,0)))</f>
        <v>#N/A</v>
      </c>
      <c r="I394" t="e">
        <f>IF(INDEX( DATOS3!$1:$19996,A394,MATCH("Dose_Area_Product_Total", DATOS3!$1:$1,0))=0,0,INDEX( DATOS3!$1:$19996,A394,MATCH("Dose_Area_Product", DATOS3!$1:$1,0)))</f>
        <v>#N/A</v>
      </c>
      <c r="J394" t="e">
        <f>IF(INDEX( DATOS3!$1:$19996,A394,MATCH("Dose_RP_Total", DATOS3!$1:$1,0))=0,0,INDEX( DATOS3!$1:$19996,A394,MATCH("Dose_RP", DATOS3!$1:$1,0)))</f>
        <v>#N/A</v>
      </c>
      <c r="K394" t="e">
        <f>IF(INDEX( DATOS3!$1:$19996,A394,MATCH("Total_Fluoro_Time", DATOS3!$1:$1,0))=0,0,INDEX( DATOS3!$1:$19996,A394,MATCH("Total_Fluoro_Time", DATOS3!$1:$1,0)))</f>
        <v>#N/A</v>
      </c>
    </row>
    <row r="395" spans="1:11" hidden="1" x14ac:dyDescent="0.25">
      <c r="A395">
        <v>395</v>
      </c>
      <c r="B395" t="e">
        <f t="shared" si="12"/>
        <v>#N/A</v>
      </c>
      <c r="C395" t="e">
        <f t="shared" si="13"/>
        <v>#N/A</v>
      </c>
      <c r="D395" t="e">
        <f>IF(INDEX( DATOS3!$1:$19996,A395,MATCH("PatientID", DATOS3!$1:$1,0))=0,"",INDEX( DATOS3!$1:$19996,A395,MATCH("PatientID", DATOS3!$1:$1,0)))</f>
        <v>#N/A</v>
      </c>
      <c r="F395" t="e">
        <f>IF(INDEX( DATOS3!$1:$19996,A395,MATCH("SeriesDate", DATOS3!$1:$1,0))=0,"",INDEX( DATOS3!$1:$19996,A395,MATCH("SeriesDate", DATOS3!$1:$1,0)))</f>
        <v>#N/A</v>
      </c>
      <c r="G395" t="e">
        <f>IF(INDEX( DATOS3!$1:$19996,A395,MATCH("SeriesTime", DATOS3!$1:$1,0))=0,"",INDEX( DATOS3!$1:$19996,A395,MATCH("SeriesTime", DATOS3!$1:$1,0)))</f>
        <v>#N/A</v>
      </c>
      <c r="H395" t="e">
        <f>IF(INDEX( DATOS3!$1:$19996,A395,MATCH("StudyDescription", DATOS3!$1:$1,0))=0,"",INDEX( DATOS3!$1:$19996,A395,MATCH("StudyDescription", DATOS3!$1:$1,0)))</f>
        <v>#N/A</v>
      </c>
      <c r="I395" t="e">
        <f>IF(INDEX( DATOS3!$1:$19996,A395,MATCH("Dose_Area_Product_Total", DATOS3!$1:$1,0))=0,0,INDEX( DATOS3!$1:$19996,A395,MATCH("Dose_Area_Product", DATOS3!$1:$1,0)))</f>
        <v>#N/A</v>
      </c>
      <c r="J395" t="e">
        <f>IF(INDEX( DATOS3!$1:$19996,A395,MATCH("Dose_RP_Total", DATOS3!$1:$1,0))=0,0,INDEX( DATOS3!$1:$19996,A395,MATCH("Dose_RP", DATOS3!$1:$1,0)))</f>
        <v>#N/A</v>
      </c>
      <c r="K395" t="e">
        <f>IF(INDEX( DATOS3!$1:$19996,A395,MATCH("Total_Fluoro_Time", DATOS3!$1:$1,0))=0,0,INDEX( DATOS3!$1:$19996,A395,MATCH("Total_Fluoro_Time", DATOS3!$1:$1,0)))</f>
        <v>#N/A</v>
      </c>
    </row>
    <row r="396" spans="1:11" hidden="1" x14ac:dyDescent="0.25">
      <c r="A396">
        <v>396</v>
      </c>
      <c r="B396" t="e">
        <f t="shared" si="12"/>
        <v>#N/A</v>
      </c>
      <c r="C396" t="e">
        <f t="shared" si="13"/>
        <v>#N/A</v>
      </c>
      <c r="D396" t="e">
        <f>IF(INDEX( DATOS3!$1:$19996,A396,MATCH("PatientID", DATOS3!$1:$1,0))=0,"",INDEX( DATOS3!$1:$19996,A396,MATCH("PatientID", DATOS3!$1:$1,0)))</f>
        <v>#N/A</v>
      </c>
      <c r="F396" t="e">
        <f>IF(INDEX( DATOS3!$1:$19996,A396,MATCH("SeriesDate", DATOS3!$1:$1,0))=0,"",INDEX( DATOS3!$1:$19996,A396,MATCH("SeriesDate", DATOS3!$1:$1,0)))</f>
        <v>#N/A</v>
      </c>
      <c r="G396" t="e">
        <f>IF(INDEX( DATOS3!$1:$19996,A396,MATCH("SeriesTime", DATOS3!$1:$1,0))=0,"",INDEX( DATOS3!$1:$19996,A396,MATCH("SeriesTime", DATOS3!$1:$1,0)))</f>
        <v>#N/A</v>
      </c>
      <c r="H396" t="e">
        <f>IF(INDEX( DATOS3!$1:$19996,A396,MATCH("StudyDescription", DATOS3!$1:$1,0))=0,"",INDEX( DATOS3!$1:$19996,A396,MATCH("StudyDescription", DATOS3!$1:$1,0)))</f>
        <v>#N/A</v>
      </c>
      <c r="I396" t="e">
        <f>IF(INDEX( DATOS3!$1:$19996,A396,MATCH("Dose_Area_Product_Total", DATOS3!$1:$1,0))=0,0,INDEX( DATOS3!$1:$19996,A396,MATCH("Dose_Area_Product", DATOS3!$1:$1,0)))</f>
        <v>#N/A</v>
      </c>
      <c r="J396" t="e">
        <f>IF(INDEX( DATOS3!$1:$19996,A396,MATCH("Dose_RP_Total", DATOS3!$1:$1,0))=0,0,INDEX( DATOS3!$1:$19996,A396,MATCH("Dose_RP", DATOS3!$1:$1,0)))</f>
        <v>#N/A</v>
      </c>
      <c r="K396" t="e">
        <f>IF(INDEX( DATOS3!$1:$19996,A396,MATCH("Total_Fluoro_Time", DATOS3!$1:$1,0))=0,0,INDEX( DATOS3!$1:$19996,A396,MATCH("Total_Fluoro_Time", DATOS3!$1:$1,0)))</f>
        <v>#N/A</v>
      </c>
    </row>
    <row r="397" spans="1:11" hidden="1" x14ac:dyDescent="0.25">
      <c r="A397">
        <v>397</v>
      </c>
      <c r="B397" t="e">
        <f t="shared" si="12"/>
        <v>#N/A</v>
      </c>
      <c r="C397" t="e">
        <f t="shared" si="13"/>
        <v>#N/A</v>
      </c>
      <c r="D397" t="e">
        <f>IF(INDEX( DATOS3!$1:$19996,A397,MATCH("PatientID", DATOS3!$1:$1,0))=0,"",INDEX( DATOS3!$1:$19996,A397,MATCH("PatientID", DATOS3!$1:$1,0)))</f>
        <v>#N/A</v>
      </c>
      <c r="F397" t="e">
        <f>IF(INDEX( DATOS3!$1:$19996,A397,MATCH("SeriesDate", DATOS3!$1:$1,0))=0,"",INDEX( DATOS3!$1:$19996,A397,MATCH("SeriesDate", DATOS3!$1:$1,0)))</f>
        <v>#N/A</v>
      </c>
      <c r="G397" t="e">
        <f>IF(INDEX( DATOS3!$1:$19996,A397,MATCH("SeriesTime", DATOS3!$1:$1,0))=0,"",INDEX( DATOS3!$1:$19996,A397,MATCH("SeriesTime", DATOS3!$1:$1,0)))</f>
        <v>#N/A</v>
      </c>
      <c r="H397" t="e">
        <f>IF(INDEX( DATOS3!$1:$19996,A397,MATCH("StudyDescription", DATOS3!$1:$1,0))=0,"",INDEX( DATOS3!$1:$19996,A397,MATCH("StudyDescription", DATOS3!$1:$1,0)))</f>
        <v>#N/A</v>
      </c>
      <c r="I397" t="e">
        <f>IF(INDEX( DATOS3!$1:$19996,A397,MATCH("Dose_Area_Product_Total", DATOS3!$1:$1,0))=0,0,INDEX( DATOS3!$1:$19996,A397,MATCH("Dose_Area_Product", DATOS3!$1:$1,0)))</f>
        <v>#N/A</v>
      </c>
      <c r="J397" t="e">
        <f>IF(INDEX( DATOS3!$1:$19996,A397,MATCH("Dose_RP_Total", DATOS3!$1:$1,0))=0,0,INDEX( DATOS3!$1:$19996,A397,MATCH("Dose_RP", DATOS3!$1:$1,0)))</f>
        <v>#N/A</v>
      </c>
      <c r="K397" t="e">
        <f>IF(INDEX( DATOS3!$1:$19996,A397,MATCH("Total_Fluoro_Time", DATOS3!$1:$1,0))=0,0,INDEX( DATOS3!$1:$19996,A397,MATCH("Total_Fluoro_Time", DATOS3!$1:$1,0)))</f>
        <v>#N/A</v>
      </c>
    </row>
    <row r="398" spans="1:11" hidden="1" x14ac:dyDescent="0.25">
      <c r="A398">
        <v>398</v>
      </c>
      <c r="B398" t="e">
        <f t="shared" si="12"/>
        <v>#N/A</v>
      </c>
      <c r="C398" t="e">
        <f t="shared" si="13"/>
        <v>#N/A</v>
      </c>
      <c r="D398" t="e">
        <f>IF(INDEX( DATOS3!$1:$19996,A398,MATCH("PatientID", DATOS3!$1:$1,0))=0,"",INDEX( DATOS3!$1:$19996,A398,MATCH("PatientID", DATOS3!$1:$1,0)))</f>
        <v>#N/A</v>
      </c>
      <c r="F398" t="e">
        <f>IF(INDEX( DATOS3!$1:$19996,A398,MATCH("SeriesDate", DATOS3!$1:$1,0))=0,"",INDEX( DATOS3!$1:$19996,A398,MATCH("SeriesDate", DATOS3!$1:$1,0)))</f>
        <v>#N/A</v>
      </c>
      <c r="G398" t="e">
        <f>IF(INDEX( DATOS3!$1:$19996,A398,MATCH("SeriesTime", DATOS3!$1:$1,0))=0,"",INDEX( DATOS3!$1:$19996,A398,MATCH("SeriesTime", DATOS3!$1:$1,0)))</f>
        <v>#N/A</v>
      </c>
      <c r="H398" t="e">
        <f>IF(INDEX( DATOS3!$1:$19996,A398,MATCH("StudyDescription", DATOS3!$1:$1,0))=0,"",INDEX( DATOS3!$1:$19996,A398,MATCH("StudyDescription", DATOS3!$1:$1,0)))</f>
        <v>#N/A</v>
      </c>
      <c r="I398" t="e">
        <f>IF(INDEX( DATOS3!$1:$19996,A398,MATCH("Dose_Area_Product_Total", DATOS3!$1:$1,0))=0,0,INDEX( DATOS3!$1:$19996,A398,MATCH("Dose_Area_Product", DATOS3!$1:$1,0)))</f>
        <v>#N/A</v>
      </c>
      <c r="J398" t="e">
        <f>IF(INDEX( DATOS3!$1:$19996,A398,MATCH("Dose_RP_Total", DATOS3!$1:$1,0))=0,0,INDEX( DATOS3!$1:$19996,A398,MATCH("Dose_RP", DATOS3!$1:$1,0)))</f>
        <v>#N/A</v>
      </c>
      <c r="K398" t="e">
        <f>IF(INDEX( DATOS3!$1:$19996,A398,MATCH("Total_Fluoro_Time", DATOS3!$1:$1,0))=0,0,INDEX( DATOS3!$1:$19996,A398,MATCH("Total_Fluoro_Time", DATOS3!$1:$1,0)))</f>
        <v>#N/A</v>
      </c>
    </row>
    <row r="399" spans="1:11" hidden="1" x14ac:dyDescent="0.25">
      <c r="A399">
        <v>399</v>
      </c>
      <c r="B399" t="e">
        <f t="shared" si="12"/>
        <v>#N/A</v>
      </c>
      <c r="C399" t="e">
        <f t="shared" si="13"/>
        <v>#N/A</v>
      </c>
      <c r="D399" t="e">
        <f>IF(INDEX( DATOS3!$1:$19996,A399,MATCH("PatientID", DATOS3!$1:$1,0))=0,"",INDEX( DATOS3!$1:$19996,A399,MATCH("PatientID", DATOS3!$1:$1,0)))</f>
        <v>#N/A</v>
      </c>
      <c r="F399" t="e">
        <f>IF(INDEX( DATOS3!$1:$19996,A399,MATCH("SeriesDate", DATOS3!$1:$1,0))=0,"",INDEX( DATOS3!$1:$19996,A399,MATCH("SeriesDate", DATOS3!$1:$1,0)))</f>
        <v>#N/A</v>
      </c>
      <c r="G399" t="e">
        <f>IF(INDEX( DATOS3!$1:$19996,A399,MATCH("SeriesTime", DATOS3!$1:$1,0))=0,"",INDEX( DATOS3!$1:$19996,A399,MATCH("SeriesTime", DATOS3!$1:$1,0)))</f>
        <v>#N/A</v>
      </c>
      <c r="H399" t="e">
        <f>IF(INDEX( DATOS3!$1:$19996,A399,MATCH("StudyDescription", DATOS3!$1:$1,0))=0,"",INDEX( DATOS3!$1:$19996,A399,MATCH("StudyDescription", DATOS3!$1:$1,0)))</f>
        <v>#N/A</v>
      </c>
      <c r="I399" t="e">
        <f>IF(INDEX( DATOS3!$1:$19996,A399,MATCH("Dose_Area_Product_Total", DATOS3!$1:$1,0))=0,0,INDEX( DATOS3!$1:$19996,A399,MATCH("Dose_Area_Product", DATOS3!$1:$1,0)))</f>
        <v>#N/A</v>
      </c>
      <c r="J399" t="e">
        <f>IF(INDEX( DATOS3!$1:$19996,A399,MATCH("Dose_RP_Total", DATOS3!$1:$1,0))=0,0,INDEX( DATOS3!$1:$19996,A399,MATCH("Dose_RP", DATOS3!$1:$1,0)))</f>
        <v>#N/A</v>
      </c>
      <c r="K399" t="e">
        <f>IF(INDEX( DATOS3!$1:$19996,A399,MATCH("Total_Fluoro_Time", DATOS3!$1:$1,0))=0,0,INDEX( DATOS3!$1:$19996,A399,MATCH("Total_Fluoro_Time", DATOS3!$1:$1,0)))</f>
        <v>#N/A</v>
      </c>
    </row>
    <row r="400" spans="1:11" hidden="1" x14ac:dyDescent="0.25">
      <c r="A400">
        <v>400</v>
      </c>
      <c r="B400" t="e">
        <f t="shared" si="12"/>
        <v>#N/A</v>
      </c>
      <c r="C400" t="e">
        <f t="shared" si="13"/>
        <v>#N/A</v>
      </c>
      <c r="D400" t="e">
        <f>IF(INDEX( DATOS3!$1:$19996,A400,MATCH("PatientID", DATOS3!$1:$1,0))=0,"",INDEX( DATOS3!$1:$19996,A400,MATCH("PatientID", DATOS3!$1:$1,0)))</f>
        <v>#N/A</v>
      </c>
      <c r="F400" t="e">
        <f>IF(INDEX( DATOS3!$1:$19996,A400,MATCH("SeriesDate", DATOS3!$1:$1,0))=0,"",INDEX( DATOS3!$1:$19996,A400,MATCH("SeriesDate", DATOS3!$1:$1,0)))</f>
        <v>#N/A</v>
      </c>
      <c r="G400" t="e">
        <f>IF(INDEX( DATOS3!$1:$19996,A400,MATCH("SeriesTime", DATOS3!$1:$1,0))=0,"",INDEX( DATOS3!$1:$19996,A400,MATCH("SeriesTime", DATOS3!$1:$1,0)))</f>
        <v>#N/A</v>
      </c>
      <c r="H400" t="e">
        <f>IF(INDEX( DATOS3!$1:$19996,A400,MATCH("StudyDescription", DATOS3!$1:$1,0))=0,"",INDEX( DATOS3!$1:$19996,A400,MATCH("StudyDescription", DATOS3!$1:$1,0)))</f>
        <v>#N/A</v>
      </c>
      <c r="I400" t="e">
        <f>IF(INDEX( DATOS3!$1:$19996,A400,MATCH("Dose_Area_Product_Total", DATOS3!$1:$1,0))=0,0,INDEX( DATOS3!$1:$19996,A400,MATCH("Dose_Area_Product", DATOS3!$1:$1,0)))</f>
        <v>#N/A</v>
      </c>
      <c r="J400" t="e">
        <f>IF(INDEX( DATOS3!$1:$19996,A400,MATCH("Dose_RP_Total", DATOS3!$1:$1,0))=0,0,INDEX( DATOS3!$1:$19996,A400,MATCH("Dose_RP", DATOS3!$1:$1,0)))</f>
        <v>#N/A</v>
      </c>
      <c r="K400" t="e">
        <f>IF(INDEX( DATOS3!$1:$19996,A400,MATCH("Total_Fluoro_Time", DATOS3!$1:$1,0))=0,0,INDEX( DATOS3!$1:$19996,A400,MATCH("Total_Fluoro_Time", DATOS3!$1:$1,0)))</f>
        <v>#N/A</v>
      </c>
    </row>
    <row r="401" spans="1:11" hidden="1" x14ac:dyDescent="0.25">
      <c r="A401">
        <v>401</v>
      </c>
      <c r="B401" t="e">
        <f t="shared" si="12"/>
        <v>#N/A</v>
      </c>
      <c r="C401" t="e">
        <f t="shared" si="13"/>
        <v>#N/A</v>
      </c>
      <c r="D401" t="e">
        <f>IF(INDEX( DATOS3!$1:$19996,A401,MATCH("PatientID", DATOS3!$1:$1,0))=0,"",INDEX( DATOS3!$1:$19996,A401,MATCH("PatientID", DATOS3!$1:$1,0)))</f>
        <v>#N/A</v>
      </c>
      <c r="F401" t="e">
        <f>IF(INDEX( DATOS3!$1:$19996,A401,MATCH("SeriesDate", DATOS3!$1:$1,0))=0,"",INDEX( DATOS3!$1:$19996,A401,MATCH("SeriesDate", DATOS3!$1:$1,0)))</f>
        <v>#N/A</v>
      </c>
      <c r="G401" t="e">
        <f>IF(INDEX( DATOS3!$1:$19996,A401,MATCH("SeriesTime", DATOS3!$1:$1,0))=0,"",INDEX( DATOS3!$1:$19996,A401,MATCH("SeriesTime", DATOS3!$1:$1,0)))</f>
        <v>#N/A</v>
      </c>
      <c r="H401" t="e">
        <f>IF(INDEX( DATOS3!$1:$19996,A401,MATCH("StudyDescription", DATOS3!$1:$1,0))=0,"",INDEX( DATOS3!$1:$19996,A401,MATCH("StudyDescription", DATOS3!$1:$1,0)))</f>
        <v>#N/A</v>
      </c>
      <c r="I401" t="e">
        <f>IF(INDEX( DATOS3!$1:$19996,A401,MATCH("Dose_Area_Product_Total", DATOS3!$1:$1,0))=0,0,INDEX( DATOS3!$1:$19996,A401,MATCH("Dose_Area_Product", DATOS3!$1:$1,0)))</f>
        <v>#N/A</v>
      </c>
      <c r="J401" t="e">
        <f>IF(INDEX( DATOS3!$1:$19996,A401,MATCH("Dose_RP_Total", DATOS3!$1:$1,0))=0,0,INDEX( DATOS3!$1:$19996,A401,MATCH("Dose_RP", DATOS3!$1:$1,0)))</f>
        <v>#N/A</v>
      </c>
      <c r="K401" t="e">
        <f>IF(INDEX( DATOS3!$1:$19996,A401,MATCH("Total_Fluoro_Time", DATOS3!$1:$1,0))=0,0,INDEX( DATOS3!$1:$19996,A401,MATCH("Total_Fluoro_Time", DATOS3!$1:$1,0)))</f>
        <v>#N/A</v>
      </c>
    </row>
    <row r="402" spans="1:11" hidden="1" x14ac:dyDescent="0.25">
      <c r="A402">
        <v>402</v>
      </c>
      <c r="B402" t="e">
        <f t="shared" si="12"/>
        <v>#N/A</v>
      </c>
      <c r="C402" t="e">
        <f t="shared" si="13"/>
        <v>#N/A</v>
      </c>
      <c r="D402" t="e">
        <f>IF(INDEX( DATOS3!$1:$19996,A402,MATCH("PatientID", DATOS3!$1:$1,0))=0,"",INDEX( DATOS3!$1:$19996,A402,MATCH("PatientID", DATOS3!$1:$1,0)))</f>
        <v>#N/A</v>
      </c>
      <c r="F402" t="e">
        <f>IF(INDEX( DATOS3!$1:$19996,A402,MATCH("SeriesDate", DATOS3!$1:$1,0))=0,"",INDEX( DATOS3!$1:$19996,A402,MATCH("SeriesDate", DATOS3!$1:$1,0)))</f>
        <v>#N/A</v>
      </c>
      <c r="G402" t="e">
        <f>IF(INDEX( DATOS3!$1:$19996,A402,MATCH("SeriesTime", DATOS3!$1:$1,0))=0,"",INDEX( DATOS3!$1:$19996,A402,MATCH("SeriesTime", DATOS3!$1:$1,0)))</f>
        <v>#N/A</v>
      </c>
      <c r="H402" t="e">
        <f>IF(INDEX( DATOS3!$1:$19996,A402,MATCH("StudyDescription", DATOS3!$1:$1,0))=0,"",INDEX( DATOS3!$1:$19996,A402,MATCH("StudyDescription", DATOS3!$1:$1,0)))</f>
        <v>#N/A</v>
      </c>
      <c r="I402" t="e">
        <f>IF(INDEX( DATOS3!$1:$19996,A402,MATCH("Dose_Area_Product_Total", DATOS3!$1:$1,0))=0,0,INDEX( DATOS3!$1:$19996,A402,MATCH("Dose_Area_Product", DATOS3!$1:$1,0)))</f>
        <v>#N/A</v>
      </c>
      <c r="J402" t="e">
        <f>IF(INDEX( DATOS3!$1:$19996,A402,MATCH("Dose_RP_Total", DATOS3!$1:$1,0))=0,0,INDEX( DATOS3!$1:$19996,A402,MATCH("Dose_RP", DATOS3!$1:$1,0)))</f>
        <v>#N/A</v>
      </c>
      <c r="K402" t="e">
        <f>IF(INDEX( DATOS3!$1:$19996,A402,MATCH("Total_Fluoro_Time", DATOS3!$1:$1,0))=0,0,INDEX( DATOS3!$1:$19996,A402,MATCH("Total_Fluoro_Time", DATOS3!$1:$1,0)))</f>
        <v>#N/A</v>
      </c>
    </row>
    <row r="403" spans="1:11" hidden="1" x14ac:dyDescent="0.25">
      <c r="A403">
        <v>403</v>
      </c>
      <c r="B403" t="e">
        <f t="shared" si="12"/>
        <v>#N/A</v>
      </c>
      <c r="C403" t="e">
        <f t="shared" si="13"/>
        <v>#N/A</v>
      </c>
      <c r="D403" t="e">
        <f>IF(INDEX( DATOS3!$1:$19996,A403,MATCH("PatientID", DATOS3!$1:$1,0))=0,"",INDEX( DATOS3!$1:$19996,A403,MATCH("PatientID", DATOS3!$1:$1,0)))</f>
        <v>#N/A</v>
      </c>
      <c r="F403" t="e">
        <f>IF(INDEX( DATOS3!$1:$19996,A403,MATCH("SeriesDate", DATOS3!$1:$1,0))=0,"",INDEX( DATOS3!$1:$19996,A403,MATCH("SeriesDate", DATOS3!$1:$1,0)))</f>
        <v>#N/A</v>
      </c>
      <c r="G403" t="e">
        <f>IF(INDEX( DATOS3!$1:$19996,A403,MATCH("SeriesTime", DATOS3!$1:$1,0))=0,"",INDEX( DATOS3!$1:$19996,A403,MATCH("SeriesTime", DATOS3!$1:$1,0)))</f>
        <v>#N/A</v>
      </c>
      <c r="H403" t="e">
        <f>IF(INDEX( DATOS3!$1:$19996,A403,MATCH("StudyDescription", DATOS3!$1:$1,0))=0,"",INDEX( DATOS3!$1:$19996,A403,MATCH("StudyDescription", DATOS3!$1:$1,0)))</f>
        <v>#N/A</v>
      </c>
      <c r="I403" t="e">
        <f>IF(INDEX( DATOS3!$1:$19996,A403,MATCH("Dose_Area_Product_Total", DATOS3!$1:$1,0))=0,0,INDEX( DATOS3!$1:$19996,A403,MATCH("Dose_Area_Product", DATOS3!$1:$1,0)))</f>
        <v>#N/A</v>
      </c>
      <c r="J403" t="e">
        <f>IF(INDEX( DATOS3!$1:$19996,A403,MATCH("Dose_RP_Total", DATOS3!$1:$1,0))=0,0,INDEX( DATOS3!$1:$19996,A403,MATCH("Dose_RP", DATOS3!$1:$1,0)))</f>
        <v>#N/A</v>
      </c>
      <c r="K403" t="e">
        <f>IF(INDEX( DATOS3!$1:$19996,A403,MATCH("Total_Fluoro_Time", DATOS3!$1:$1,0))=0,0,INDEX( DATOS3!$1:$19996,A403,MATCH("Total_Fluoro_Time", DATOS3!$1:$1,0)))</f>
        <v>#N/A</v>
      </c>
    </row>
    <row r="404" spans="1:11" hidden="1" x14ac:dyDescent="0.25">
      <c r="A404">
        <v>404</v>
      </c>
      <c r="B404" t="e">
        <f t="shared" si="12"/>
        <v>#N/A</v>
      </c>
      <c r="C404" t="e">
        <f t="shared" si="13"/>
        <v>#N/A</v>
      </c>
      <c r="D404" t="e">
        <f>IF(INDEX( DATOS3!$1:$19996,A404,MATCH("PatientID", DATOS3!$1:$1,0))=0,"",INDEX( DATOS3!$1:$19996,A404,MATCH("PatientID", DATOS3!$1:$1,0)))</f>
        <v>#N/A</v>
      </c>
      <c r="F404" t="e">
        <f>IF(INDEX( DATOS3!$1:$19996,A404,MATCH("SeriesDate", DATOS3!$1:$1,0))=0,"",INDEX( DATOS3!$1:$19996,A404,MATCH("SeriesDate", DATOS3!$1:$1,0)))</f>
        <v>#N/A</v>
      </c>
      <c r="G404" t="e">
        <f>IF(INDEX( DATOS3!$1:$19996,A404,MATCH("SeriesTime", DATOS3!$1:$1,0))=0,"",INDEX( DATOS3!$1:$19996,A404,MATCH("SeriesTime", DATOS3!$1:$1,0)))</f>
        <v>#N/A</v>
      </c>
      <c r="H404" t="e">
        <f>IF(INDEX( DATOS3!$1:$19996,A404,MATCH("StudyDescription", DATOS3!$1:$1,0))=0,"",INDEX( DATOS3!$1:$19996,A404,MATCH("StudyDescription", DATOS3!$1:$1,0)))</f>
        <v>#N/A</v>
      </c>
      <c r="I404" t="e">
        <f>IF(INDEX( DATOS3!$1:$19996,A404,MATCH("Dose_Area_Product_Total", DATOS3!$1:$1,0))=0,0,INDEX( DATOS3!$1:$19996,A404,MATCH("Dose_Area_Product", DATOS3!$1:$1,0)))</f>
        <v>#N/A</v>
      </c>
      <c r="J404" t="e">
        <f>IF(INDEX( DATOS3!$1:$19996,A404,MATCH("Dose_RP_Total", DATOS3!$1:$1,0))=0,0,INDEX( DATOS3!$1:$19996,A404,MATCH("Dose_RP", DATOS3!$1:$1,0)))</f>
        <v>#N/A</v>
      </c>
      <c r="K404" t="e">
        <f>IF(INDEX( DATOS3!$1:$19996,A404,MATCH("Total_Fluoro_Time", DATOS3!$1:$1,0))=0,0,INDEX( DATOS3!$1:$19996,A404,MATCH("Total_Fluoro_Time", DATOS3!$1:$1,0)))</f>
        <v>#N/A</v>
      </c>
    </row>
    <row r="405" spans="1:11" hidden="1" x14ac:dyDescent="0.25">
      <c r="A405">
        <v>405</v>
      </c>
      <c r="B405" t="e">
        <f t="shared" si="12"/>
        <v>#N/A</v>
      </c>
      <c r="C405" t="e">
        <f t="shared" si="13"/>
        <v>#N/A</v>
      </c>
      <c r="D405" t="e">
        <f>IF(INDEX( DATOS3!$1:$19996,A405,MATCH("PatientID", DATOS3!$1:$1,0))=0,"",INDEX( DATOS3!$1:$19996,A405,MATCH("PatientID", DATOS3!$1:$1,0)))</f>
        <v>#N/A</v>
      </c>
      <c r="F405" t="e">
        <f>IF(INDEX( DATOS3!$1:$19996,A405,MATCH("SeriesDate", DATOS3!$1:$1,0))=0,"",INDEX( DATOS3!$1:$19996,A405,MATCH("SeriesDate", DATOS3!$1:$1,0)))</f>
        <v>#N/A</v>
      </c>
      <c r="G405" t="e">
        <f>IF(INDEX( DATOS3!$1:$19996,A405,MATCH("SeriesTime", DATOS3!$1:$1,0))=0,"",INDEX( DATOS3!$1:$19996,A405,MATCH("SeriesTime", DATOS3!$1:$1,0)))</f>
        <v>#N/A</v>
      </c>
      <c r="H405" t="e">
        <f>IF(INDEX( DATOS3!$1:$19996,A405,MATCH("StudyDescription", DATOS3!$1:$1,0))=0,"",INDEX( DATOS3!$1:$19996,A405,MATCH("StudyDescription", DATOS3!$1:$1,0)))</f>
        <v>#N/A</v>
      </c>
      <c r="I405" t="e">
        <f>IF(INDEX( DATOS3!$1:$19996,A405,MATCH("Dose_Area_Product_Total", DATOS3!$1:$1,0))=0,0,INDEX( DATOS3!$1:$19996,A405,MATCH("Dose_Area_Product", DATOS3!$1:$1,0)))</f>
        <v>#N/A</v>
      </c>
      <c r="J405" t="e">
        <f>IF(INDEX( DATOS3!$1:$19996,A405,MATCH("Dose_RP_Total", DATOS3!$1:$1,0))=0,0,INDEX( DATOS3!$1:$19996,A405,MATCH("Dose_RP", DATOS3!$1:$1,0)))</f>
        <v>#N/A</v>
      </c>
      <c r="K405" t="e">
        <f>IF(INDEX( DATOS3!$1:$19996,A405,MATCH("Total_Fluoro_Time", DATOS3!$1:$1,0))=0,0,INDEX( DATOS3!$1:$19996,A405,MATCH("Total_Fluoro_Time", DATOS3!$1:$1,0)))</f>
        <v>#N/A</v>
      </c>
    </row>
    <row r="406" spans="1:11" hidden="1" x14ac:dyDescent="0.25">
      <c r="A406">
        <v>406</v>
      </c>
      <c r="B406" t="e">
        <f t="shared" si="12"/>
        <v>#N/A</v>
      </c>
      <c r="C406" t="e">
        <f t="shared" si="13"/>
        <v>#N/A</v>
      </c>
      <c r="D406" t="e">
        <f>IF(INDEX( DATOS3!$1:$19996,A406,MATCH("PatientID", DATOS3!$1:$1,0))=0,"",INDEX( DATOS3!$1:$19996,A406,MATCH("PatientID", DATOS3!$1:$1,0)))</f>
        <v>#N/A</v>
      </c>
      <c r="F406" t="e">
        <f>IF(INDEX( DATOS3!$1:$19996,A406,MATCH("SeriesDate", DATOS3!$1:$1,0))=0,"",INDEX( DATOS3!$1:$19996,A406,MATCH("SeriesDate", DATOS3!$1:$1,0)))</f>
        <v>#N/A</v>
      </c>
      <c r="G406" t="e">
        <f>IF(INDEX( DATOS3!$1:$19996,A406,MATCH("SeriesTime", DATOS3!$1:$1,0))=0,"",INDEX( DATOS3!$1:$19996,A406,MATCH("SeriesTime", DATOS3!$1:$1,0)))</f>
        <v>#N/A</v>
      </c>
      <c r="H406" t="e">
        <f>IF(INDEX( DATOS3!$1:$19996,A406,MATCH("StudyDescription", DATOS3!$1:$1,0))=0,"",INDEX( DATOS3!$1:$19996,A406,MATCH("StudyDescription", DATOS3!$1:$1,0)))</f>
        <v>#N/A</v>
      </c>
      <c r="I406" t="e">
        <f>IF(INDEX( DATOS3!$1:$19996,A406,MATCH("Dose_Area_Product_Total", DATOS3!$1:$1,0))=0,0,INDEX( DATOS3!$1:$19996,A406,MATCH("Dose_Area_Product", DATOS3!$1:$1,0)))</f>
        <v>#N/A</v>
      </c>
      <c r="J406" t="e">
        <f>IF(INDEX( DATOS3!$1:$19996,A406,MATCH("Dose_RP_Total", DATOS3!$1:$1,0))=0,0,INDEX( DATOS3!$1:$19996,A406,MATCH("Dose_RP", DATOS3!$1:$1,0)))</f>
        <v>#N/A</v>
      </c>
      <c r="K406" t="e">
        <f>IF(INDEX( DATOS3!$1:$19996,A406,MATCH("Total_Fluoro_Time", DATOS3!$1:$1,0))=0,0,INDEX( DATOS3!$1:$19996,A406,MATCH("Total_Fluoro_Time", DATOS3!$1:$1,0)))</f>
        <v>#N/A</v>
      </c>
    </row>
    <row r="407" spans="1:11" hidden="1" x14ac:dyDescent="0.25">
      <c r="A407">
        <v>407</v>
      </c>
      <c r="B407" t="e">
        <f t="shared" si="12"/>
        <v>#N/A</v>
      </c>
      <c r="C407" t="e">
        <f t="shared" si="13"/>
        <v>#N/A</v>
      </c>
      <c r="D407" t="e">
        <f>IF(INDEX( DATOS3!$1:$19996,A407,MATCH("PatientID", DATOS3!$1:$1,0))=0,"",INDEX( DATOS3!$1:$19996,A407,MATCH("PatientID", DATOS3!$1:$1,0)))</f>
        <v>#N/A</v>
      </c>
      <c r="F407" t="e">
        <f>IF(INDEX( DATOS3!$1:$19996,A407,MATCH("SeriesDate", DATOS3!$1:$1,0))=0,"",INDEX( DATOS3!$1:$19996,A407,MATCH("SeriesDate", DATOS3!$1:$1,0)))</f>
        <v>#N/A</v>
      </c>
      <c r="G407" t="e">
        <f>IF(INDEX( DATOS3!$1:$19996,A407,MATCH("SeriesTime", DATOS3!$1:$1,0))=0,"",INDEX( DATOS3!$1:$19996,A407,MATCH("SeriesTime", DATOS3!$1:$1,0)))</f>
        <v>#N/A</v>
      </c>
      <c r="H407" t="e">
        <f>IF(INDEX( DATOS3!$1:$19996,A407,MATCH("StudyDescription", DATOS3!$1:$1,0))=0,"",INDEX( DATOS3!$1:$19996,A407,MATCH("StudyDescription", DATOS3!$1:$1,0)))</f>
        <v>#N/A</v>
      </c>
      <c r="I407" t="e">
        <f>IF(INDEX( DATOS3!$1:$19996,A407,MATCH("Dose_Area_Product_Total", DATOS3!$1:$1,0))=0,0,INDEX( DATOS3!$1:$19996,A407,MATCH("Dose_Area_Product", DATOS3!$1:$1,0)))</f>
        <v>#N/A</v>
      </c>
      <c r="J407" t="e">
        <f>IF(INDEX( DATOS3!$1:$19996,A407,MATCH("Dose_RP_Total", DATOS3!$1:$1,0))=0,0,INDEX( DATOS3!$1:$19996,A407,MATCH("Dose_RP", DATOS3!$1:$1,0)))</f>
        <v>#N/A</v>
      </c>
      <c r="K407" t="e">
        <f>IF(INDEX( DATOS3!$1:$19996,A407,MATCH("Total_Fluoro_Time", DATOS3!$1:$1,0))=0,0,INDEX( DATOS3!$1:$19996,A407,MATCH("Total_Fluoro_Time", DATOS3!$1:$1,0)))</f>
        <v>#N/A</v>
      </c>
    </row>
    <row r="408" spans="1:11" hidden="1" x14ac:dyDescent="0.25">
      <c r="A408">
        <v>408</v>
      </c>
      <c r="B408" t="e">
        <f t="shared" si="12"/>
        <v>#N/A</v>
      </c>
      <c r="C408" t="e">
        <f t="shared" si="13"/>
        <v>#N/A</v>
      </c>
      <c r="D408" t="e">
        <f>IF(INDEX( DATOS3!$1:$19996,A408,MATCH("PatientID", DATOS3!$1:$1,0))=0,"",INDEX( DATOS3!$1:$19996,A408,MATCH("PatientID", DATOS3!$1:$1,0)))</f>
        <v>#N/A</v>
      </c>
      <c r="F408" t="e">
        <f>IF(INDEX( DATOS3!$1:$19996,A408,MATCH("SeriesDate", DATOS3!$1:$1,0))=0,"",INDEX( DATOS3!$1:$19996,A408,MATCH("SeriesDate", DATOS3!$1:$1,0)))</f>
        <v>#N/A</v>
      </c>
      <c r="G408" t="e">
        <f>IF(INDEX( DATOS3!$1:$19996,A408,MATCH("SeriesTime", DATOS3!$1:$1,0))=0,"",INDEX( DATOS3!$1:$19996,A408,MATCH("SeriesTime", DATOS3!$1:$1,0)))</f>
        <v>#N/A</v>
      </c>
      <c r="H408" t="e">
        <f>IF(INDEX( DATOS3!$1:$19996,A408,MATCH("StudyDescription", DATOS3!$1:$1,0))=0,"",INDEX( DATOS3!$1:$19996,A408,MATCH("StudyDescription", DATOS3!$1:$1,0)))</f>
        <v>#N/A</v>
      </c>
      <c r="I408" t="e">
        <f>IF(INDEX( DATOS3!$1:$19996,A408,MATCH("Dose_Area_Product_Total", DATOS3!$1:$1,0))=0,0,INDEX( DATOS3!$1:$19996,A408,MATCH("Dose_Area_Product", DATOS3!$1:$1,0)))</f>
        <v>#N/A</v>
      </c>
      <c r="J408" t="e">
        <f>IF(INDEX( DATOS3!$1:$19996,A408,MATCH("Dose_RP_Total", DATOS3!$1:$1,0))=0,0,INDEX( DATOS3!$1:$19996,A408,MATCH("Dose_RP", DATOS3!$1:$1,0)))</f>
        <v>#N/A</v>
      </c>
      <c r="K408" t="e">
        <f>IF(INDEX( DATOS3!$1:$19996,A408,MATCH("Total_Fluoro_Time", DATOS3!$1:$1,0))=0,0,INDEX( DATOS3!$1:$19996,A408,MATCH("Total_Fluoro_Time", DATOS3!$1:$1,0)))</f>
        <v>#N/A</v>
      </c>
    </row>
    <row r="409" spans="1:11" hidden="1" x14ac:dyDescent="0.25">
      <c r="A409">
        <v>409</v>
      </c>
      <c r="B409" t="e">
        <f t="shared" si="12"/>
        <v>#N/A</v>
      </c>
      <c r="C409" t="e">
        <f t="shared" si="13"/>
        <v>#N/A</v>
      </c>
      <c r="D409" t="e">
        <f>IF(INDEX( DATOS3!$1:$19996,A409,MATCH("PatientID", DATOS3!$1:$1,0))=0,"",INDEX( DATOS3!$1:$19996,A409,MATCH("PatientID", DATOS3!$1:$1,0)))</f>
        <v>#N/A</v>
      </c>
      <c r="F409" t="e">
        <f>IF(INDEX( DATOS3!$1:$19996,A409,MATCH("SeriesDate", DATOS3!$1:$1,0))=0,"",INDEX( DATOS3!$1:$19996,A409,MATCH("SeriesDate", DATOS3!$1:$1,0)))</f>
        <v>#N/A</v>
      </c>
      <c r="G409" t="e">
        <f>IF(INDEX( DATOS3!$1:$19996,A409,MATCH("SeriesTime", DATOS3!$1:$1,0))=0,"",INDEX( DATOS3!$1:$19996,A409,MATCH("SeriesTime", DATOS3!$1:$1,0)))</f>
        <v>#N/A</v>
      </c>
      <c r="H409" t="e">
        <f>IF(INDEX( DATOS3!$1:$19996,A409,MATCH("StudyDescription", DATOS3!$1:$1,0))=0,"",INDEX( DATOS3!$1:$19996,A409,MATCH("StudyDescription", DATOS3!$1:$1,0)))</f>
        <v>#N/A</v>
      </c>
      <c r="I409" t="e">
        <f>IF(INDEX( DATOS3!$1:$19996,A409,MATCH("Dose_Area_Product_Total", DATOS3!$1:$1,0))=0,0,INDEX( DATOS3!$1:$19996,A409,MATCH("Dose_Area_Product", DATOS3!$1:$1,0)))</f>
        <v>#N/A</v>
      </c>
      <c r="J409" t="e">
        <f>IF(INDEX( DATOS3!$1:$19996,A409,MATCH("Dose_RP_Total", DATOS3!$1:$1,0))=0,0,INDEX( DATOS3!$1:$19996,A409,MATCH("Dose_RP", DATOS3!$1:$1,0)))</f>
        <v>#N/A</v>
      </c>
      <c r="K409" t="e">
        <f>IF(INDEX( DATOS3!$1:$19996,A409,MATCH("Total_Fluoro_Time", DATOS3!$1:$1,0))=0,0,INDEX( DATOS3!$1:$19996,A409,MATCH("Total_Fluoro_Time", DATOS3!$1:$1,0)))</f>
        <v>#N/A</v>
      </c>
    </row>
    <row r="410" spans="1:11" hidden="1" x14ac:dyDescent="0.25">
      <c r="A410">
        <v>410</v>
      </c>
      <c r="B410" t="e">
        <f t="shared" si="12"/>
        <v>#N/A</v>
      </c>
      <c r="C410" t="e">
        <f t="shared" si="13"/>
        <v>#N/A</v>
      </c>
      <c r="D410" t="e">
        <f>IF(INDEX( DATOS3!$1:$19996,A410,MATCH("PatientID", DATOS3!$1:$1,0))=0,"",INDEX( DATOS3!$1:$19996,A410,MATCH("PatientID", DATOS3!$1:$1,0)))</f>
        <v>#N/A</v>
      </c>
      <c r="F410" t="e">
        <f>IF(INDEX( DATOS3!$1:$19996,A410,MATCH("SeriesDate", DATOS3!$1:$1,0))=0,"",INDEX( DATOS3!$1:$19996,A410,MATCH("SeriesDate", DATOS3!$1:$1,0)))</f>
        <v>#N/A</v>
      </c>
      <c r="G410" t="e">
        <f>IF(INDEX( DATOS3!$1:$19996,A410,MATCH("SeriesTime", DATOS3!$1:$1,0))=0,"",INDEX( DATOS3!$1:$19996,A410,MATCH("SeriesTime", DATOS3!$1:$1,0)))</f>
        <v>#N/A</v>
      </c>
      <c r="H410" t="e">
        <f>IF(INDEX( DATOS3!$1:$19996,A410,MATCH("StudyDescription", DATOS3!$1:$1,0))=0,"",INDEX( DATOS3!$1:$19996,A410,MATCH("StudyDescription", DATOS3!$1:$1,0)))</f>
        <v>#N/A</v>
      </c>
      <c r="I410" t="e">
        <f>IF(INDEX( DATOS3!$1:$19996,A410,MATCH("Dose_Area_Product_Total", DATOS3!$1:$1,0))=0,0,INDEX( DATOS3!$1:$19996,A410,MATCH("Dose_Area_Product", DATOS3!$1:$1,0)))</f>
        <v>#N/A</v>
      </c>
      <c r="J410" t="e">
        <f>IF(INDEX( DATOS3!$1:$19996,A410,MATCH("Dose_RP_Total", DATOS3!$1:$1,0))=0,0,INDEX( DATOS3!$1:$19996,A410,MATCH("Dose_RP", DATOS3!$1:$1,0)))</f>
        <v>#N/A</v>
      </c>
      <c r="K410" t="e">
        <f>IF(INDEX( DATOS3!$1:$19996,A410,MATCH("Total_Fluoro_Time", DATOS3!$1:$1,0))=0,0,INDEX( DATOS3!$1:$19996,A410,MATCH("Total_Fluoro_Time", DATOS3!$1:$1,0)))</f>
        <v>#N/A</v>
      </c>
    </row>
    <row r="411" spans="1:11" hidden="1" x14ac:dyDescent="0.25">
      <c r="A411">
        <v>411</v>
      </c>
      <c r="B411" t="e">
        <f t="shared" si="12"/>
        <v>#N/A</v>
      </c>
      <c r="C411" t="e">
        <f t="shared" si="13"/>
        <v>#N/A</v>
      </c>
      <c r="D411" t="e">
        <f>IF(INDEX( DATOS3!$1:$19996,A411,MATCH("PatientID", DATOS3!$1:$1,0))=0,"",INDEX( DATOS3!$1:$19996,A411,MATCH("PatientID", DATOS3!$1:$1,0)))</f>
        <v>#N/A</v>
      </c>
      <c r="F411" t="e">
        <f>IF(INDEX( DATOS3!$1:$19996,A411,MATCH("SeriesDate", DATOS3!$1:$1,0))=0,"",INDEX( DATOS3!$1:$19996,A411,MATCH("SeriesDate", DATOS3!$1:$1,0)))</f>
        <v>#N/A</v>
      </c>
      <c r="G411" t="e">
        <f>IF(INDEX( DATOS3!$1:$19996,A411,MATCH("SeriesTime", DATOS3!$1:$1,0))=0,"",INDEX( DATOS3!$1:$19996,A411,MATCH("SeriesTime", DATOS3!$1:$1,0)))</f>
        <v>#N/A</v>
      </c>
      <c r="H411" t="e">
        <f>IF(INDEX( DATOS3!$1:$19996,A411,MATCH("StudyDescription", DATOS3!$1:$1,0))=0,"",INDEX( DATOS3!$1:$19996,A411,MATCH("StudyDescription", DATOS3!$1:$1,0)))</f>
        <v>#N/A</v>
      </c>
      <c r="I411" t="e">
        <f>IF(INDEX( DATOS3!$1:$19996,A411,MATCH("Dose_Area_Product_Total", DATOS3!$1:$1,0))=0,0,INDEX( DATOS3!$1:$19996,A411,MATCH("Dose_Area_Product", DATOS3!$1:$1,0)))</f>
        <v>#N/A</v>
      </c>
      <c r="J411" t="e">
        <f>IF(INDEX( DATOS3!$1:$19996,A411,MATCH("Dose_RP_Total", DATOS3!$1:$1,0))=0,0,INDEX( DATOS3!$1:$19996,A411,MATCH("Dose_RP", DATOS3!$1:$1,0)))</f>
        <v>#N/A</v>
      </c>
      <c r="K411" t="e">
        <f>IF(INDEX( DATOS3!$1:$19996,A411,MATCH("Total_Fluoro_Time", DATOS3!$1:$1,0))=0,0,INDEX( DATOS3!$1:$19996,A411,MATCH("Total_Fluoro_Time", DATOS3!$1:$1,0)))</f>
        <v>#N/A</v>
      </c>
    </row>
    <row r="412" spans="1:11" hidden="1" x14ac:dyDescent="0.25">
      <c r="A412">
        <v>412</v>
      </c>
      <c r="B412" t="e">
        <f t="shared" si="12"/>
        <v>#N/A</v>
      </c>
      <c r="C412" t="e">
        <f t="shared" si="13"/>
        <v>#N/A</v>
      </c>
      <c r="D412" t="e">
        <f>IF(INDEX( DATOS3!$1:$19996,A412,MATCH("PatientID", DATOS3!$1:$1,0))=0,"",INDEX( DATOS3!$1:$19996,A412,MATCH("PatientID", DATOS3!$1:$1,0)))</f>
        <v>#N/A</v>
      </c>
      <c r="F412" t="e">
        <f>IF(INDEX( DATOS3!$1:$19996,A412,MATCH("SeriesDate", DATOS3!$1:$1,0))=0,"",INDEX( DATOS3!$1:$19996,A412,MATCH("SeriesDate", DATOS3!$1:$1,0)))</f>
        <v>#N/A</v>
      </c>
      <c r="G412" t="e">
        <f>IF(INDEX( DATOS3!$1:$19996,A412,MATCH("SeriesTime", DATOS3!$1:$1,0))=0,"",INDEX( DATOS3!$1:$19996,A412,MATCH("SeriesTime", DATOS3!$1:$1,0)))</f>
        <v>#N/A</v>
      </c>
      <c r="H412" t="e">
        <f>IF(INDEX( DATOS3!$1:$19996,A412,MATCH("StudyDescription", DATOS3!$1:$1,0))=0,"",INDEX( DATOS3!$1:$19996,A412,MATCH("StudyDescription", DATOS3!$1:$1,0)))</f>
        <v>#N/A</v>
      </c>
      <c r="I412" t="e">
        <f>IF(INDEX( DATOS3!$1:$19996,A412,MATCH("Dose_Area_Product_Total", DATOS3!$1:$1,0))=0,0,INDEX( DATOS3!$1:$19996,A412,MATCH("Dose_Area_Product", DATOS3!$1:$1,0)))</f>
        <v>#N/A</v>
      </c>
      <c r="J412" t="e">
        <f>IF(INDEX( DATOS3!$1:$19996,A412,MATCH("Dose_RP_Total", DATOS3!$1:$1,0))=0,0,INDEX( DATOS3!$1:$19996,A412,MATCH("Dose_RP", DATOS3!$1:$1,0)))</f>
        <v>#N/A</v>
      </c>
      <c r="K412" t="e">
        <f>IF(INDEX( DATOS3!$1:$19996,A412,MATCH("Total_Fluoro_Time", DATOS3!$1:$1,0))=0,0,INDEX( DATOS3!$1:$19996,A412,MATCH("Total_Fluoro_Time", DATOS3!$1:$1,0)))</f>
        <v>#N/A</v>
      </c>
    </row>
    <row r="413" spans="1:11" hidden="1" x14ac:dyDescent="0.25">
      <c r="A413">
        <v>413</v>
      </c>
      <c r="B413" t="e">
        <f t="shared" si="12"/>
        <v>#N/A</v>
      </c>
      <c r="C413" t="e">
        <f t="shared" si="13"/>
        <v>#N/A</v>
      </c>
      <c r="D413" t="e">
        <f>IF(INDEX( DATOS3!$1:$19996,A413,MATCH("PatientID", DATOS3!$1:$1,0))=0,"",INDEX( DATOS3!$1:$19996,A413,MATCH("PatientID", DATOS3!$1:$1,0)))</f>
        <v>#N/A</v>
      </c>
      <c r="F413" t="e">
        <f>IF(INDEX( DATOS3!$1:$19996,A413,MATCH("SeriesDate", DATOS3!$1:$1,0))=0,"",INDEX( DATOS3!$1:$19996,A413,MATCH("SeriesDate", DATOS3!$1:$1,0)))</f>
        <v>#N/A</v>
      </c>
      <c r="G413" t="e">
        <f>IF(INDEX( DATOS3!$1:$19996,A413,MATCH("SeriesTime", DATOS3!$1:$1,0))=0,"",INDEX( DATOS3!$1:$19996,A413,MATCH("SeriesTime", DATOS3!$1:$1,0)))</f>
        <v>#N/A</v>
      </c>
      <c r="H413" t="e">
        <f>IF(INDEX( DATOS3!$1:$19996,A413,MATCH("StudyDescription", DATOS3!$1:$1,0))=0,"",INDEX( DATOS3!$1:$19996,A413,MATCH("StudyDescription", DATOS3!$1:$1,0)))</f>
        <v>#N/A</v>
      </c>
      <c r="I413" t="e">
        <f>IF(INDEX( DATOS3!$1:$19996,A413,MATCH("Dose_Area_Product_Total", DATOS3!$1:$1,0))=0,0,INDEX( DATOS3!$1:$19996,A413,MATCH("Dose_Area_Product", DATOS3!$1:$1,0)))</f>
        <v>#N/A</v>
      </c>
      <c r="J413" t="e">
        <f>IF(INDEX( DATOS3!$1:$19996,A413,MATCH("Dose_RP_Total", DATOS3!$1:$1,0))=0,0,INDEX( DATOS3!$1:$19996,A413,MATCH("Dose_RP", DATOS3!$1:$1,0)))</f>
        <v>#N/A</v>
      </c>
      <c r="K413" t="e">
        <f>IF(INDEX( DATOS3!$1:$19996,A413,MATCH("Total_Fluoro_Time", DATOS3!$1:$1,0))=0,0,INDEX( DATOS3!$1:$19996,A413,MATCH("Total_Fluoro_Time", DATOS3!$1:$1,0)))</f>
        <v>#N/A</v>
      </c>
    </row>
    <row r="414" spans="1:11" hidden="1" x14ac:dyDescent="0.25">
      <c r="A414">
        <v>414</v>
      </c>
      <c r="B414" t="e">
        <f t="shared" si="12"/>
        <v>#N/A</v>
      </c>
      <c r="C414" t="e">
        <f t="shared" si="13"/>
        <v>#N/A</v>
      </c>
      <c r="D414" t="e">
        <f>IF(INDEX( DATOS3!$1:$19996,A414,MATCH("PatientID", DATOS3!$1:$1,0))=0,"",INDEX( DATOS3!$1:$19996,A414,MATCH("PatientID", DATOS3!$1:$1,0)))</f>
        <v>#N/A</v>
      </c>
      <c r="F414" t="e">
        <f>IF(INDEX( DATOS3!$1:$19996,A414,MATCH("SeriesDate", DATOS3!$1:$1,0))=0,"",INDEX( DATOS3!$1:$19996,A414,MATCH("SeriesDate", DATOS3!$1:$1,0)))</f>
        <v>#N/A</v>
      </c>
      <c r="G414" t="e">
        <f>IF(INDEX( DATOS3!$1:$19996,A414,MATCH("SeriesTime", DATOS3!$1:$1,0))=0,"",INDEX( DATOS3!$1:$19996,A414,MATCH("SeriesTime", DATOS3!$1:$1,0)))</f>
        <v>#N/A</v>
      </c>
      <c r="H414" t="e">
        <f>IF(INDEX( DATOS3!$1:$19996,A414,MATCH("StudyDescription", DATOS3!$1:$1,0))=0,"",INDEX( DATOS3!$1:$19996,A414,MATCH("StudyDescription", DATOS3!$1:$1,0)))</f>
        <v>#N/A</v>
      </c>
      <c r="I414" t="e">
        <f>IF(INDEX( DATOS3!$1:$19996,A414,MATCH("Dose_Area_Product_Total", DATOS3!$1:$1,0))=0,0,INDEX( DATOS3!$1:$19996,A414,MATCH("Dose_Area_Product", DATOS3!$1:$1,0)))</f>
        <v>#N/A</v>
      </c>
      <c r="J414" t="e">
        <f>IF(INDEX( DATOS3!$1:$19996,A414,MATCH("Dose_RP_Total", DATOS3!$1:$1,0))=0,0,INDEX( DATOS3!$1:$19996,A414,MATCH("Dose_RP", DATOS3!$1:$1,0)))</f>
        <v>#N/A</v>
      </c>
      <c r="K414" t="e">
        <f>IF(INDEX( DATOS3!$1:$19996,A414,MATCH("Total_Fluoro_Time", DATOS3!$1:$1,0))=0,0,INDEX( DATOS3!$1:$19996,A414,MATCH("Total_Fluoro_Time", DATOS3!$1:$1,0)))</f>
        <v>#N/A</v>
      </c>
    </row>
    <row r="415" spans="1:11" hidden="1" x14ac:dyDescent="0.25">
      <c r="A415">
        <v>415</v>
      </c>
      <c r="B415" t="e">
        <f t="shared" si="12"/>
        <v>#N/A</v>
      </c>
      <c r="C415" t="e">
        <f t="shared" si="13"/>
        <v>#N/A</v>
      </c>
      <c r="D415" t="e">
        <f>IF(INDEX( DATOS3!$1:$19996,A415,MATCH("PatientID", DATOS3!$1:$1,0))=0,"",INDEX( DATOS3!$1:$19996,A415,MATCH("PatientID", DATOS3!$1:$1,0)))</f>
        <v>#N/A</v>
      </c>
      <c r="F415" t="e">
        <f>IF(INDEX( DATOS3!$1:$19996,A415,MATCH("SeriesDate", DATOS3!$1:$1,0))=0,"",INDEX( DATOS3!$1:$19996,A415,MATCH("SeriesDate", DATOS3!$1:$1,0)))</f>
        <v>#N/A</v>
      </c>
      <c r="G415" t="e">
        <f>IF(INDEX( DATOS3!$1:$19996,A415,MATCH("SeriesTime", DATOS3!$1:$1,0))=0,"",INDEX( DATOS3!$1:$19996,A415,MATCH("SeriesTime", DATOS3!$1:$1,0)))</f>
        <v>#N/A</v>
      </c>
      <c r="H415" t="e">
        <f>IF(INDEX( DATOS3!$1:$19996,A415,MATCH("StudyDescription", DATOS3!$1:$1,0))=0,"",INDEX( DATOS3!$1:$19996,A415,MATCH("StudyDescription", DATOS3!$1:$1,0)))</f>
        <v>#N/A</v>
      </c>
      <c r="I415" t="e">
        <f>IF(INDEX( DATOS3!$1:$19996,A415,MATCH("Dose_Area_Product_Total", DATOS3!$1:$1,0))=0,0,INDEX( DATOS3!$1:$19996,A415,MATCH("Dose_Area_Product", DATOS3!$1:$1,0)))</f>
        <v>#N/A</v>
      </c>
      <c r="J415" t="e">
        <f>IF(INDEX( DATOS3!$1:$19996,A415,MATCH("Dose_RP_Total", DATOS3!$1:$1,0))=0,0,INDEX( DATOS3!$1:$19996,A415,MATCH("Dose_RP", DATOS3!$1:$1,0)))</f>
        <v>#N/A</v>
      </c>
      <c r="K415" t="e">
        <f>IF(INDEX( DATOS3!$1:$19996,A415,MATCH("Total_Fluoro_Time", DATOS3!$1:$1,0))=0,0,INDEX( DATOS3!$1:$19996,A415,MATCH("Total_Fluoro_Time", DATOS3!$1:$1,0)))</f>
        <v>#N/A</v>
      </c>
    </row>
    <row r="416" spans="1:11" hidden="1" x14ac:dyDescent="0.25">
      <c r="A416">
        <v>416</v>
      </c>
      <c r="B416" t="e">
        <f t="shared" si="12"/>
        <v>#N/A</v>
      </c>
      <c r="C416" t="e">
        <f t="shared" si="13"/>
        <v>#N/A</v>
      </c>
      <c r="D416" t="e">
        <f>IF(INDEX( DATOS3!$1:$19996,A416,MATCH("PatientID", DATOS3!$1:$1,0))=0,"",INDEX( DATOS3!$1:$19996,A416,MATCH("PatientID", DATOS3!$1:$1,0)))</f>
        <v>#N/A</v>
      </c>
      <c r="F416" t="e">
        <f>IF(INDEX( DATOS3!$1:$19996,A416,MATCH("SeriesDate", DATOS3!$1:$1,0))=0,"",INDEX( DATOS3!$1:$19996,A416,MATCH("SeriesDate", DATOS3!$1:$1,0)))</f>
        <v>#N/A</v>
      </c>
      <c r="G416" t="e">
        <f>IF(INDEX( DATOS3!$1:$19996,A416,MATCH("SeriesTime", DATOS3!$1:$1,0))=0,"",INDEX( DATOS3!$1:$19996,A416,MATCH("SeriesTime", DATOS3!$1:$1,0)))</f>
        <v>#N/A</v>
      </c>
      <c r="H416" t="e">
        <f>IF(INDEX( DATOS3!$1:$19996,A416,MATCH("StudyDescription", DATOS3!$1:$1,0))=0,"",INDEX( DATOS3!$1:$19996,A416,MATCH("StudyDescription", DATOS3!$1:$1,0)))</f>
        <v>#N/A</v>
      </c>
      <c r="I416" t="e">
        <f>IF(INDEX( DATOS3!$1:$19996,A416,MATCH("Dose_Area_Product_Total", DATOS3!$1:$1,0))=0,0,INDEX( DATOS3!$1:$19996,A416,MATCH("Dose_Area_Product", DATOS3!$1:$1,0)))</f>
        <v>#N/A</v>
      </c>
      <c r="J416" t="e">
        <f>IF(INDEX( DATOS3!$1:$19996,A416,MATCH("Dose_RP_Total", DATOS3!$1:$1,0))=0,0,INDEX( DATOS3!$1:$19996,A416,MATCH("Dose_RP", DATOS3!$1:$1,0)))</f>
        <v>#N/A</v>
      </c>
      <c r="K416" t="e">
        <f>IF(INDEX( DATOS3!$1:$19996,A416,MATCH("Total_Fluoro_Time", DATOS3!$1:$1,0))=0,0,INDEX( DATOS3!$1:$19996,A416,MATCH("Total_Fluoro_Time", DATOS3!$1:$1,0)))</f>
        <v>#N/A</v>
      </c>
    </row>
    <row r="417" spans="1:11" hidden="1" x14ac:dyDescent="0.25">
      <c r="A417">
        <v>417</v>
      </c>
      <c r="B417" t="e">
        <f t="shared" si="12"/>
        <v>#N/A</v>
      </c>
      <c r="C417" t="e">
        <f t="shared" si="13"/>
        <v>#N/A</v>
      </c>
      <c r="D417" t="e">
        <f>IF(INDEX( DATOS3!$1:$19996,A417,MATCH("PatientID", DATOS3!$1:$1,0))=0,"",INDEX( DATOS3!$1:$19996,A417,MATCH("PatientID", DATOS3!$1:$1,0)))</f>
        <v>#N/A</v>
      </c>
      <c r="F417" t="e">
        <f>IF(INDEX( DATOS3!$1:$19996,A417,MATCH("SeriesDate", DATOS3!$1:$1,0))=0,"",INDEX( DATOS3!$1:$19996,A417,MATCH("SeriesDate", DATOS3!$1:$1,0)))</f>
        <v>#N/A</v>
      </c>
      <c r="G417" t="e">
        <f>IF(INDEX( DATOS3!$1:$19996,A417,MATCH("SeriesTime", DATOS3!$1:$1,0))=0,"",INDEX( DATOS3!$1:$19996,A417,MATCH("SeriesTime", DATOS3!$1:$1,0)))</f>
        <v>#N/A</v>
      </c>
      <c r="H417" t="e">
        <f>IF(INDEX( DATOS3!$1:$19996,A417,MATCH("StudyDescription", DATOS3!$1:$1,0))=0,"",INDEX( DATOS3!$1:$19996,A417,MATCH("StudyDescription", DATOS3!$1:$1,0)))</f>
        <v>#N/A</v>
      </c>
      <c r="I417" t="e">
        <f>IF(INDEX( DATOS3!$1:$19996,A417,MATCH("Dose_Area_Product_Total", DATOS3!$1:$1,0))=0,0,INDEX( DATOS3!$1:$19996,A417,MATCH("Dose_Area_Product", DATOS3!$1:$1,0)))</f>
        <v>#N/A</v>
      </c>
      <c r="J417" t="e">
        <f>IF(INDEX( DATOS3!$1:$19996,A417,MATCH("Dose_RP_Total", DATOS3!$1:$1,0))=0,0,INDEX( DATOS3!$1:$19996,A417,MATCH("Dose_RP", DATOS3!$1:$1,0)))</f>
        <v>#N/A</v>
      </c>
      <c r="K417" t="e">
        <f>IF(INDEX( DATOS3!$1:$19996,A417,MATCH("Total_Fluoro_Time", DATOS3!$1:$1,0))=0,0,INDEX( DATOS3!$1:$19996,A417,MATCH("Total_Fluoro_Time", DATOS3!$1:$1,0)))</f>
        <v>#N/A</v>
      </c>
    </row>
    <row r="418" spans="1:11" hidden="1" x14ac:dyDescent="0.25">
      <c r="A418">
        <v>418</v>
      </c>
      <c r="B418" t="e">
        <f t="shared" si="12"/>
        <v>#N/A</v>
      </c>
      <c r="C418" t="e">
        <f t="shared" si="13"/>
        <v>#N/A</v>
      </c>
      <c r="D418" t="e">
        <f>IF(INDEX( DATOS3!$1:$19996,A418,MATCH("PatientID", DATOS3!$1:$1,0))=0,"",INDEX( DATOS3!$1:$19996,A418,MATCH("PatientID", DATOS3!$1:$1,0)))</f>
        <v>#N/A</v>
      </c>
      <c r="F418" t="e">
        <f>IF(INDEX( DATOS3!$1:$19996,A418,MATCH("SeriesDate", DATOS3!$1:$1,0))=0,"",INDEX( DATOS3!$1:$19996,A418,MATCH("SeriesDate", DATOS3!$1:$1,0)))</f>
        <v>#N/A</v>
      </c>
      <c r="G418" t="e">
        <f>IF(INDEX( DATOS3!$1:$19996,A418,MATCH("SeriesTime", DATOS3!$1:$1,0))=0,"",INDEX( DATOS3!$1:$19996,A418,MATCH("SeriesTime", DATOS3!$1:$1,0)))</f>
        <v>#N/A</v>
      </c>
      <c r="H418" t="e">
        <f>IF(INDEX( DATOS3!$1:$19996,A418,MATCH("StudyDescription", DATOS3!$1:$1,0))=0,"",INDEX( DATOS3!$1:$19996,A418,MATCH("StudyDescription", DATOS3!$1:$1,0)))</f>
        <v>#N/A</v>
      </c>
      <c r="I418" t="e">
        <f>IF(INDEX( DATOS3!$1:$19996,A418,MATCH("Dose_Area_Product_Total", DATOS3!$1:$1,0))=0,0,INDEX( DATOS3!$1:$19996,A418,MATCH("Dose_Area_Product", DATOS3!$1:$1,0)))</f>
        <v>#N/A</v>
      </c>
      <c r="J418" t="e">
        <f>IF(INDEX( DATOS3!$1:$19996,A418,MATCH("Dose_RP_Total", DATOS3!$1:$1,0))=0,0,INDEX( DATOS3!$1:$19996,A418,MATCH("Dose_RP", DATOS3!$1:$1,0)))</f>
        <v>#N/A</v>
      </c>
      <c r="K418" t="e">
        <f>IF(INDEX( DATOS3!$1:$19996,A418,MATCH("Total_Fluoro_Time", DATOS3!$1:$1,0))=0,0,INDEX( DATOS3!$1:$19996,A418,MATCH("Total_Fluoro_Time", DATOS3!$1:$1,0)))</f>
        <v>#N/A</v>
      </c>
    </row>
    <row r="419" spans="1:11" hidden="1" x14ac:dyDescent="0.25">
      <c r="A419">
        <v>419</v>
      </c>
      <c r="B419" t="e">
        <f t="shared" si="12"/>
        <v>#N/A</v>
      </c>
      <c r="C419" t="e">
        <f t="shared" si="13"/>
        <v>#N/A</v>
      </c>
      <c r="D419" t="e">
        <f>IF(INDEX( DATOS3!$1:$19996,A419,MATCH("PatientID", DATOS3!$1:$1,0))=0,"",INDEX( DATOS3!$1:$19996,A419,MATCH("PatientID", DATOS3!$1:$1,0)))</f>
        <v>#N/A</v>
      </c>
      <c r="F419" t="e">
        <f>IF(INDEX( DATOS3!$1:$19996,A419,MATCH("SeriesDate", DATOS3!$1:$1,0))=0,"",INDEX( DATOS3!$1:$19996,A419,MATCH("SeriesDate", DATOS3!$1:$1,0)))</f>
        <v>#N/A</v>
      </c>
      <c r="G419" t="e">
        <f>IF(INDEX( DATOS3!$1:$19996,A419,MATCH("SeriesTime", DATOS3!$1:$1,0))=0,"",INDEX( DATOS3!$1:$19996,A419,MATCH("SeriesTime", DATOS3!$1:$1,0)))</f>
        <v>#N/A</v>
      </c>
      <c r="H419" t="e">
        <f>IF(INDEX( DATOS3!$1:$19996,A419,MATCH("StudyDescription", DATOS3!$1:$1,0))=0,"",INDEX( DATOS3!$1:$19996,A419,MATCH("StudyDescription", DATOS3!$1:$1,0)))</f>
        <v>#N/A</v>
      </c>
      <c r="I419" t="e">
        <f>IF(INDEX( DATOS3!$1:$19996,A419,MATCH("Dose_Area_Product_Total", DATOS3!$1:$1,0))=0,0,INDEX( DATOS3!$1:$19996,A419,MATCH("Dose_Area_Product", DATOS3!$1:$1,0)))</f>
        <v>#N/A</v>
      </c>
      <c r="J419" t="e">
        <f>IF(INDEX( DATOS3!$1:$19996,A419,MATCH("Dose_RP_Total", DATOS3!$1:$1,0))=0,0,INDEX( DATOS3!$1:$19996,A419,MATCH("Dose_RP", DATOS3!$1:$1,0)))</f>
        <v>#N/A</v>
      </c>
      <c r="K419" t="e">
        <f>IF(INDEX( DATOS3!$1:$19996,A419,MATCH("Total_Fluoro_Time", DATOS3!$1:$1,0))=0,0,INDEX( DATOS3!$1:$19996,A419,MATCH("Total_Fluoro_Time", DATOS3!$1:$1,0)))</f>
        <v>#N/A</v>
      </c>
    </row>
    <row r="420" spans="1:11" hidden="1" x14ac:dyDescent="0.25">
      <c r="A420">
        <v>420</v>
      </c>
      <c r="B420" t="e">
        <f t="shared" si="12"/>
        <v>#N/A</v>
      </c>
      <c r="C420" t="e">
        <f t="shared" si="13"/>
        <v>#N/A</v>
      </c>
      <c r="D420" t="e">
        <f>IF(INDEX( DATOS3!$1:$19996,A420,MATCH("PatientID", DATOS3!$1:$1,0))=0,"",INDEX( DATOS3!$1:$19996,A420,MATCH("PatientID", DATOS3!$1:$1,0)))</f>
        <v>#N/A</v>
      </c>
      <c r="F420" t="e">
        <f>IF(INDEX( DATOS3!$1:$19996,A420,MATCH("SeriesDate", DATOS3!$1:$1,0))=0,"",INDEX( DATOS3!$1:$19996,A420,MATCH("SeriesDate", DATOS3!$1:$1,0)))</f>
        <v>#N/A</v>
      </c>
      <c r="G420" t="e">
        <f>IF(INDEX( DATOS3!$1:$19996,A420,MATCH("SeriesTime", DATOS3!$1:$1,0))=0,"",INDEX( DATOS3!$1:$19996,A420,MATCH("SeriesTime", DATOS3!$1:$1,0)))</f>
        <v>#N/A</v>
      </c>
      <c r="H420" t="e">
        <f>IF(INDEX( DATOS3!$1:$19996,A420,MATCH("StudyDescription", DATOS3!$1:$1,0))=0,"",INDEX( DATOS3!$1:$19996,A420,MATCH("StudyDescription", DATOS3!$1:$1,0)))</f>
        <v>#N/A</v>
      </c>
      <c r="I420" t="e">
        <f>IF(INDEX( DATOS3!$1:$19996,A420,MATCH("Dose_Area_Product_Total", DATOS3!$1:$1,0))=0,0,INDEX( DATOS3!$1:$19996,A420,MATCH("Dose_Area_Product", DATOS3!$1:$1,0)))</f>
        <v>#N/A</v>
      </c>
      <c r="J420" t="e">
        <f>IF(INDEX( DATOS3!$1:$19996,A420,MATCH("Dose_RP_Total", DATOS3!$1:$1,0))=0,0,INDEX( DATOS3!$1:$19996,A420,MATCH("Dose_RP", DATOS3!$1:$1,0)))</f>
        <v>#N/A</v>
      </c>
      <c r="K420" t="e">
        <f>IF(INDEX( DATOS3!$1:$19996,A420,MATCH("Total_Fluoro_Time", DATOS3!$1:$1,0))=0,0,INDEX( DATOS3!$1:$19996,A420,MATCH("Total_Fluoro_Time", DATOS3!$1:$1,0)))</f>
        <v>#N/A</v>
      </c>
    </row>
    <row r="421" spans="1:11" hidden="1" x14ac:dyDescent="0.25">
      <c r="A421">
        <v>421</v>
      </c>
      <c r="B421" t="e">
        <f t="shared" si="12"/>
        <v>#N/A</v>
      </c>
      <c r="C421" t="e">
        <f t="shared" si="13"/>
        <v>#N/A</v>
      </c>
      <c r="D421" t="e">
        <f>IF(INDEX( DATOS3!$1:$19996,A421,MATCH("PatientID", DATOS3!$1:$1,0))=0,"",INDEX( DATOS3!$1:$19996,A421,MATCH("PatientID", DATOS3!$1:$1,0)))</f>
        <v>#N/A</v>
      </c>
      <c r="F421" t="e">
        <f>IF(INDEX( DATOS3!$1:$19996,A421,MATCH("SeriesDate", DATOS3!$1:$1,0))=0,"",INDEX( DATOS3!$1:$19996,A421,MATCH("SeriesDate", DATOS3!$1:$1,0)))</f>
        <v>#N/A</v>
      </c>
      <c r="G421" t="e">
        <f>IF(INDEX( DATOS3!$1:$19996,A421,MATCH("SeriesTime", DATOS3!$1:$1,0))=0,"",INDEX( DATOS3!$1:$19996,A421,MATCH("SeriesTime", DATOS3!$1:$1,0)))</f>
        <v>#N/A</v>
      </c>
      <c r="H421" t="e">
        <f>IF(INDEX( DATOS3!$1:$19996,A421,MATCH("StudyDescription", DATOS3!$1:$1,0))=0,"",INDEX( DATOS3!$1:$19996,A421,MATCH("StudyDescription", DATOS3!$1:$1,0)))</f>
        <v>#N/A</v>
      </c>
      <c r="I421" t="e">
        <f>IF(INDEX( DATOS3!$1:$19996,A421,MATCH("Dose_Area_Product_Total", DATOS3!$1:$1,0))=0,0,INDEX( DATOS3!$1:$19996,A421,MATCH("Dose_Area_Product", DATOS3!$1:$1,0)))</f>
        <v>#N/A</v>
      </c>
      <c r="J421" t="e">
        <f>IF(INDEX( DATOS3!$1:$19996,A421,MATCH("Dose_RP_Total", DATOS3!$1:$1,0))=0,0,INDEX( DATOS3!$1:$19996,A421,MATCH("Dose_RP", DATOS3!$1:$1,0)))</f>
        <v>#N/A</v>
      </c>
      <c r="K421" t="e">
        <f>IF(INDEX( DATOS3!$1:$19996,A421,MATCH("Total_Fluoro_Time", DATOS3!$1:$1,0))=0,0,INDEX( DATOS3!$1:$19996,A421,MATCH("Total_Fluoro_Time", DATOS3!$1:$1,0)))</f>
        <v>#N/A</v>
      </c>
    </row>
    <row r="422" spans="1:11" hidden="1" x14ac:dyDescent="0.25">
      <c r="A422">
        <v>422</v>
      </c>
      <c r="B422" t="e">
        <f t="shared" si="12"/>
        <v>#N/A</v>
      </c>
      <c r="C422" t="e">
        <f t="shared" si="13"/>
        <v>#N/A</v>
      </c>
      <c r="D422" t="e">
        <f>IF(INDEX( DATOS3!$1:$19996,A422,MATCH("PatientID", DATOS3!$1:$1,0))=0,"",INDEX( DATOS3!$1:$19996,A422,MATCH("PatientID", DATOS3!$1:$1,0)))</f>
        <v>#N/A</v>
      </c>
      <c r="F422" t="e">
        <f>IF(INDEX( DATOS3!$1:$19996,A422,MATCH("SeriesDate", DATOS3!$1:$1,0))=0,"",INDEX( DATOS3!$1:$19996,A422,MATCH("SeriesDate", DATOS3!$1:$1,0)))</f>
        <v>#N/A</v>
      </c>
      <c r="G422" t="e">
        <f>IF(INDEX( DATOS3!$1:$19996,A422,MATCH("SeriesTime", DATOS3!$1:$1,0))=0,"",INDEX( DATOS3!$1:$19996,A422,MATCH("SeriesTime", DATOS3!$1:$1,0)))</f>
        <v>#N/A</v>
      </c>
      <c r="H422" t="e">
        <f>IF(INDEX( DATOS3!$1:$19996,A422,MATCH("StudyDescription", DATOS3!$1:$1,0))=0,"",INDEX( DATOS3!$1:$19996,A422,MATCH("StudyDescription", DATOS3!$1:$1,0)))</f>
        <v>#N/A</v>
      </c>
      <c r="I422" t="e">
        <f>IF(INDEX( DATOS3!$1:$19996,A422,MATCH("Dose_Area_Product_Total", DATOS3!$1:$1,0))=0,0,INDEX( DATOS3!$1:$19996,A422,MATCH("Dose_Area_Product", DATOS3!$1:$1,0)))</f>
        <v>#N/A</v>
      </c>
      <c r="J422" t="e">
        <f>IF(INDEX( DATOS3!$1:$19996,A422,MATCH("Dose_RP_Total", DATOS3!$1:$1,0))=0,0,INDEX( DATOS3!$1:$19996,A422,MATCH("Dose_RP", DATOS3!$1:$1,0)))</f>
        <v>#N/A</v>
      </c>
      <c r="K422" t="e">
        <f>IF(INDEX( DATOS3!$1:$19996,A422,MATCH("Total_Fluoro_Time", DATOS3!$1:$1,0))=0,0,INDEX( DATOS3!$1:$19996,A422,MATCH("Total_Fluoro_Time", DATOS3!$1:$1,0)))</f>
        <v>#N/A</v>
      </c>
    </row>
    <row r="423" spans="1:11" hidden="1" x14ac:dyDescent="0.25">
      <c r="A423">
        <v>423</v>
      </c>
      <c r="B423" t="e">
        <f t="shared" si="12"/>
        <v>#N/A</v>
      </c>
      <c r="C423" t="e">
        <f t="shared" si="13"/>
        <v>#N/A</v>
      </c>
      <c r="D423" t="e">
        <f>IF(INDEX( DATOS3!$1:$19996,A423,MATCH("PatientID", DATOS3!$1:$1,0))=0,"",INDEX( DATOS3!$1:$19996,A423,MATCH("PatientID", DATOS3!$1:$1,0)))</f>
        <v>#N/A</v>
      </c>
      <c r="F423" t="e">
        <f>IF(INDEX( DATOS3!$1:$19996,A423,MATCH("SeriesDate", DATOS3!$1:$1,0))=0,"",INDEX( DATOS3!$1:$19996,A423,MATCH("SeriesDate", DATOS3!$1:$1,0)))</f>
        <v>#N/A</v>
      </c>
      <c r="G423" t="e">
        <f>IF(INDEX( DATOS3!$1:$19996,A423,MATCH("SeriesTime", DATOS3!$1:$1,0))=0,"",INDEX( DATOS3!$1:$19996,A423,MATCH("SeriesTime", DATOS3!$1:$1,0)))</f>
        <v>#N/A</v>
      </c>
      <c r="H423" t="e">
        <f>IF(INDEX( DATOS3!$1:$19996,A423,MATCH("StudyDescription", DATOS3!$1:$1,0))=0,"",INDEX( DATOS3!$1:$19996,A423,MATCH("StudyDescription", DATOS3!$1:$1,0)))</f>
        <v>#N/A</v>
      </c>
      <c r="I423" t="e">
        <f>IF(INDEX( DATOS3!$1:$19996,A423,MATCH("Dose_Area_Product_Total", DATOS3!$1:$1,0))=0,0,INDEX( DATOS3!$1:$19996,A423,MATCH("Dose_Area_Product", DATOS3!$1:$1,0)))</f>
        <v>#N/A</v>
      </c>
      <c r="J423" t="e">
        <f>IF(INDEX( DATOS3!$1:$19996,A423,MATCH("Dose_RP_Total", DATOS3!$1:$1,0))=0,0,INDEX( DATOS3!$1:$19996,A423,MATCH("Dose_RP", DATOS3!$1:$1,0)))</f>
        <v>#N/A</v>
      </c>
      <c r="K423" t="e">
        <f>IF(INDEX( DATOS3!$1:$19996,A423,MATCH("Total_Fluoro_Time", DATOS3!$1:$1,0))=0,0,INDEX( DATOS3!$1:$19996,A423,MATCH("Total_Fluoro_Time", DATOS3!$1:$1,0)))</f>
        <v>#N/A</v>
      </c>
    </row>
    <row r="424" spans="1:11" hidden="1" x14ac:dyDescent="0.25">
      <c r="A424">
        <v>424</v>
      </c>
      <c r="B424" t="e">
        <f t="shared" si="12"/>
        <v>#N/A</v>
      </c>
      <c r="C424" t="e">
        <f t="shared" si="13"/>
        <v>#N/A</v>
      </c>
      <c r="D424" t="e">
        <f>IF(INDEX( DATOS3!$1:$19996,A424,MATCH("PatientID", DATOS3!$1:$1,0))=0,"",INDEX( DATOS3!$1:$19996,A424,MATCH("PatientID", DATOS3!$1:$1,0)))</f>
        <v>#N/A</v>
      </c>
      <c r="F424" t="e">
        <f>IF(INDEX( DATOS3!$1:$19996,A424,MATCH("SeriesDate", DATOS3!$1:$1,0))=0,"",INDEX( DATOS3!$1:$19996,A424,MATCH("SeriesDate", DATOS3!$1:$1,0)))</f>
        <v>#N/A</v>
      </c>
      <c r="G424" t="e">
        <f>IF(INDEX( DATOS3!$1:$19996,A424,MATCH("SeriesTime", DATOS3!$1:$1,0))=0,"",INDEX( DATOS3!$1:$19996,A424,MATCH("SeriesTime", DATOS3!$1:$1,0)))</f>
        <v>#N/A</v>
      </c>
      <c r="H424" t="e">
        <f>IF(INDEX( DATOS3!$1:$19996,A424,MATCH("StudyDescription", DATOS3!$1:$1,0))=0,"",INDEX( DATOS3!$1:$19996,A424,MATCH("StudyDescription", DATOS3!$1:$1,0)))</f>
        <v>#N/A</v>
      </c>
      <c r="I424" t="e">
        <f>IF(INDEX( DATOS3!$1:$19996,A424,MATCH("Dose_Area_Product_Total", DATOS3!$1:$1,0))=0,0,INDEX( DATOS3!$1:$19996,A424,MATCH("Dose_Area_Product", DATOS3!$1:$1,0)))</f>
        <v>#N/A</v>
      </c>
      <c r="J424" t="e">
        <f>IF(INDEX( DATOS3!$1:$19996,A424,MATCH("Dose_RP_Total", DATOS3!$1:$1,0))=0,0,INDEX( DATOS3!$1:$19996,A424,MATCH("Dose_RP", DATOS3!$1:$1,0)))</f>
        <v>#N/A</v>
      </c>
      <c r="K424" t="e">
        <f>IF(INDEX( DATOS3!$1:$19996,A424,MATCH("Total_Fluoro_Time", DATOS3!$1:$1,0))=0,0,INDEX( DATOS3!$1:$19996,A424,MATCH("Total_Fluoro_Time", DATOS3!$1:$1,0)))</f>
        <v>#N/A</v>
      </c>
    </row>
    <row r="425" spans="1:11" hidden="1" x14ac:dyDescent="0.25">
      <c r="A425">
        <v>425</v>
      </c>
      <c r="B425" t="e">
        <f t="shared" si="12"/>
        <v>#N/A</v>
      </c>
      <c r="C425" t="e">
        <f t="shared" si="13"/>
        <v>#N/A</v>
      </c>
      <c r="D425" t="e">
        <f>IF(INDEX( DATOS3!$1:$19996,A425,MATCH("PatientID", DATOS3!$1:$1,0))=0,"",INDEX( DATOS3!$1:$19996,A425,MATCH("PatientID", DATOS3!$1:$1,0)))</f>
        <v>#N/A</v>
      </c>
      <c r="F425" t="e">
        <f>IF(INDEX( DATOS3!$1:$19996,A425,MATCH("SeriesDate", DATOS3!$1:$1,0))=0,"",INDEX( DATOS3!$1:$19996,A425,MATCH("SeriesDate", DATOS3!$1:$1,0)))</f>
        <v>#N/A</v>
      </c>
      <c r="G425" t="e">
        <f>IF(INDEX( DATOS3!$1:$19996,A425,MATCH("SeriesTime", DATOS3!$1:$1,0))=0,"",INDEX( DATOS3!$1:$19996,A425,MATCH("SeriesTime", DATOS3!$1:$1,0)))</f>
        <v>#N/A</v>
      </c>
      <c r="H425" t="e">
        <f>IF(INDEX( DATOS3!$1:$19996,A425,MATCH("StudyDescription", DATOS3!$1:$1,0))=0,"",INDEX( DATOS3!$1:$19996,A425,MATCH("StudyDescription", DATOS3!$1:$1,0)))</f>
        <v>#N/A</v>
      </c>
      <c r="I425" t="e">
        <f>IF(INDEX( DATOS3!$1:$19996,A425,MATCH("Dose_Area_Product_Total", DATOS3!$1:$1,0))=0,0,INDEX( DATOS3!$1:$19996,A425,MATCH("Dose_Area_Product", DATOS3!$1:$1,0)))</f>
        <v>#N/A</v>
      </c>
      <c r="J425" t="e">
        <f>IF(INDEX( DATOS3!$1:$19996,A425,MATCH("Dose_RP_Total", DATOS3!$1:$1,0))=0,0,INDEX( DATOS3!$1:$19996,A425,MATCH("Dose_RP", DATOS3!$1:$1,0)))</f>
        <v>#N/A</v>
      </c>
      <c r="K425" t="e">
        <f>IF(INDEX( DATOS3!$1:$19996,A425,MATCH("Total_Fluoro_Time", DATOS3!$1:$1,0))=0,0,INDEX( DATOS3!$1:$19996,A425,MATCH("Total_Fluoro_Time", DATOS3!$1:$1,0)))</f>
        <v>#N/A</v>
      </c>
    </row>
    <row r="426" spans="1:11" hidden="1" x14ac:dyDescent="0.25">
      <c r="A426">
        <v>426</v>
      </c>
      <c r="B426" t="e">
        <f t="shared" si="12"/>
        <v>#N/A</v>
      </c>
      <c r="C426" t="e">
        <f t="shared" si="13"/>
        <v>#N/A</v>
      </c>
      <c r="D426" t="e">
        <f>IF(INDEX( DATOS3!$1:$19996,A426,MATCH("PatientID", DATOS3!$1:$1,0))=0,"",INDEX( DATOS3!$1:$19996,A426,MATCH("PatientID", DATOS3!$1:$1,0)))</f>
        <v>#N/A</v>
      </c>
      <c r="F426" t="e">
        <f>IF(INDEX( DATOS3!$1:$19996,A426,MATCH("SeriesDate", DATOS3!$1:$1,0))=0,"",INDEX( DATOS3!$1:$19996,A426,MATCH("SeriesDate", DATOS3!$1:$1,0)))</f>
        <v>#N/A</v>
      </c>
      <c r="G426" t="e">
        <f>IF(INDEX( DATOS3!$1:$19996,A426,MATCH("SeriesTime", DATOS3!$1:$1,0))=0,"",INDEX( DATOS3!$1:$19996,A426,MATCH("SeriesTime", DATOS3!$1:$1,0)))</f>
        <v>#N/A</v>
      </c>
      <c r="H426" t="e">
        <f>IF(INDEX( DATOS3!$1:$19996,A426,MATCH("StudyDescription", DATOS3!$1:$1,0))=0,"",INDEX( DATOS3!$1:$19996,A426,MATCH("StudyDescription", DATOS3!$1:$1,0)))</f>
        <v>#N/A</v>
      </c>
      <c r="I426" t="e">
        <f>IF(INDEX( DATOS3!$1:$19996,A426,MATCH("Dose_Area_Product_Total", DATOS3!$1:$1,0))=0,0,INDEX( DATOS3!$1:$19996,A426,MATCH("Dose_Area_Product", DATOS3!$1:$1,0)))</f>
        <v>#N/A</v>
      </c>
      <c r="J426" t="e">
        <f>IF(INDEX( DATOS3!$1:$19996,A426,MATCH("Dose_RP_Total", DATOS3!$1:$1,0))=0,0,INDEX( DATOS3!$1:$19996,A426,MATCH("Dose_RP", DATOS3!$1:$1,0)))</f>
        <v>#N/A</v>
      </c>
      <c r="K426" t="e">
        <f>IF(INDEX( DATOS3!$1:$19996,A426,MATCH("Total_Fluoro_Time", DATOS3!$1:$1,0))=0,0,INDEX( DATOS3!$1:$19996,A426,MATCH("Total_Fluoro_Time", DATOS3!$1:$1,0)))</f>
        <v>#N/A</v>
      </c>
    </row>
    <row r="427" spans="1:11" hidden="1" x14ac:dyDescent="0.25">
      <c r="A427">
        <v>427</v>
      </c>
      <c r="B427" t="e">
        <f t="shared" si="12"/>
        <v>#N/A</v>
      </c>
      <c r="C427" t="e">
        <f t="shared" si="13"/>
        <v>#N/A</v>
      </c>
      <c r="D427" t="e">
        <f>IF(INDEX( DATOS3!$1:$19996,A427,MATCH("PatientID", DATOS3!$1:$1,0))=0,"",INDEX( DATOS3!$1:$19996,A427,MATCH("PatientID", DATOS3!$1:$1,0)))</f>
        <v>#N/A</v>
      </c>
      <c r="F427" t="e">
        <f>IF(INDEX( DATOS3!$1:$19996,A427,MATCH("SeriesDate", DATOS3!$1:$1,0))=0,"",INDEX( DATOS3!$1:$19996,A427,MATCH("SeriesDate", DATOS3!$1:$1,0)))</f>
        <v>#N/A</v>
      </c>
      <c r="G427" t="e">
        <f>IF(INDEX( DATOS3!$1:$19996,A427,MATCH("SeriesTime", DATOS3!$1:$1,0))=0,"",INDEX( DATOS3!$1:$19996,A427,MATCH("SeriesTime", DATOS3!$1:$1,0)))</f>
        <v>#N/A</v>
      </c>
      <c r="H427" t="e">
        <f>IF(INDEX( DATOS3!$1:$19996,A427,MATCH("StudyDescription", DATOS3!$1:$1,0))=0,"",INDEX( DATOS3!$1:$19996,A427,MATCH("StudyDescription", DATOS3!$1:$1,0)))</f>
        <v>#N/A</v>
      </c>
      <c r="I427" t="e">
        <f>IF(INDEX( DATOS3!$1:$19996,A427,MATCH("Dose_Area_Product_Total", DATOS3!$1:$1,0))=0,0,INDEX( DATOS3!$1:$19996,A427,MATCH("Dose_Area_Product", DATOS3!$1:$1,0)))</f>
        <v>#N/A</v>
      </c>
      <c r="J427" t="e">
        <f>IF(INDEX( DATOS3!$1:$19996,A427,MATCH("Dose_RP_Total", DATOS3!$1:$1,0))=0,0,INDEX( DATOS3!$1:$19996,A427,MATCH("Dose_RP", DATOS3!$1:$1,0)))</f>
        <v>#N/A</v>
      </c>
      <c r="K427" t="e">
        <f>IF(INDEX( DATOS3!$1:$19996,A427,MATCH("Total_Fluoro_Time", DATOS3!$1:$1,0))=0,0,INDEX( DATOS3!$1:$19996,A427,MATCH("Total_Fluoro_Time", DATOS3!$1:$1,0)))</f>
        <v>#N/A</v>
      </c>
    </row>
    <row r="428" spans="1:11" hidden="1" x14ac:dyDescent="0.25">
      <c r="A428">
        <v>428</v>
      </c>
      <c r="B428" t="e">
        <f t="shared" si="12"/>
        <v>#N/A</v>
      </c>
      <c r="C428" t="e">
        <f t="shared" si="13"/>
        <v>#N/A</v>
      </c>
      <c r="D428" t="e">
        <f>IF(INDEX( DATOS3!$1:$19996,A428,MATCH("PatientID", DATOS3!$1:$1,0))=0,"",INDEX( DATOS3!$1:$19996,A428,MATCH("PatientID", DATOS3!$1:$1,0)))</f>
        <v>#N/A</v>
      </c>
      <c r="F428" t="e">
        <f>IF(INDEX( DATOS3!$1:$19996,A428,MATCH("SeriesDate", DATOS3!$1:$1,0))=0,"",INDEX( DATOS3!$1:$19996,A428,MATCH("SeriesDate", DATOS3!$1:$1,0)))</f>
        <v>#N/A</v>
      </c>
      <c r="G428" t="e">
        <f>IF(INDEX( DATOS3!$1:$19996,A428,MATCH("SeriesTime", DATOS3!$1:$1,0))=0,"",INDEX( DATOS3!$1:$19996,A428,MATCH("SeriesTime", DATOS3!$1:$1,0)))</f>
        <v>#N/A</v>
      </c>
      <c r="H428" t="e">
        <f>IF(INDEX( DATOS3!$1:$19996,A428,MATCH("StudyDescription", DATOS3!$1:$1,0))=0,"",INDEX( DATOS3!$1:$19996,A428,MATCH("StudyDescription", DATOS3!$1:$1,0)))</f>
        <v>#N/A</v>
      </c>
      <c r="I428" t="e">
        <f>IF(INDEX( DATOS3!$1:$19996,A428,MATCH("Dose_Area_Product_Total", DATOS3!$1:$1,0))=0,0,INDEX( DATOS3!$1:$19996,A428,MATCH("Dose_Area_Product", DATOS3!$1:$1,0)))</f>
        <v>#N/A</v>
      </c>
      <c r="J428" t="e">
        <f>IF(INDEX( DATOS3!$1:$19996,A428,MATCH("Dose_RP_Total", DATOS3!$1:$1,0))=0,0,INDEX( DATOS3!$1:$19996,A428,MATCH("Dose_RP", DATOS3!$1:$1,0)))</f>
        <v>#N/A</v>
      </c>
      <c r="K428" t="e">
        <f>IF(INDEX( DATOS3!$1:$19996,A428,MATCH("Total_Fluoro_Time", DATOS3!$1:$1,0))=0,0,INDEX( DATOS3!$1:$19996,A428,MATCH("Total_Fluoro_Time", DATOS3!$1:$1,0)))</f>
        <v>#N/A</v>
      </c>
    </row>
    <row r="429" spans="1:11" hidden="1" x14ac:dyDescent="0.25">
      <c r="A429">
        <v>429</v>
      </c>
      <c r="B429" t="e">
        <f t="shared" si="12"/>
        <v>#N/A</v>
      </c>
      <c r="C429" t="e">
        <f t="shared" si="13"/>
        <v>#N/A</v>
      </c>
      <c r="D429" t="e">
        <f>IF(INDEX( DATOS3!$1:$19996,A429,MATCH("PatientID", DATOS3!$1:$1,0))=0,"",INDEX( DATOS3!$1:$19996,A429,MATCH("PatientID", DATOS3!$1:$1,0)))</f>
        <v>#N/A</v>
      </c>
      <c r="F429" t="e">
        <f>IF(INDEX( DATOS3!$1:$19996,A429,MATCH("SeriesDate", DATOS3!$1:$1,0))=0,"",INDEX( DATOS3!$1:$19996,A429,MATCH("SeriesDate", DATOS3!$1:$1,0)))</f>
        <v>#N/A</v>
      </c>
      <c r="G429" t="e">
        <f>IF(INDEX( DATOS3!$1:$19996,A429,MATCH("SeriesTime", DATOS3!$1:$1,0))=0,"",INDEX( DATOS3!$1:$19996,A429,MATCH("SeriesTime", DATOS3!$1:$1,0)))</f>
        <v>#N/A</v>
      </c>
      <c r="H429" t="e">
        <f>IF(INDEX( DATOS3!$1:$19996,A429,MATCH("StudyDescription", DATOS3!$1:$1,0))=0,"",INDEX( DATOS3!$1:$19996,A429,MATCH("StudyDescription", DATOS3!$1:$1,0)))</f>
        <v>#N/A</v>
      </c>
      <c r="I429" t="e">
        <f>IF(INDEX( DATOS3!$1:$19996,A429,MATCH("Dose_Area_Product_Total", DATOS3!$1:$1,0))=0,0,INDEX( DATOS3!$1:$19996,A429,MATCH("Dose_Area_Product", DATOS3!$1:$1,0)))</f>
        <v>#N/A</v>
      </c>
      <c r="J429" t="e">
        <f>IF(INDEX( DATOS3!$1:$19996,A429,MATCH("Dose_RP_Total", DATOS3!$1:$1,0))=0,0,INDEX( DATOS3!$1:$19996,A429,MATCH("Dose_RP", DATOS3!$1:$1,0)))</f>
        <v>#N/A</v>
      </c>
      <c r="K429" t="e">
        <f>IF(INDEX( DATOS3!$1:$19996,A429,MATCH("Total_Fluoro_Time", DATOS3!$1:$1,0))=0,0,INDEX( DATOS3!$1:$19996,A429,MATCH("Total_Fluoro_Time", DATOS3!$1:$1,0)))</f>
        <v>#N/A</v>
      </c>
    </row>
    <row r="430" spans="1:11" hidden="1" x14ac:dyDescent="0.25">
      <c r="A430">
        <v>430</v>
      </c>
      <c r="B430" t="e">
        <f t="shared" si="12"/>
        <v>#N/A</v>
      </c>
      <c r="C430" t="e">
        <f t="shared" si="13"/>
        <v>#N/A</v>
      </c>
      <c r="D430" t="e">
        <f>IF(INDEX( DATOS3!$1:$19996,A430,MATCH("PatientID", DATOS3!$1:$1,0))=0,"",INDEX( DATOS3!$1:$19996,A430,MATCH("PatientID", DATOS3!$1:$1,0)))</f>
        <v>#N/A</v>
      </c>
      <c r="F430" t="e">
        <f>IF(INDEX( DATOS3!$1:$19996,A430,MATCH("SeriesDate", DATOS3!$1:$1,0))=0,"",INDEX( DATOS3!$1:$19996,A430,MATCH("SeriesDate", DATOS3!$1:$1,0)))</f>
        <v>#N/A</v>
      </c>
      <c r="G430" t="e">
        <f>IF(INDEX( DATOS3!$1:$19996,A430,MATCH("SeriesTime", DATOS3!$1:$1,0))=0,"",INDEX( DATOS3!$1:$19996,A430,MATCH("SeriesTime", DATOS3!$1:$1,0)))</f>
        <v>#N/A</v>
      </c>
      <c r="H430" t="e">
        <f>IF(INDEX( DATOS3!$1:$19996,A430,MATCH("StudyDescription", DATOS3!$1:$1,0))=0,"",INDEX( DATOS3!$1:$19996,A430,MATCH("StudyDescription", DATOS3!$1:$1,0)))</f>
        <v>#N/A</v>
      </c>
      <c r="I430" t="e">
        <f>IF(INDEX( DATOS3!$1:$19996,A430,MATCH("Dose_Area_Product_Total", DATOS3!$1:$1,0))=0,0,INDEX( DATOS3!$1:$19996,A430,MATCH("Dose_Area_Product", DATOS3!$1:$1,0)))</f>
        <v>#N/A</v>
      </c>
      <c r="J430" t="e">
        <f>IF(INDEX( DATOS3!$1:$19996,A430,MATCH("Dose_RP_Total", DATOS3!$1:$1,0))=0,0,INDEX( DATOS3!$1:$19996,A430,MATCH("Dose_RP", DATOS3!$1:$1,0)))</f>
        <v>#N/A</v>
      </c>
      <c r="K430" t="e">
        <f>IF(INDEX( DATOS3!$1:$19996,A430,MATCH("Total_Fluoro_Time", DATOS3!$1:$1,0))=0,0,INDEX( DATOS3!$1:$19996,A430,MATCH("Total_Fluoro_Time", DATOS3!$1:$1,0)))</f>
        <v>#N/A</v>
      </c>
    </row>
    <row r="431" spans="1:11" hidden="1" x14ac:dyDescent="0.25">
      <c r="A431">
        <v>431</v>
      </c>
      <c r="B431" t="e">
        <f t="shared" si="12"/>
        <v>#N/A</v>
      </c>
      <c r="C431" t="e">
        <f t="shared" si="13"/>
        <v>#N/A</v>
      </c>
      <c r="D431" t="e">
        <f>IF(INDEX( DATOS3!$1:$19996,A431,MATCH("PatientID", DATOS3!$1:$1,0))=0,"",INDEX( DATOS3!$1:$19996,A431,MATCH("PatientID", DATOS3!$1:$1,0)))</f>
        <v>#N/A</v>
      </c>
      <c r="F431" t="e">
        <f>IF(INDEX( DATOS3!$1:$19996,A431,MATCH("SeriesDate", DATOS3!$1:$1,0))=0,"",INDEX( DATOS3!$1:$19996,A431,MATCH("SeriesDate", DATOS3!$1:$1,0)))</f>
        <v>#N/A</v>
      </c>
      <c r="G431" t="e">
        <f>IF(INDEX( DATOS3!$1:$19996,A431,MATCH("SeriesTime", DATOS3!$1:$1,0))=0,"",INDEX( DATOS3!$1:$19996,A431,MATCH("SeriesTime", DATOS3!$1:$1,0)))</f>
        <v>#N/A</v>
      </c>
      <c r="H431" t="e">
        <f>IF(INDEX( DATOS3!$1:$19996,A431,MATCH("StudyDescription", DATOS3!$1:$1,0))=0,"",INDEX( DATOS3!$1:$19996,A431,MATCH("StudyDescription", DATOS3!$1:$1,0)))</f>
        <v>#N/A</v>
      </c>
      <c r="I431" t="e">
        <f>IF(INDEX( DATOS3!$1:$19996,A431,MATCH("Dose_Area_Product_Total", DATOS3!$1:$1,0))=0,0,INDEX( DATOS3!$1:$19996,A431,MATCH("Dose_Area_Product", DATOS3!$1:$1,0)))</f>
        <v>#N/A</v>
      </c>
      <c r="J431" t="e">
        <f>IF(INDEX( DATOS3!$1:$19996,A431,MATCH("Dose_RP_Total", DATOS3!$1:$1,0))=0,0,INDEX( DATOS3!$1:$19996,A431,MATCH("Dose_RP", DATOS3!$1:$1,0)))</f>
        <v>#N/A</v>
      </c>
      <c r="K431" t="e">
        <f>IF(INDEX( DATOS3!$1:$19996,A431,MATCH("Total_Fluoro_Time", DATOS3!$1:$1,0))=0,0,INDEX( DATOS3!$1:$19996,A431,MATCH("Total_Fluoro_Time", DATOS3!$1:$1,0)))</f>
        <v>#N/A</v>
      </c>
    </row>
    <row r="432" spans="1:11" hidden="1" x14ac:dyDescent="0.25">
      <c r="A432">
        <v>432</v>
      </c>
      <c r="B432" t="e">
        <f t="shared" si="12"/>
        <v>#N/A</v>
      </c>
      <c r="C432" t="e">
        <f t="shared" si="13"/>
        <v>#N/A</v>
      </c>
      <c r="D432" t="e">
        <f>IF(INDEX( DATOS3!$1:$19996,A432,MATCH("PatientID", DATOS3!$1:$1,0))=0,"",INDEX( DATOS3!$1:$19996,A432,MATCH("PatientID", DATOS3!$1:$1,0)))</f>
        <v>#N/A</v>
      </c>
      <c r="F432" t="e">
        <f>IF(INDEX( DATOS3!$1:$19996,A432,MATCH("SeriesDate", DATOS3!$1:$1,0))=0,"",INDEX( DATOS3!$1:$19996,A432,MATCH("SeriesDate", DATOS3!$1:$1,0)))</f>
        <v>#N/A</v>
      </c>
      <c r="G432" t="e">
        <f>IF(INDEX( DATOS3!$1:$19996,A432,MATCH("SeriesTime", DATOS3!$1:$1,0))=0,"",INDEX( DATOS3!$1:$19996,A432,MATCH("SeriesTime", DATOS3!$1:$1,0)))</f>
        <v>#N/A</v>
      </c>
      <c r="H432" t="e">
        <f>IF(INDEX( DATOS3!$1:$19996,A432,MATCH("StudyDescription", DATOS3!$1:$1,0))=0,"",INDEX( DATOS3!$1:$19996,A432,MATCH("StudyDescription", DATOS3!$1:$1,0)))</f>
        <v>#N/A</v>
      </c>
      <c r="I432" t="e">
        <f>IF(INDEX( DATOS3!$1:$19996,A432,MATCH("Dose_Area_Product_Total", DATOS3!$1:$1,0))=0,0,INDEX( DATOS3!$1:$19996,A432,MATCH("Dose_Area_Product", DATOS3!$1:$1,0)))</f>
        <v>#N/A</v>
      </c>
      <c r="J432" t="e">
        <f>IF(INDEX( DATOS3!$1:$19996,A432,MATCH("Dose_RP_Total", DATOS3!$1:$1,0))=0,0,INDEX( DATOS3!$1:$19996,A432,MATCH("Dose_RP", DATOS3!$1:$1,0)))</f>
        <v>#N/A</v>
      </c>
      <c r="K432" t="e">
        <f>IF(INDEX( DATOS3!$1:$19996,A432,MATCH("Total_Fluoro_Time", DATOS3!$1:$1,0))=0,0,INDEX( DATOS3!$1:$19996,A432,MATCH("Total_Fluoro_Time", DATOS3!$1:$1,0)))</f>
        <v>#N/A</v>
      </c>
    </row>
    <row r="433" spans="1:11" hidden="1" x14ac:dyDescent="0.25">
      <c r="A433">
        <v>433</v>
      </c>
      <c r="B433" t="e">
        <f t="shared" si="12"/>
        <v>#N/A</v>
      </c>
      <c r="C433" t="e">
        <f t="shared" si="13"/>
        <v>#N/A</v>
      </c>
      <c r="D433" t="e">
        <f>IF(INDEX( DATOS3!$1:$19996,A433,MATCH("PatientID", DATOS3!$1:$1,0))=0,"",INDEX( DATOS3!$1:$19996,A433,MATCH("PatientID", DATOS3!$1:$1,0)))</f>
        <v>#N/A</v>
      </c>
      <c r="F433" t="e">
        <f>IF(INDEX( DATOS3!$1:$19996,A433,MATCH("SeriesDate", DATOS3!$1:$1,0))=0,"",INDEX( DATOS3!$1:$19996,A433,MATCH("SeriesDate", DATOS3!$1:$1,0)))</f>
        <v>#N/A</v>
      </c>
      <c r="G433" t="e">
        <f>IF(INDEX( DATOS3!$1:$19996,A433,MATCH("SeriesTime", DATOS3!$1:$1,0))=0,"",INDEX( DATOS3!$1:$19996,A433,MATCH("SeriesTime", DATOS3!$1:$1,0)))</f>
        <v>#N/A</v>
      </c>
      <c r="H433" t="e">
        <f>IF(INDEX( DATOS3!$1:$19996,A433,MATCH("StudyDescription", DATOS3!$1:$1,0))=0,"",INDEX( DATOS3!$1:$19996,A433,MATCH("StudyDescription", DATOS3!$1:$1,0)))</f>
        <v>#N/A</v>
      </c>
      <c r="I433" t="e">
        <f>IF(INDEX( DATOS3!$1:$19996,A433,MATCH("Dose_Area_Product_Total", DATOS3!$1:$1,0))=0,0,INDEX( DATOS3!$1:$19996,A433,MATCH("Dose_Area_Product", DATOS3!$1:$1,0)))</f>
        <v>#N/A</v>
      </c>
      <c r="J433" t="e">
        <f>IF(INDEX( DATOS3!$1:$19996,A433,MATCH("Dose_RP_Total", DATOS3!$1:$1,0))=0,0,INDEX( DATOS3!$1:$19996,A433,MATCH("Dose_RP", DATOS3!$1:$1,0)))</f>
        <v>#N/A</v>
      </c>
      <c r="K433" t="e">
        <f>IF(INDEX( DATOS3!$1:$19996,A433,MATCH("Total_Fluoro_Time", DATOS3!$1:$1,0))=0,0,INDEX( DATOS3!$1:$19996,A433,MATCH("Total_Fluoro_Time", DATOS3!$1:$1,0)))</f>
        <v>#N/A</v>
      </c>
    </row>
    <row r="434" spans="1:11" hidden="1" x14ac:dyDescent="0.25">
      <c r="A434">
        <v>434</v>
      </c>
      <c r="B434" t="e">
        <f t="shared" si="12"/>
        <v>#N/A</v>
      </c>
      <c r="C434" t="e">
        <f t="shared" si="13"/>
        <v>#N/A</v>
      </c>
      <c r="D434" t="e">
        <f>IF(INDEX( DATOS3!$1:$19996,A434,MATCH("PatientID", DATOS3!$1:$1,0))=0,"",INDEX( DATOS3!$1:$19996,A434,MATCH("PatientID", DATOS3!$1:$1,0)))</f>
        <v>#N/A</v>
      </c>
      <c r="F434" t="e">
        <f>IF(INDEX( DATOS3!$1:$19996,A434,MATCH("SeriesDate", DATOS3!$1:$1,0))=0,"",INDEX( DATOS3!$1:$19996,A434,MATCH("SeriesDate", DATOS3!$1:$1,0)))</f>
        <v>#N/A</v>
      </c>
      <c r="G434" t="e">
        <f>IF(INDEX( DATOS3!$1:$19996,A434,MATCH("SeriesTime", DATOS3!$1:$1,0))=0,"",INDEX( DATOS3!$1:$19996,A434,MATCH("SeriesTime", DATOS3!$1:$1,0)))</f>
        <v>#N/A</v>
      </c>
      <c r="H434" t="e">
        <f>IF(INDEX( DATOS3!$1:$19996,A434,MATCH("StudyDescription", DATOS3!$1:$1,0))=0,"",INDEX( DATOS3!$1:$19996,A434,MATCH("StudyDescription", DATOS3!$1:$1,0)))</f>
        <v>#N/A</v>
      </c>
      <c r="I434" t="e">
        <f>IF(INDEX( DATOS3!$1:$19996,A434,MATCH("Dose_Area_Product_Total", DATOS3!$1:$1,0))=0,0,INDEX( DATOS3!$1:$19996,A434,MATCH("Dose_Area_Product", DATOS3!$1:$1,0)))</f>
        <v>#N/A</v>
      </c>
      <c r="J434" t="e">
        <f>IF(INDEX( DATOS3!$1:$19996,A434,MATCH("Dose_RP_Total", DATOS3!$1:$1,0))=0,0,INDEX( DATOS3!$1:$19996,A434,MATCH("Dose_RP", DATOS3!$1:$1,0)))</f>
        <v>#N/A</v>
      </c>
      <c r="K434" t="e">
        <f>IF(INDEX( DATOS3!$1:$19996,A434,MATCH("Total_Fluoro_Time", DATOS3!$1:$1,0))=0,0,INDEX( DATOS3!$1:$19996,A434,MATCH("Total_Fluoro_Time", DATOS3!$1:$1,0)))</f>
        <v>#N/A</v>
      </c>
    </row>
    <row r="435" spans="1:11" hidden="1" x14ac:dyDescent="0.25">
      <c r="A435">
        <v>435</v>
      </c>
      <c r="B435" t="e">
        <f t="shared" si="12"/>
        <v>#N/A</v>
      </c>
      <c r="C435" t="e">
        <f t="shared" si="13"/>
        <v>#N/A</v>
      </c>
      <c r="D435" t="e">
        <f>IF(INDEX( DATOS3!$1:$19996,A435,MATCH("PatientID", DATOS3!$1:$1,0))=0,"",INDEX( DATOS3!$1:$19996,A435,MATCH("PatientID", DATOS3!$1:$1,0)))</f>
        <v>#N/A</v>
      </c>
      <c r="F435" t="e">
        <f>IF(INDEX( DATOS3!$1:$19996,A435,MATCH("SeriesDate", DATOS3!$1:$1,0))=0,"",INDEX( DATOS3!$1:$19996,A435,MATCH("SeriesDate", DATOS3!$1:$1,0)))</f>
        <v>#N/A</v>
      </c>
      <c r="G435" t="e">
        <f>IF(INDEX( DATOS3!$1:$19996,A435,MATCH("SeriesTime", DATOS3!$1:$1,0))=0,"",INDEX( DATOS3!$1:$19996,A435,MATCH("SeriesTime", DATOS3!$1:$1,0)))</f>
        <v>#N/A</v>
      </c>
      <c r="H435" t="e">
        <f>IF(INDEX( DATOS3!$1:$19996,A435,MATCH("StudyDescription", DATOS3!$1:$1,0))=0,"",INDEX( DATOS3!$1:$19996,A435,MATCH("StudyDescription", DATOS3!$1:$1,0)))</f>
        <v>#N/A</v>
      </c>
      <c r="I435" t="e">
        <f>IF(INDEX( DATOS3!$1:$19996,A435,MATCH("Dose_Area_Product_Total", DATOS3!$1:$1,0))=0,0,INDEX( DATOS3!$1:$19996,A435,MATCH("Dose_Area_Product", DATOS3!$1:$1,0)))</f>
        <v>#N/A</v>
      </c>
      <c r="J435" t="e">
        <f>IF(INDEX( DATOS3!$1:$19996,A435,MATCH("Dose_RP_Total", DATOS3!$1:$1,0))=0,0,INDEX( DATOS3!$1:$19996,A435,MATCH("Dose_RP", DATOS3!$1:$1,0)))</f>
        <v>#N/A</v>
      </c>
      <c r="K435" t="e">
        <f>IF(INDEX( DATOS3!$1:$19996,A435,MATCH("Total_Fluoro_Time", DATOS3!$1:$1,0))=0,0,INDEX( DATOS3!$1:$19996,A435,MATCH("Total_Fluoro_Time", DATOS3!$1:$1,0)))</f>
        <v>#N/A</v>
      </c>
    </row>
    <row r="436" spans="1:11" hidden="1" x14ac:dyDescent="0.25">
      <c r="A436">
        <v>436</v>
      </c>
      <c r="B436" t="e">
        <f t="shared" si="12"/>
        <v>#N/A</v>
      </c>
      <c r="C436" t="e">
        <f t="shared" si="13"/>
        <v>#N/A</v>
      </c>
      <c r="D436" t="e">
        <f>IF(INDEX( DATOS3!$1:$19996,A436,MATCH("PatientID", DATOS3!$1:$1,0))=0,"",INDEX( DATOS3!$1:$19996,A436,MATCH("PatientID", DATOS3!$1:$1,0)))</f>
        <v>#N/A</v>
      </c>
      <c r="F436" t="e">
        <f>IF(INDEX( DATOS3!$1:$19996,A436,MATCH("SeriesDate", DATOS3!$1:$1,0))=0,"",INDEX( DATOS3!$1:$19996,A436,MATCH("SeriesDate", DATOS3!$1:$1,0)))</f>
        <v>#N/A</v>
      </c>
      <c r="G436" t="e">
        <f>IF(INDEX( DATOS3!$1:$19996,A436,MATCH("SeriesTime", DATOS3!$1:$1,0))=0,"",INDEX( DATOS3!$1:$19996,A436,MATCH("SeriesTime", DATOS3!$1:$1,0)))</f>
        <v>#N/A</v>
      </c>
      <c r="H436" t="e">
        <f>IF(INDEX( DATOS3!$1:$19996,A436,MATCH("StudyDescription", DATOS3!$1:$1,0))=0,"",INDEX( DATOS3!$1:$19996,A436,MATCH("StudyDescription", DATOS3!$1:$1,0)))</f>
        <v>#N/A</v>
      </c>
      <c r="I436" t="e">
        <f>IF(INDEX( DATOS3!$1:$19996,A436,MATCH("Dose_Area_Product_Total", DATOS3!$1:$1,0))=0,0,INDEX( DATOS3!$1:$19996,A436,MATCH("Dose_Area_Product", DATOS3!$1:$1,0)))</f>
        <v>#N/A</v>
      </c>
      <c r="J436" t="e">
        <f>IF(INDEX( DATOS3!$1:$19996,A436,MATCH("Dose_RP_Total", DATOS3!$1:$1,0))=0,0,INDEX( DATOS3!$1:$19996,A436,MATCH("Dose_RP", DATOS3!$1:$1,0)))</f>
        <v>#N/A</v>
      </c>
      <c r="K436" t="e">
        <f>IF(INDEX( DATOS3!$1:$19996,A436,MATCH("Total_Fluoro_Time", DATOS3!$1:$1,0))=0,0,INDEX( DATOS3!$1:$19996,A436,MATCH("Total_Fluoro_Time", DATOS3!$1:$1,0)))</f>
        <v>#N/A</v>
      </c>
    </row>
    <row r="437" spans="1:11" hidden="1" x14ac:dyDescent="0.25">
      <c r="A437">
        <v>437</v>
      </c>
      <c r="B437" t="e">
        <f t="shared" si="12"/>
        <v>#N/A</v>
      </c>
      <c r="C437" t="e">
        <f t="shared" si="13"/>
        <v>#N/A</v>
      </c>
      <c r="D437" t="e">
        <f>IF(INDEX( DATOS3!$1:$19996,A437,MATCH("PatientID", DATOS3!$1:$1,0))=0,"",INDEX( DATOS3!$1:$19996,A437,MATCH("PatientID", DATOS3!$1:$1,0)))</f>
        <v>#N/A</v>
      </c>
      <c r="F437" t="e">
        <f>IF(INDEX( DATOS3!$1:$19996,A437,MATCH("SeriesDate", DATOS3!$1:$1,0))=0,"",INDEX( DATOS3!$1:$19996,A437,MATCH("SeriesDate", DATOS3!$1:$1,0)))</f>
        <v>#N/A</v>
      </c>
      <c r="G437" t="e">
        <f>IF(INDEX( DATOS3!$1:$19996,A437,MATCH("SeriesTime", DATOS3!$1:$1,0))=0,"",INDEX( DATOS3!$1:$19996,A437,MATCH("SeriesTime", DATOS3!$1:$1,0)))</f>
        <v>#N/A</v>
      </c>
      <c r="H437" t="e">
        <f>IF(INDEX( DATOS3!$1:$19996,A437,MATCH("StudyDescription", DATOS3!$1:$1,0))=0,"",INDEX( DATOS3!$1:$19996,A437,MATCH("StudyDescription", DATOS3!$1:$1,0)))</f>
        <v>#N/A</v>
      </c>
      <c r="I437" t="e">
        <f>IF(INDEX( DATOS3!$1:$19996,A437,MATCH("Dose_Area_Product_Total", DATOS3!$1:$1,0))=0,0,INDEX( DATOS3!$1:$19996,A437,MATCH("Dose_Area_Product", DATOS3!$1:$1,0)))</f>
        <v>#N/A</v>
      </c>
      <c r="J437" t="e">
        <f>IF(INDEX( DATOS3!$1:$19996,A437,MATCH("Dose_RP_Total", DATOS3!$1:$1,0))=0,0,INDEX( DATOS3!$1:$19996,A437,MATCH("Dose_RP", DATOS3!$1:$1,0)))</f>
        <v>#N/A</v>
      </c>
      <c r="K437" t="e">
        <f>IF(INDEX( DATOS3!$1:$19996,A437,MATCH("Total_Fluoro_Time", DATOS3!$1:$1,0))=0,0,INDEX( DATOS3!$1:$19996,A437,MATCH("Total_Fluoro_Time", DATOS3!$1:$1,0)))</f>
        <v>#N/A</v>
      </c>
    </row>
    <row r="438" spans="1:11" hidden="1" x14ac:dyDescent="0.25">
      <c r="A438">
        <v>438</v>
      </c>
      <c r="B438" t="e">
        <f t="shared" si="12"/>
        <v>#N/A</v>
      </c>
      <c r="C438" t="e">
        <f t="shared" si="13"/>
        <v>#N/A</v>
      </c>
      <c r="D438" t="e">
        <f>IF(INDEX( DATOS3!$1:$19996,A438,MATCH("PatientID", DATOS3!$1:$1,0))=0,"",INDEX( DATOS3!$1:$19996,A438,MATCH("PatientID", DATOS3!$1:$1,0)))</f>
        <v>#N/A</v>
      </c>
      <c r="F438" t="e">
        <f>IF(INDEX( DATOS3!$1:$19996,A438,MATCH("SeriesDate", DATOS3!$1:$1,0))=0,"",INDEX( DATOS3!$1:$19996,A438,MATCH("SeriesDate", DATOS3!$1:$1,0)))</f>
        <v>#N/A</v>
      </c>
      <c r="G438" t="e">
        <f>IF(INDEX( DATOS3!$1:$19996,A438,MATCH("SeriesTime", DATOS3!$1:$1,0))=0,"",INDEX( DATOS3!$1:$19996,A438,MATCH("SeriesTime", DATOS3!$1:$1,0)))</f>
        <v>#N/A</v>
      </c>
      <c r="H438" t="e">
        <f>IF(INDEX( DATOS3!$1:$19996,A438,MATCH("StudyDescription", DATOS3!$1:$1,0))=0,"",INDEX( DATOS3!$1:$19996,A438,MATCH("StudyDescription", DATOS3!$1:$1,0)))</f>
        <v>#N/A</v>
      </c>
      <c r="I438" t="e">
        <f>IF(INDEX( DATOS3!$1:$19996,A438,MATCH("Dose_Area_Product_Total", DATOS3!$1:$1,0))=0,0,INDEX( DATOS3!$1:$19996,A438,MATCH("Dose_Area_Product", DATOS3!$1:$1,0)))</f>
        <v>#N/A</v>
      </c>
      <c r="J438" t="e">
        <f>IF(INDEX( DATOS3!$1:$19996,A438,MATCH("Dose_RP_Total", DATOS3!$1:$1,0))=0,0,INDEX( DATOS3!$1:$19996,A438,MATCH("Dose_RP", DATOS3!$1:$1,0)))</f>
        <v>#N/A</v>
      </c>
      <c r="K438" t="e">
        <f>IF(INDEX( DATOS3!$1:$19996,A438,MATCH("Total_Fluoro_Time", DATOS3!$1:$1,0))=0,0,INDEX( DATOS3!$1:$19996,A438,MATCH("Total_Fluoro_Time", DATOS3!$1:$1,0)))</f>
        <v>#N/A</v>
      </c>
    </row>
    <row r="439" spans="1:11" hidden="1" x14ac:dyDescent="0.25">
      <c r="A439">
        <v>439</v>
      </c>
      <c r="B439" t="e">
        <f t="shared" si="12"/>
        <v>#N/A</v>
      </c>
      <c r="C439" t="e">
        <f t="shared" si="13"/>
        <v>#N/A</v>
      </c>
      <c r="D439" t="e">
        <f>IF(INDEX( DATOS3!$1:$19996,A439,MATCH("PatientID", DATOS3!$1:$1,0))=0,"",INDEX( DATOS3!$1:$19996,A439,MATCH("PatientID", DATOS3!$1:$1,0)))</f>
        <v>#N/A</v>
      </c>
      <c r="F439" t="e">
        <f>IF(INDEX( DATOS3!$1:$19996,A439,MATCH("SeriesDate", DATOS3!$1:$1,0))=0,"",INDEX( DATOS3!$1:$19996,A439,MATCH("SeriesDate", DATOS3!$1:$1,0)))</f>
        <v>#N/A</v>
      </c>
      <c r="G439" t="e">
        <f>IF(INDEX( DATOS3!$1:$19996,A439,MATCH("SeriesTime", DATOS3!$1:$1,0))=0,"",INDEX( DATOS3!$1:$19996,A439,MATCH("SeriesTime", DATOS3!$1:$1,0)))</f>
        <v>#N/A</v>
      </c>
      <c r="H439" t="e">
        <f>IF(INDEX( DATOS3!$1:$19996,A439,MATCH("StudyDescription", DATOS3!$1:$1,0))=0,"",INDEX( DATOS3!$1:$19996,A439,MATCH("StudyDescription", DATOS3!$1:$1,0)))</f>
        <v>#N/A</v>
      </c>
      <c r="I439" t="e">
        <f>IF(INDEX( DATOS3!$1:$19996,A439,MATCH("Dose_Area_Product_Total", DATOS3!$1:$1,0))=0,0,INDEX( DATOS3!$1:$19996,A439,MATCH("Dose_Area_Product", DATOS3!$1:$1,0)))</f>
        <v>#N/A</v>
      </c>
      <c r="J439" t="e">
        <f>IF(INDEX( DATOS3!$1:$19996,A439,MATCH("Dose_RP_Total", DATOS3!$1:$1,0))=0,0,INDEX( DATOS3!$1:$19996,A439,MATCH("Dose_RP", DATOS3!$1:$1,0)))</f>
        <v>#N/A</v>
      </c>
      <c r="K439" t="e">
        <f>IF(INDEX( DATOS3!$1:$19996,A439,MATCH("Total_Fluoro_Time", DATOS3!$1:$1,0))=0,0,INDEX( DATOS3!$1:$19996,A439,MATCH("Total_Fluoro_Time", DATOS3!$1:$1,0)))</f>
        <v>#N/A</v>
      </c>
    </row>
    <row r="440" spans="1:11" hidden="1" x14ac:dyDescent="0.25">
      <c r="A440">
        <v>440</v>
      </c>
      <c r="B440" t="e">
        <f t="shared" si="12"/>
        <v>#N/A</v>
      </c>
      <c r="C440" t="e">
        <f t="shared" si="13"/>
        <v>#N/A</v>
      </c>
      <c r="D440" t="e">
        <f>IF(INDEX( DATOS3!$1:$19996,A440,MATCH("PatientID", DATOS3!$1:$1,0))=0,"",INDEX( DATOS3!$1:$19996,A440,MATCH("PatientID", DATOS3!$1:$1,0)))</f>
        <v>#N/A</v>
      </c>
      <c r="F440" t="e">
        <f>IF(INDEX( DATOS3!$1:$19996,A440,MATCH("SeriesDate", DATOS3!$1:$1,0))=0,"",INDEX( DATOS3!$1:$19996,A440,MATCH("SeriesDate", DATOS3!$1:$1,0)))</f>
        <v>#N/A</v>
      </c>
      <c r="G440" t="e">
        <f>IF(INDEX( DATOS3!$1:$19996,A440,MATCH("SeriesTime", DATOS3!$1:$1,0))=0,"",INDEX( DATOS3!$1:$19996,A440,MATCH("SeriesTime", DATOS3!$1:$1,0)))</f>
        <v>#N/A</v>
      </c>
      <c r="H440" t="e">
        <f>IF(INDEX( DATOS3!$1:$19996,A440,MATCH("StudyDescription", DATOS3!$1:$1,0))=0,"",INDEX( DATOS3!$1:$19996,A440,MATCH("StudyDescription", DATOS3!$1:$1,0)))</f>
        <v>#N/A</v>
      </c>
      <c r="I440" t="e">
        <f>IF(INDEX( DATOS3!$1:$19996,A440,MATCH("Dose_Area_Product_Total", DATOS3!$1:$1,0))=0,0,INDEX( DATOS3!$1:$19996,A440,MATCH("Dose_Area_Product", DATOS3!$1:$1,0)))</f>
        <v>#N/A</v>
      </c>
      <c r="J440" t="e">
        <f>IF(INDEX( DATOS3!$1:$19996,A440,MATCH("Dose_RP_Total", DATOS3!$1:$1,0))=0,0,INDEX( DATOS3!$1:$19996,A440,MATCH("Dose_RP", DATOS3!$1:$1,0)))</f>
        <v>#N/A</v>
      </c>
      <c r="K440" t="e">
        <f>IF(INDEX( DATOS3!$1:$19996,A440,MATCH("Total_Fluoro_Time", DATOS3!$1:$1,0))=0,0,INDEX( DATOS3!$1:$19996,A440,MATCH("Total_Fluoro_Time", DATOS3!$1:$1,0)))</f>
        <v>#N/A</v>
      </c>
    </row>
    <row r="441" spans="1:11" hidden="1" x14ac:dyDescent="0.25">
      <c r="A441">
        <v>441</v>
      </c>
      <c r="B441" t="e">
        <f t="shared" si="12"/>
        <v>#N/A</v>
      </c>
      <c r="C441" t="e">
        <f t="shared" si="13"/>
        <v>#N/A</v>
      </c>
      <c r="D441" t="e">
        <f>IF(INDEX( DATOS3!$1:$19996,A441,MATCH("PatientID", DATOS3!$1:$1,0))=0,"",INDEX( DATOS3!$1:$19996,A441,MATCH("PatientID", DATOS3!$1:$1,0)))</f>
        <v>#N/A</v>
      </c>
      <c r="F441" t="e">
        <f>IF(INDEX( DATOS3!$1:$19996,A441,MATCH("SeriesDate", DATOS3!$1:$1,0))=0,"",INDEX( DATOS3!$1:$19996,A441,MATCH("SeriesDate", DATOS3!$1:$1,0)))</f>
        <v>#N/A</v>
      </c>
      <c r="G441" t="e">
        <f>IF(INDEX( DATOS3!$1:$19996,A441,MATCH("SeriesTime", DATOS3!$1:$1,0))=0,"",INDEX( DATOS3!$1:$19996,A441,MATCH("SeriesTime", DATOS3!$1:$1,0)))</f>
        <v>#N/A</v>
      </c>
      <c r="H441" t="e">
        <f>IF(INDEX( DATOS3!$1:$19996,A441,MATCH("StudyDescription", DATOS3!$1:$1,0))=0,"",INDEX( DATOS3!$1:$19996,A441,MATCH("StudyDescription", DATOS3!$1:$1,0)))</f>
        <v>#N/A</v>
      </c>
      <c r="I441" t="e">
        <f>IF(INDEX( DATOS3!$1:$19996,A441,MATCH("Dose_Area_Product_Total", DATOS3!$1:$1,0))=0,0,INDEX( DATOS3!$1:$19996,A441,MATCH("Dose_Area_Product", DATOS3!$1:$1,0)))</f>
        <v>#N/A</v>
      </c>
      <c r="J441" t="e">
        <f>IF(INDEX( DATOS3!$1:$19996,A441,MATCH("Dose_RP_Total", DATOS3!$1:$1,0))=0,0,INDEX( DATOS3!$1:$19996,A441,MATCH("Dose_RP", DATOS3!$1:$1,0)))</f>
        <v>#N/A</v>
      </c>
      <c r="K441" t="e">
        <f>IF(INDEX( DATOS3!$1:$19996,A441,MATCH("Total_Fluoro_Time", DATOS3!$1:$1,0))=0,0,INDEX( DATOS3!$1:$19996,A441,MATCH("Total_Fluoro_Time", DATOS3!$1:$1,0)))</f>
        <v>#N/A</v>
      </c>
    </row>
    <row r="442" spans="1:11" hidden="1" x14ac:dyDescent="0.25">
      <c r="A442">
        <v>442</v>
      </c>
      <c r="B442" t="e">
        <f t="shared" si="12"/>
        <v>#N/A</v>
      </c>
      <c r="C442" t="e">
        <f t="shared" si="13"/>
        <v>#N/A</v>
      </c>
      <c r="D442" t="e">
        <f>IF(INDEX( DATOS3!$1:$19996,A442,MATCH("PatientID", DATOS3!$1:$1,0))=0,"",INDEX( DATOS3!$1:$19996,A442,MATCH("PatientID", DATOS3!$1:$1,0)))</f>
        <v>#N/A</v>
      </c>
      <c r="F442" t="e">
        <f>IF(INDEX( DATOS3!$1:$19996,A442,MATCH("SeriesDate", DATOS3!$1:$1,0))=0,"",INDEX( DATOS3!$1:$19996,A442,MATCH("SeriesDate", DATOS3!$1:$1,0)))</f>
        <v>#N/A</v>
      </c>
      <c r="G442" t="e">
        <f>IF(INDEX( DATOS3!$1:$19996,A442,MATCH("SeriesTime", DATOS3!$1:$1,0))=0,"",INDEX( DATOS3!$1:$19996,A442,MATCH("SeriesTime", DATOS3!$1:$1,0)))</f>
        <v>#N/A</v>
      </c>
      <c r="H442" t="e">
        <f>IF(INDEX( DATOS3!$1:$19996,A442,MATCH("StudyDescription", DATOS3!$1:$1,0))=0,"",INDEX( DATOS3!$1:$19996,A442,MATCH("StudyDescription", DATOS3!$1:$1,0)))</f>
        <v>#N/A</v>
      </c>
      <c r="I442" t="e">
        <f>IF(INDEX( DATOS3!$1:$19996,A442,MATCH("Dose_Area_Product_Total", DATOS3!$1:$1,0))=0,0,INDEX( DATOS3!$1:$19996,A442,MATCH("Dose_Area_Product", DATOS3!$1:$1,0)))</f>
        <v>#N/A</v>
      </c>
      <c r="J442" t="e">
        <f>IF(INDEX( DATOS3!$1:$19996,A442,MATCH("Dose_RP_Total", DATOS3!$1:$1,0))=0,0,INDEX( DATOS3!$1:$19996,A442,MATCH("Dose_RP", DATOS3!$1:$1,0)))</f>
        <v>#N/A</v>
      </c>
      <c r="K442" t="e">
        <f>IF(INDEX( DATOS3!$1:$19996,A442,MATCH("Total_Fluoro_Time", DATOS3!$1:$1,0))=0,0,INDEX( DATOS3!$1:$19996,A442,MATCH("Total_Fluoro_Time", DATOS3!$1:$1,0)))</f>
        <v>#N/A</v>
      </c>
    </row>
    <row r="443" spans="1:11" hidden="1" x14ac:dyDescent="0.25">
      <c r="A443">
        <v>443</v>
      </c>
      <c r="B443" t="e">
        <f t="shared" si="12"/>
        <v>#N/A</v>
      </c>
      <c r="C443" t="e">
        <f t="shared" si="13"/>
        <v>#N/A</v>
      </c>
      <c r="D443" t="e">
        <f>IF(INDEX( DATOS3!$1:$19996,A443,MATCH("PatientID", DATOS3!$1:$1,0))=0,"",INDEX( DATOS3!$1:$19996,A443,MATCH("PatientID", DATOS3!$1:$1,0)))</f>
        <v>#N/A</v>
      </c>
      <c r="F443" t="e">
        <f>IF(INDEX( DATOS3!$1:$19996,A443,MATCH("SeriesDate", DATOS3!$1:$1,0))=0,"",INDEX( DATOS3!$1:$19996,A443,MATCH("SeriesDate", DATOS3!$1:$1,0)))</f>
        <v>#N/A</v>
      </c>
      <c r="G443" t="e">
        <f>IF(INDEX( DATOS3!$1:$19996,A443,MATCH("SeriesTime", DATOS3!$1:$1,0))=0,"",INDEX( DATOS3!$1:$19996,A443,MATCH("SeriesTime", DATOS3!$1:$1,0)))</f>
        <v>#N/A</v>
      </c>
      <c r="H443" t="e">
        <f>IF(INDEX( DATOS3!$1:$19996,A443,MATCH("StudyDescription", DATOS3!$1:$1,0))=0,"",INDEX( DATOS3!$1:$19996,A443,MATCH("StudyDescription", DATOS3!$1:$1,0)))</f>
        <v>#N/A</v>
      </c>
      <c r="I443" t="e">
        <f>IF(INDEX( DATOS3!$1:$19996,A443,MATCH("Dose_Area_Product_Total", DATOS3!$1:$1,0))=0,0,INDEX( DATOS3!$1:$19996,A443,MATCH("Dose_Area_Product", DATOS3!$1:$1,0)))</f>
        <v>#N/A</v>
      </c>
      <c r="J443" t="e">
        <f>IF(INDEX( DATOS3!$1:$19996,A443,MATCH("Dose_RP_Total", DATOS3!$1:$1,0))=0,0,INDEX( DATOS3!$1:$19996,A443,MATCH("Dose_RP", DATOS3!$1:$1,0)))</f>
        <v>#N/A</v>
      </c>
      <c r="K443" t="e">
        <f>IF(INDEX( DATOS3!$1:$19996,A443,MATCH("Total_Fluoro_Time", DATOS3!$1:$1,0))=0,0,INDEX( DATOS3!$1:$19996,A443,MATCH("Total_Fluoro_Time", DATOS3!$1:$1,0)))</f>
        <v>#N/A</v>
      </c>
    </row>
    <row r="444" spans="1:11" hidden="1" x14ac:dyDescent="0.25">
      <c r="A444">
        <v>444</v>
      </c>
      <c r="B444" t="e">
        <f t="shared" si="12"/>
        <v>#N/A</v>
      </c>
      <c r="C444" t="e">
        <f t="shared" si="13"/>
        <v>#N/A</v>
      </c>
      <c r="D444" t="e">
        <f>IF(INDEX( DATOS3!$1:$19996,A444,MATCH("PatientID", DATOS3!$1:$1,0))=0,"",INDEX( DATOS3!$1:$19996,A444,MATCH("PatientID", DATOS3!$1:$1,0)))</f>
        <v>#N/A</v>
      </c>
      <c r="F444" t="e">
        <f>IF(INDEX( DATOS3!$1:$19996,A444,MATCH("SeriesDate", DATOS3!$1:$1,0))=0,"",INDEX( DATOS3!$1:$19996,A444,MATCH("SeriesDate", DATOS3!$1:$1,0)))</f>
        <v>#N/A</v>
      </c>
      <c r="G444" t="e">
        <f>IF(INDEX( DATOS3!$1:$19996,A444,MATCH("SeriesTime", DATOS3!$1:$1,0))=0,"",INDEX( DATOS3!$1:$19996,A444,MATCH("SeriesTime", DATOS3!$1:$1,0)))</f>
        <v>#N/A</v>
      </c>
      <c r="H444" t="e">
        <f>IF(INDEX( DATOS3!$1:$19996,A444,MATCH("StudyDescription", DATOS3!$1:$1,0))=0,"",INDEX( DATOS3!$1:$19996,A444,MATCH("StudyDescription", DATOS3!$1:$1,0)))</f>
        <v>#N/A</v>
      </c>
      <c r="I444" t="e">
        <f>IF(INDEX( DATOS3!$1:$19996,A444,MATCH("Dose_Area_Product_Total", DATOS3!$1:$1,0))=0,0,INDEX( DATOS3!$1:$19996,A444,MATCH("Dose_Area_Product", DATOS3!$1:$1,0)))</f>
        <v>#N/A</v>
      </c>
      <c r="J444" t="e">
        <f>IF(INDEX( DATOS3!$1:$19996,A444,MATCH("Dose_RP_Total", DATOS3!$1:$1,0))=0,0,INDEX( DATOS3!$1:$19996,A444,MATCH("Dose_RP", DATOS3!$1:$1,0)))</f>
        <v>#N/A</v>
      </c>
      <c r="K444" t="e">
        <f>IF(INDEX( DATOS3!$1:$19996,A444,MATCH("Total_Fluoro_Time", DATOS3!$1:$1,0))=0,0,INDEX( DATOS3!$1:$19996,A444,MATCH("Total_Fluoro_Time", DATOS3!$1:$1,0)))</f>
        <v>#N/A</v>
      </c>
    </row>
    <row r="445" spans="1:11" hidden="1" x14ac:dyDescent="0.25">
      <c r="A445">
        <v>445</v>
      </c>
      <c r="B445" t="e">
        <f t="shared" si="12"/>
        <v>#N/A</v>
      </c>
      <c r="C445" t="e">
        <f t="shared" si="13"/>
        <v>#N/A</v>
      </c>
      <c r="D445" t="e">
        <f>IF(INDEX( DATOS3!$1:$19996,A445,MATCH("PatientID", DATOS3!$1:$1,0))=0,"",INDEX( DATOS3!$1:$19996,A445,MATCH("PatientID", DATOS3!$1:$1,0)))</f>
        <v>#N/A</v>
      </c>
      <c r="F445" t="e">
        <f>IF(INDEX( DATOS3!$1:$19996,A445,MATCH("SeriesDate", DATOS3!$1:$1,0))=0,"",INDEX( DATOS3!$1:$19996,A445,MATCH("SeriesDate", DATOS3!$1:$1,0)))</f>
        <v>#N/A</v>
      </c>
      <c r="G445" t="e">
        <f>IF(INDEX( DATOS3!$1:$19996,A445,MATCH("SeriesTime", DATOS3!$1:$1,0))=0,"",INDEX( DATOS3!$1:$19996,A445,MATCH("SeriesTime", DATOS3!$1:$1,0)))</f>
        <v>#N/A</v>
      </c>
      <c r="H445" t="e">
        <f>IF(INDEX( DATOS3!$1:$19996,A445,MATCH("StudyDescription", DATOS3!$1:$1,0))=0,"",INDEX( DATOS3!$1:$19996,A445,MATCH("StudyDescription", DATOS3!$1:$1,0)))</f>
        <v>#N/A</v>
      </c>
      <c r="I445" t="e">
        <f>IF(INDEX( DATOS3!$1:$19996,A445,MATCH("Dose_Area_Product_Total", DATOS3!$1:$1,0))=0,0,INDEX( DATOS3!$1:$19996,A445,MATCH("Dose_Area_Product", DATOS3!$1:$1,0)))</f>
        <v>#N/A</v>
      </c>
      <c r="J445" t="e">
        <f>IF(INDEX( DATOS3!$1:$19996,A445,MATCH("Dose_RP_Total", DATOS3!$1:$1,0))=0,0,INDEX( DATOS3!$1:$19996,A445,MATCH("Dose_RP", DATOS3!$1:$1,0)))</f>
        <v>#N/A</v>
      </c>
      <c r="K445" t="e">
        <f>IF(INDEX( DATOS3!$1:$19996,A445,MATCH("Total_Fluoro_Time", DATOS3!$1:$1,0))=0,0,INDEX( DATOS3!$1:$19996,A445,MATCH("Total_Fluoro_Time", DATOS3!$1:$1,0)))</f>
        <v>#N/A</v>
      </c>
    </row>
    <row r="446" spans="1:11" hidden="1" x14ac:dyDescent="0.25">
      <c r="A446">
        <v>446</v>
      </c>
      <c r="B446" t="e">
        <f t="shared" si="12"/>
        <v>#N/A</v>
      </c>
      <c r="C446" t="e">
        <f t="shared" si="13"/>
        <v>#N/A</v>
      </c>
      <c r="D446" t="e">
        <f>IF(INDEX( DATOS3!$1:$19996,A446,MATCH("PatientID", DATOS3!$1:$1,0))=0,"",INDEX( DATOS3!$1:$19996,A446,MATCH("PatientID", DATOS3!$1:$1,0)))</f>
        <v>#N/A</v>
      </c>
      <c r="F446" t="e">
        <f>IF(INDEX( DATOS3!$1:$19996,A446,MATCH("SeriesDate", DATOS3!$1:$1,0))=0,"",INDEX( DATOS3!$1:$19996,A446,MATCH("SeriesDate", DATOS3!$1:$1,0)))</f>
        <v>#N/A</v>
      </c>
      <c r="G446" t="e">
        <f>IF(INDEX( DATOS3!$1:$19996,A446,MATCH("SeriesTime", DATOS3!$1:$1,0))=0,"",INDEX( DATOS3!$1:$19996,A446,MATCH("SeriesTime", DATOS3!$1:$1,0)))</f>
        <v>#N/A</v>
      </c>
      <c r="H446" t="e">
        <f>IF(INDEX( DATOS3!$1:$19996,A446,MATCH("StudyDescription", DATOS3!$1:$1,0))=0,"",INDEX( DATOS3!$1:$19996,A446,MATCH("StudyDescription", DATOS3!$1:$1,0)))</f>
        <v>#N/A</v>
      </c>
      <c r="I446" t="e">
        <f>IF(INDEX( DATOS3!$1:$19996,A446,MATCH("Dose_Area_Product_Total", DATOS3!$1:$1,0))=0,0,INDEX( DATOS3!$1:$19996,A446,MATCH("Dose_Area_Product", DATOS3!$1:$1,0)))</f>
        <v>#N/A</v>
      </c>
      <c r="J446" t="e">
        <f>IF(INDEX( DATOS3!$1:$19996,A446,MATCH("Dose_RP_Total", DATOS3!$1:$1,0))=0,0,INDEX( DATOS3!$1:$19996,A446,MATCH("Dose_RP", DATOS3!$1:$1,0)))</f>
        <v>#N/A</v>
      </c>
      <c r="K446" t="e">
        <f>IF(INDEX( DATOS3!$1:$19996,A446,MATCH("Total_Fluoro_Time", DATOS3!$1:$1,0))=0,0,INDEX( DATOS3!$1:$19996,A446,MATCH("Total_Fluoro_Time", DATOS3!$1:$1,0)))</f>
        <v>#N/A</v>
      </c>
    </row>
    <row r="447" spans="1:11" hidden="1" x14ac:dyDescent="0.25">
      <c r="A447">
        <v>447</v>
      </c>
      <c r="B447" t="e">
        <f t="shared" si="12"/>
        <v>#N/A</v>
      </c>
      <c r="C447" t="e">
        <f t="shared" si="13"/>
        <v>#N/A</v>
      </c>
      <c r="D447" t="e">
        <f>IF(INDEX( DATOS3!$1:$19996,A447,MATCH("PatientID", DATOS3!$1:$1,0))=0,"",INDEX( DATOS3!$1:$19996,A447,MATCH("PatientID", DATOS3!$1:$1,0)))</f>
        <v>#N/A</v>
      </c>
      <c r="F447" t="e">
        <f>IF(INDEX( DATOS3!$1:$19996,A447,MATCH("SeriesDate", DATOS3!$1:$1,0))=0,"",INDEX( DATOS3!$1:$19996,A447,MATCH("SeriesDate", DATOS3!$1:$1,0)))</f>
        <v>#N/A</v>
      </c>
      <c r="G447" t="e">
        <f>IF(INDEX( DATOS3!$1:$19996,A447,MATCH("SeriesTime", DATOS3!$1:$1,0))=0,"",INDEX( DATOS3!$1:$19996,A447,MATCH("SeriesTime", DATOS3!$1:$1,0)))</f>
        <v>#N/A</v>
      </c>
      <c r="H447" t="e">
        <f>IF(INDEX( DATOS3!$1:$19996,A447,MATCH("StudyDescription", DATOS3!$1:$1,0))=0,"",INDEX( DATOS3!$1:$19996,A447,MATCH("StudyDescription", DATOS3!$1:$1,0)))</f>
        <v>#N/A</v>
      </c>
      <c r="I447" t="e">
        <f>IF(INDEX( DATOS3!$1:$19996,A447,MATCH("Dose_Area_Product_Total", DATOS3!$1:$1,0))=0,0,INDEX( DATOS3!$1:$19996,A447,MATCH("Dose_Area_Product", DATOS3!$1:$1,0)))</f>
        <v>#N/A</v>
      </c>
      <c r="J447" t="e">
        <f>IF(INDEX( DATOS3!$1:$19996,A447,MATCH("Dose_RP_Total", DATOS3!$1:$1,0))=0,0,INDEX( DATOS3!$1:$19996,A447,MATCH("Dose_RP", DATOS3!$1:$1,0)))</f>
        <v>#N/A</v>
      </c>
      <c r="K447" t="e">
        <f>IF(INDEX( DATOS3!$1:$19996,A447,MATCH("Total_Fluoro_Time", DATOS3!$1:$1,0))=0,0,INDEX( DATOS3!$1:$19996,A447,MATCH("Total_Fluoro_Time", DATOS3!$1:$1,0)))</f>
        <v>#N/A</v>
      </c>
    </row>
    <row r="448" spans="1:11" hidden="1" x14ac:dyDescent="0.25">
      <c r="A448">
        <v>448</v>
      </c>
      <c r="B448" t="e">
        <f t="shared" si="12"/>
        <v>#N/A</v>
      </c>
      <c r="C448" t="e">
        <f t="shared" si="13"/>
        <v>#N/A</v>
      </c>
      <c r="D448" t="e">
        <f>IF(INDEX( DATOS3!$1:$19996,A448,MATCH("PatientID", DATOS3!$1:$1,0))=0,"",INDEX( DATOS3!$1:$19996,A448,MATCH("PatientID", DATOS3!$1:$1,0)))</f>
        <v>#N/A</v>
      </c>
      <c r="F448" t="e">
        <f>IF(INDEX( DATOS3!$1:$19996,A448,MATCH("SeriesDate", DATOS3!$1:$1,0))=0,"",INDEX( DATOS3!$1:$19996,A448,MATCH("SeriesDate", DATOS3!$1:$1,0)))</f>
        <v>#N/A</v>
      </c>
      <c r="G448" t="e">
        <f>IF(INDEX( DATOS3!$1:$19996,A448,MATCH("SeriesTime", DATOS3!$1:$1,0))=0,"",INDEX( DATOS3!$1:$19996,A448,MATCH("SeriesTime", DATOS3!$1:$1,0)))</f>
        <v>#N/A</v>
      </c>
      <c r="H448" t="e">
        <f>IF(INDEX( DATOS3!$1:$19996,A448,MATCH("StudyDescription", DATOS3!$1:$1,0))=0,"",INDEX( DATOS3!$1:$19996,A448,MATCH("StudyDescription", DATOS3!$1:$1,0)))</f>
        <v>#N/A</v>
      </c>
      <c r="I448" t="e">
        <f>IF(INDEX( DATOS3!$1:$19996,A448,MATCH("Dose_Area_Product_Total", DATOS3!$1:$1,0))=0,0,INDEX( DATOS3!$1:$19996,A448,MATCH("Dose_Area_Product", DATOS3!$1:$1,0)))</f>
        <v>#N/A</v>
      </c>
      <c r="J448" t="e">
        <f>IF(INDEX( DATOS3!$1:$19996,A448,MATCH("Dose_RP_Total", DATOS3!$1:$1,0))=0,0,INDEX( DATOS3!$1:$19996,A448,MATCH("Dose_RP", DATOS3!$1:$1,0)))</f>
        <v>#N/A</v>
      </c>
      <c r="K448" t="e">
        <f>IF(INDEX( DATOS3!$1:$19996,A448,MATCH("Total_Fluoro_Time", DATOS3!$1:$1,0))=0,0,INDEX( DATOS3!$1:$19996,A448,MATCH("Total_Fluoro_Time", DATOS3!$1:$1,0)))</f>
        <v>#N/A</v>
      </c>
    </row>
    <row r="449" spans="1:11" hidden="1" x14ac:dyDescent="0.25">
      <c r="A449">
        <v>449</v>
      </c>
      <c r="B449" t="e">
        <f t="shared" si="12"/>
        <v>#N/A</v>
      </c>
      <c r="C449" t="e">
        <f t="shared" si="13"/>
        <v>#N/A</v>
      </c>
      <c r="D449" t="e">
        <f>IF(INDEX( DATOS3!$1:$19996,A449,MATCH("PatientID", DATOS3!$1:$1,0))=0,"",INDEX( DATOS3!$1:$19996,A449,MATCH("PatientID", DATOS3!$1:$1,0)))</f>
        <v>#N/A</v>
      </c>
      <c r="F449" t="e">
        <f>IF(INDEX( DATOS3!$1:$19996,A449,MATCH("SeriesDate", DATOS3!$1:$1,0))=0,"",INDEX( DATOS3!$1:$19996,A449,MATCH("SeriesDate", DATOS3!$1:$1,0)))</f>
        <v>#N/A</v>
      </c>
      <c r="G449" t="e">
        <f>IF(INDEX( DATOS3!$1:$19996,A449,MATCH("SeriesTime", DATOS3!$1:$1,0))=0,"",INDEX( DATOS3!$1:$19996,A449,MATCH("SeriesTime", DATOS3!$1:$1,0)))</f>
        <v>#N/A</v>
      </c>
      <c r="H449" t="e">
        <f>IF(INDEX( DATOS3!$1:$19996,A449,MATCH("StudyDescription", DATOS3!$1:$1,0))=0,"",INDEX( DATOS3!$1:$19996,A449,MATCH("StudyDescription", DATOS3!$1:$1,0)))</f>
        <v>#N/A</v>
      </c>
      <c r="I449" t="e">
        <f>IF(INDEX( DATOS3!$1:$19996,A449,MATCH("Dose_Area_Product_Total", DATOS3!$1:$1,0))=0,0,INDEX( DATOS3!$1:$19996,A449,MATCH("Dose_Area_Product", DATOS3!$1:$1,0)))</f>
        <v>#N/A</v>
      </c>
      <c r="J449" t="e">
        <f>IF(INDEX( DATOS3!$1:$19996,A449,MATCH("Dose_RP_Total", DATOS3!$1:$1,0))=0,0,INDEX( DATOS3!$1:$19996,A449,MATCH("Dose_RP", DATOS3!$1:$1,0)))</f>
        <v>#N/A</v>
      </c>
      <c r="K449" t="e">
        <f>IF(INDEX( DATOS3!$1:$19996,A449,MATCH("Total_Fluoro_Time", DATOS3!$1:$1,0))=0,0,INDEX( DATOS3!$1:$19996,A449,MATCH("Total_Fluoro_Time", DATOS3!$1:$1,0)))</f>
        <v>#N/A</v>
      </c>
    </row>
    <row r="450" spans="1:11" hidden="1" x14ac:dyDescent="0.25">
      <c r="A450">
        <v>450</v>
      </c>
      <c r="B450" t="e">
        <f t="shared" si="12"/>
        <v>#N/A</v>
      </c>
      <c r="C450" t="e">
        <f t="shared" si="13"/>
        <v>#N/A</v>
      </c>
      <c r="D450" t="e">
        <f>IF(INDEX( DATOS3!$1:$19996,A450,MATCH("PatientID", DATOS3!$1:$1,0))=0,"",INDEX( DATOS3!$1:$19996,A450,MATCH("PatientID", DATOS3!$1:$1,0)))</f>
        <v>#N/A</v>
      </c>
      <c r="F450" t="e">
        <f>IF(INDEX( DATOS3!$1:$19996,A450,MATCH("SeriesDate", DATOS3!$1:$1,0))=0,"",INDEX( DATOS3!$1:$19996,A450,MATCH("SeriesDate", DATOS3!$1:$1,0)))</f>
        <v>#N/A</v>
      </c>
      <c r="G450" t="e">
        <f>IF(INDEX( DATOS3!$1:$19996,A450,MATCH("SeriesTime", DATOS3!$1:$1,0))=0,"",INDEX( DATOS3!$1:$19996,A450,MATCH("SeriesTime", DATOS3!$1:$1,0)))</f>
        <v>#N/A</v>
      </c>
      <c r="H450" t="e">
        <f>IF(INDEX( DATOS3!$1:$19996,A450,MATCH("StudyDescription", DATOS3!$1:$1,0))=0,"",INDEX( DATOS3!$1:$19996,A450,MATCH("StudyDescription", DATOS3!$1:$1,0)))</f>
        <v>#N/A</v>
      </c>
      <c r="I450" t="e">
        <f>IF(INDEX( DATOS3!$1:$19996,A450,MATCH("Dose_Area_Product_Total", DATOS3!$1:$1,0))=0,0,INDEX( DATOS3!$1:$19996,A450,MATCH("Dose_Area_Product", DATOS3!$1:$1,0)))</f>
        <v>#N/A</v>
      </c>
      <c r="J450" t="e">
        <f>IF(INDEX( DATOS3!$1:$19996,A450,MATCH("Dose_RP_Total", DATOS3!$1:$1,0))=0,0,INDEX( DATOS3!$1:$19996,A450,MATCH("Dose_RP", DATOS3!$1:$1,0)))</f>
        <v>#N/A</v>
      </c>
      <c r="K450" t="e">
        <f>IF(INDEX( DATOS3!$1:$19996,A450,MATCH("Total_Fluoro_Time", DATOS3!$1:$1,0))=0,0,INDEX( DATOS3!$1:$19996,A450,MATCH("Total_Fluoro_Time", DATOS3!$1:$1,0)))</f>
        <v>#N/A</v>
      </c>
    </row>
    <row r="451" spans="1:11" hidden="1" x14ac:dyDescent="0.25">
      <c r="A451">
        <v>451</v>
      </c>
      <c r="B451" t="e">
        <f t="shared" ref="B451:B514" si="14">IF(D451="","","ARTISZEE")</f>
        <v>#N/A</v>
      </c>
      <c r="C451" t="e">
        <f t="shared" ref="C451:C514" si="15">IF(B451="ARTISZEE","Cardiología","")</f>
        <v>#N/A</v>
      </c>
      <c r="D451" t="e">
        <f>IF(INDEX( DATOS3!$1:$19996,A451,MATCH("PatientID", DATOS3!$1:$1,0))=0,"",INDEX( DATOS3!$1:$19996,A451,MATCH("PatientID", DATOS3!$1:$1,0)))</f>
        <v>#N/A</v>
      </c>
      <c r="F451" t="e">
        <f>IF(INDEX( DATOS3!$1:$19996,A451,MATCH("SeriesDate", DATOS3!$1:$1,0))=0,"",INDEX( DATOS3!$1:$19996,A451,MATCH("SeriesDate", DATOS3!$1:$1,0)))</f>
        <v>#N/A</v>
      </c>
      <c r="G451" t="e">
        <f>IF(INDEX( DATOS3!$1:$19996,A451,MATCH("SeriesTime", DATOS3!$1:$1,0))=0,"",INDEX( DATOS3!$1:$19996,A451,MATCH("SeriesTime", DATOS3!$1:$1,0)))</f>
        <v>#N/A</v>
      </c>
      <c r="H451" t="e">
        <f>IF(INDEX( DATOS3!$1:$19996,A451,MATCH("StudyDescription", DATOS3!$1:$1,0))=0,"",INDEX( DATOS3!$1:$19996,A451,MATCH("StudyDescription", DATOS3!$1:$1,0)))</f>
        <v>#N/A</v>
      </c>
      <c r="I451" t="e">
        <f>IF(INDEX( DATOS3!$1:$19996,A451,MATCH("Dose_Area_Product_Total", DATOS3!$1:$1,0))=0,0,INDEX( DATOS3!$1:$19996,A451,MATCH("Dose_Area_Product", DATOS3!$1:$1,0)))</f>
        <v>#N/A</v>
      </c>
      <c r="J451" t="e">
        <f>IF(INDEX( DATOS3!$1:$19996,A451,MATCH("Dose_RP_Total", DATOS3!$1:$1,0))=0,0,INDEX( DATOS3!$1:$19996,A451,MATCH("Dose_RP", DATOS3!$1:$1,0)))</f>
        <v>#N/A</v>
      </c>
      <c r="K451" t="e">
        <f>IF(INDEX( DATOS3!$1:$19996,A451,MATCH("Total_Fluoro_Time", DATOS3!$1:$1,0))=0,0,INDEX( DATOS3!$1:$19996,A451,MATCH("Total_Fluoro_Time", DATOS3!$1:$1,0)))</f>
        <v>#N/A</v>
      </c>
    </row>
    <row r="452" spans="1:11" hidden="1" x14ac:dyDescent="0.25">
      <c r="A452">
        <v>452</v>
      </c>
      <c r="B452" t="e">
        <f t="shared" si="14"/>
        <v>#N/A</v>
      </c>
      <c r="C452" t="e">
        <f t="shared" si="15"/>
        <v>#N/A</v>
      </c>
      <c r="D452" t="e">
        <f>IF(INDEX( DATOS3!$1:$19996,A452,MATCH("PatientID", DATOS3!$1:$1,0))=0,"",INDEX( DATOS3!$1:$19996,A452,MATCH("PatientID", DATOS3!$1:$1,0)))</f>
        <v>#N/A</v>
      </c>
      <c r="F452" t="e">
        <f>IF(INDEX( DATOS3!$1:$19996,A452,MATCH("SeriesDate", DATOS3!$1:$1,0))=0,"",INDEX( DATOS3!$1:$19996,A452,MATCH("SeriesDate", DATOS3!$1:$1,0)))</f>
        <v>#N/A</v>
      </c>
      <c r="G452" t="e">
        <f>IF(INDEX( DATOS3!$1:$19996,A452,MATCH("SeriesTime", DATOS3!$1:$1,0))=0,"",INDEX( DATOS3!$1:$19996,A452,MATCH("SeriesTime", DATOS3!$1:$1,0)))</f>
        <v>#N/A</v>
      </c>
      <c r="H452" t="e">
        <f>IF(INDEX( DATOS3!$1:$19996,A452,MATCH("StudyDescription", DATOS3!$1:$1,0))=0,"",INDEX( DATOS3!$1:$19996,A452,MATCH("StudyDescription", DATOS3!$1:$1,0)))</f>
        <v>#N/A</v>
      </c>
      <c r="I452" t="e">
        <f>IF(INDEX( DATOS3!$1:$19996,A452,MATCH("Dose_Area_Product_Total", DATOS3!$1:$1,0))=0,0,INDEX( DATOS3!$1:$19996,A452,MATCH("Dose_Area_Product", DATOS3!$1:$1,0)))</f>
        <v>#N/A</v>
      </c>
      <c r="J452" t="e">
        <f>IF(INDEX( DATOS3!$1:$19996,A452,MATCH("Dose_RP_Total", DATOS3!$1:$1,0))=0,0,INDEX( DATOS3!$1:$19996,A452,MATCH("Dose_RP", DATOS3!$1:$1,0)))</f>
        <v>#N/A</v>
      </c>
      <c r="K452" t="e">
        <f>IF(INDEX( DATOS3!$1:$19996,A452,MATCH("Total_Fluoro_Time", DATOS3!$1:$1,0))=0,0,INDEX( DATOS3!$1:$19996,A452,MATCH("Total_Fluoro_Time", DATOS3!$1:$1,0)))</f>
        <v>#N/A</v>
      </c>
    </row>
    <row r="453" spans="1:11" hidden="1" x14ac:dyDescent="0.25">
      <c r="A453">
        <v>453</v>
      </c>
      <c r="B453" t="e">
        <f t="shared" si="14"/>
        <v>#N/A</v>
      </c>
      <c r="C453" t="e">
        <f t="shared" si="15"/>
        <v>#N/A</v>
      </c>
      <c r="D453" t="e">
        <f>IF(INDEX( DATOS3!$1:$19996,A453,MATCH("PatientID", DATOS3!$1:$1,0))=0,"",INDEX( DATOS3!$1:$19996,A453,MATCH("PatientID", DATOS3!$1:$1,0)))</f>
        <v>#N/A</v>
      </c>
      <c r="F453" t="e">
        <f>IF(INDEX( DATOS3!$1:$19996,A453,MATCH("SeriesDate", DATOS3!$1:$1,0))=0,"",INDEX( DATOS3!$1:$19996,A453,MATCH("SeriesDate", DATOS3!$1:$1,0)))</f>
        <v>#N/A</v>
      </c>
      <c r="G453" t="e">
        <f>IF(INDEX( DATOS3!$1:$19996,A453,MATCH("SeriesTime", DATOS3!$1:$1,0))=0,"",INDEX( DATOS3!$1:$19996,A453,MATCH("SeriesTime", DATOS3!$1:$1,0)))</f>
        <v>#N/A</v>
      </c>
      <c r="H453" t="e">
        <f>IF(INDEX( DATOS3!$1:$19996,A453,MATCH("StudyDescription", DATOS3!$1:$1,0))=0,"",INDEX( DATOS3!$1:$19996,A453,MATCH("StudyDescription", DATOS3!$1:$1,0)))</f>
        <v>#N/A</v>
      </c>
      <c r="I453" t="e">
        <f>IF(INDEX( DATOS3!$1:$19996,A453,MATCH("Dose_Area_Product_Total", DATOS3!$1:$1,0))=0,0,INDEX( DATOS3!$1:$19996,A453,MATCH("Dose_Area_Product", DATOS3!$1:$1,0)))</f>
        <v>#N/A</v>
      </c>
      <c r="J453" t="e">
        <f>IF(INDEX( DATOS3!$1:$19996,A453,MATCH("Dose_RP_Total", DATOS3!$1:$1,0))=0,0,INDEX( DATOS3!$1:$19996,A453,MATCH("Dose_RP", DATOS3!$1:$1,0)))</f>
        <v>#N/A</v>
      </c>
      <c r="K453" t="e">
        <f>IF(INDEX( DATOS3!$1:$19996,A453,MATCH("Total_Fluoro_Time", DATOS3!$1:$1,0))=0,0,INDEX( DATOS3!$1:$19996,A453,MATCH("Total_Fluoro_Time", DATOS3!$1:$1,0)))</f>
        <v>#N/A</v>
      </c>
    </row>
    <row r="454" spans="1:11" hidden="1" x14ac:dyDescent="0.25">
      <c r="A454">
        <v>454</v>
      </c>
      <c r="B454" t="e">
        <f t="shared" si="14"/>
        <v>#N/A</v>
      </c>
      <c r="C454" t="e">
        <f t="shared" si="15"/>
        <v>#N/A</v>
      </c>
      <c r="D454" t="e">
        <f>IF(INDEX( DATOS3!$1:$19996,A454,MATCH("PatientID", DATOS3!$1:$1,0))=0,"",INDEX( DATOS3!$1:$19996,A454,MATCH("PatientID", DATOS3!$1:$1,0)))</f>
        <v>#N/A</v>
      </c>
      <c r="F454" t="e">
        <f>IF(INDEX( DATOS3!$1:$19996,A454,MATCH("SeriesDate", DATOS3!$1:$1,0))=0,"",INDEX( DATOS3!$1:$19996,A454,MATCH("SeriesDate", DATOS3!$1:$1,0)))</f>
        <v>#N/A</v>
      </c>
      <c r="G454" t="e">
        <f>IF(INDEX( DATOS3!$1:$19996,A454,MATCH("SeriesTime", DATOS3!$1:$1,0))=0,"",INDEX( DATOS3!$1:$19996,A454,MATCH("SeriesTime", DATOS3!$1:$1,0)))</f>
        <v>#N/A</v>
      </c>
      <c r="H454" t="e">
        <f>IF(INDEX( DATOS3!$1:$19996,A454,MATCH("StudyDescription", DATOS3!$1:$1,0))=0,"",INDEX( DATOS3!$1:$19996,A454,MATCH("StudyDescription", DATOS3!$1:$1,0)))</f>
        <v>#N/A</v>
      </c>
      <c r="I454" t="e">
        <f>IF(INDEX( DATOS3!$1:$19996,A454,MATCH("Dose_Area_Product_Total", DATOS3!$1:$1,0))=0,0,INDEX( DATOS3!$1:$19996,A454,MATCH("Dose_Area_Product", DATOS3!$1:$1,0)))</f>
        <v>#N/A</v>
      </c>
      <c r="J454" t="e">
        <f>IF(INDEX( DATOS3!$1:$19996,A454,MATCH("Dose_RP_Total", DATOS3!$1:$1,0))=0,0,INDEX( DATOS3!$1:$19996,A454,MATCH("Dose_RP", DATOS3!$1:$1,0)))</f>
        <v>#N/A</v>
      </c>
      <c r="K454" t="e">
        <f>IF(INDEX( DATOS3!$1:$19996,A454,MATCH("Total_Fluoro_Time", DATOS3!$1:$1,0))=0,0,INDEX( DATOS3!$1:$19996,A454,MATCH("Total_Fluoro_Time", DATOS3!$1:$1,0)))</f>
        <v>#N/A</v>
      </c>
    </row>
    <row r="455" spans="1:11" hidden="1" x14ac:dyDescent="0.25">
      <c r="A455">
        <v>455</v>
      </c>
      <c r="B455" t="e">
        <f t="shared" si="14"/>
        <v>#N/A</v>
      </c>
      <c r="C455" t="e">
        <f t="shared" si="15"/>
        <v>#N/A</v>
      </c>
      <c r="D455" t="e">
        <f>IF(INDEX( DATOS3!$1:$19996,A455,MATCH("PatientID", DATOS3!$1:$1,0))=0,"",INDEX( DATOS3!$1:$19996,A455,MATCH("PatientID", DATOS3!$1:$1,0)))</f>
        <v>#N/A</v>
      </c>
      <c r="F455" t="e">
        <f>IF(INDEX( DATOS3!$1:$19996,A455,MATCH("SeriesDate", DATOS3!$1:$1,0))=0,"",INDEX( DATOS3!$1:$19996,A455,MATCH("SeriesDate", DATOS3!$1:$1,0)))</f>
        <v>#N/A</v>
      </c>
      <c r="G455" t="e">
        <f>IF(INDEX( DATOS3!$1:$19996,A455,MATCH("SeriesTime", DATOS3!$1:$1,0))=0,"",INDEX( DATOS3!$1:$19996,A455,MATCH("SeriesTime", DATOS3!$1:$1,0)))</f>
        <v>#N/A</v>
      </c>
      <c r="H455" t="e">
        <f>IF(INDEX( DATOS3!$1:$19996,A455,MATCH("StudyDescription", DATOS3!$1:$1,0))=0,"",INDEX( DATOS3!$1:$19996,A455,MATCH("StudyDescription", DATOS3!$1:$1,0)))</f>
        <v>#N/A</v>
      </c>
      <c r="I455" t="e">
        <f>IF(INDEX( DATOS3!$1:$19996,A455,MATCH("Dose_Area_Product_Total", DATOS3!$1:$1,0))=0,0,INDEX( DATOS3!$1:$19996,A455,MATCH("Dose_Area_Product", DATOS3!$1:$1,0)))</f>
        <v>#N/A</v>
      </c>
      <c r="J455" t="e">
        <f>IF(INDEX( DATOS3!$1:$19996,A455,MATCH("Dose_RP_Total", DATOS3!$1:$1,0))=0,0,INDEX( DATOS3!$1:$19996,A455,MATCH("Dose_RP", DATOS3!$1:$1,0)))</f>
        <v>#N/A</v>
      </c>
      <c r="K455" t="e">
        <f>IF(INDEX( DATOS3!$1:$19996,A455,MATCH("Total_Fluoro_Time", DATOS3!$1:$1,0))=0,0,INDEX( DATOS3!$1:$19996,A455,MATCH("Total_Fluoro_Time", DATOS3!$1:$1,0)))</f>
        <v>#N/A</v>
      </c>
    </row>
    <row r="456" spans="1:11" hidden="1" x14ac:dyDescent="0.25">
      <c r="A456">
        <v>456</v>
      </c>
      <c r="B456" t="e">
        <f t="shared" si="14"/>
        <v>#N/A</v>
      </c>
      <c r="C456" t="e">
        <f t="shared" si="15"/>
        <v>#N/A</v>
      </c>
      <c r="D456" t="e">
        <f>IF(INDEX( DATOS3!$1:$19996,A456,MATCH("PatientID", DATOS3!$1:$1,0))=0,"",INDEX( DATOS3!$1:$19996,A456,MATCH("PatientID", DATOS3!$1:$1,0)))</f>
        <v>#N/A</v>
      </c>
      <c r="F456" t="e">
        <f>IF(INDEX( DATOS3!$1:$19996,A456,MATCH("SeriesDate", DATOS3!$1:$1,0))=0,"",INDEX( DATOS3!$1:$19996,A456,MATCH("SeriesDate", DATOS3!$1:$1,0)))</f>
        <v>#N/A</v>
      </c>
      <c r="G456" t="e">
        <f>IF(INDEX( DATOS3!$1:$19996,A456,MATCH("SeriesTime", DATOS3!$1:$1,0))=0,"",INDEX( DATOS3!$1:$19996,A456,MATCH("SeriesTime", DATOS3!$1:$1,0)))</f>
        <v>#N/A</v>
      </c>
      <c r="H456" t="e">
        <f>IF(INDEX( DATOS3!$1:$19996,A456,MATCH("StudyDescription", DATOS3!$1:$1,0))=0,"",INDEX( DATOS3!$1:$19996,A456,MATCH("StudyDescription", DATOS3!$1:$1,0)))</f>
        <v>#N/A</v>
      </c>
      <c r="I456" t="e">
        <f>IF(INDEX( DATOS3!$1:$19996,A456,MATCH("Dose_Area_Product_Total", DATOS3!$1:$1,0))=0,0,INDEX( DATOS3!$1:$19996,A456,MATCH("Dose_Area_Product", DATOS3!$1:$1,0)))</f>
        <v>#N/A</v>
      </c>
      <c r="J456" t="e">
        <f>IF(INDEX( DATOS3!$1:$19996,A456,MATCH("Dose_RP_Total", DATOS3!$1:$1,0))=0,0,INDEX( DATOS3!$1:$19996,A456,MATCH("Dose_RP", DATOS3!$1:$1,0)))</f>
        <v>#N/A</v>
      </c>
      <c r="K456" t="e">
        <f>IF(INDEX( DATOS3!$1:$19996,A456,MATCH("Total_Fluoro_Time", DATOS3!$1:$1,0))=0,0,INDEX( DATOS3!$1:$19996,A456,MATCH("Total_Fluoro_Time", DATOS3!$1:$1,0)))</f>
        <v>#N/A</v>
      </c>
    </row>
    <row r="457" spans="1:11" hidden="1" x14ac:dyDescent="0.25">
      <c r="A457">
        <v>457</v>
      </c>
      <c r="B457" t="e">
        <f t="shared" si="14"/>
        <v>#N/A</v>
      </c>
      <c r="C457" t="e">
        <f t="shared" si="15"/>
        <v>#N/A</v>
      </c>
      <c r="D457" t="e">
        <f>IF(INDEX( DATOS3!$1:$19996,A457,MATCH("PatientID", DATOS3!$1:$1,0))=0,"",INDEX( DATOS3!$1:$19996,A457,MATCH("PatientID", DATOS3!$1:$1,0)))</f>
        <v>#N/A</v>
      </c>
      <c r="F457" t="e">
        <f>IF(INDEX( DATOS3!$1:$19996,A457,MATCH("SeriesDate", DATOS3!$1:$1,0))=0,"",INDEX( DATOS3!$1:$19996,A457,MATCH("SeriesDate", DATOS3!$1:$1,0)))</f>
        <v>#N/A</v>
      </c>
      <c r="G457" t="e">
        <f>IF(INDEX( DATOS3!$1:$19996,A457,MATCH("SeriesTime", DATOS3!$1:$1,0))=0,"",INDEX( DATOS3!$1:$19996,A457,MATCH("SeriesTime", DATOS3!$1:$1,0)))</f>
        <v>#N/A</v>
      </c>
      <c r="H457" t="e">
        <f>IF(INDEX( DATOS3!$1:$19996,A457,MATCH("StudyDescription", DATOS3!$1:$1,0))=0,"",INDEX( DATOS3!$1:$19996,A457,MATCH("StudyDescription", DATOS3!$1:$1,0)))</f>
        <v>#N/A</v>
      </c>
      <c r="I457" t="e">
        <f>IF(INDEX( DATOS3!$1:$19996,A457,MATCH("Dose_Area_Product_Total", DATOS3!$1:$1,0))=0,0,INDEX( DATOS3!$1:$19996,A457,MATCH("Dose_Area_Product", DATOS3!$1:$1,0)))</f>
        <v>#N/A</v>
      </c>
      <c r="J457" t="e">
        <f>IF(INDEX( DATOS3!$1:$19996,A457,MATCH("Dose_RP_Total", DATOS3!$1:$1,0))=0,0,INDEX( DATOS3!$1:$19996,A457,MATCH("Dose_RP", DATOS3!$1:$1,0)))</f>
        <v>#N/A</v>
      </c>
      <c r="K457" t="e">
        <f>IF(INDEX( DATOS3!$1:$19996,A457,MATCH("Total_Fluoro_Time", DATOS3!$1:$1,0))=0,0,INDEX( DATOS3!$1:$19996,A457,MATCH("Total_Fluoro_Time", DATOS3!$1:$1,0)))</f>
        <v>#N/A</v>
      </c>
    </row>
    <row r="458" spans="1:11" hidden="1" x14ac:dyDescent="0.25">
      <c r="A458">
        <v>458</v>
      </c>
      <c r="B458" t="e">
        <f t="shared" si="14"/>
        <v>#N/A</v>
      </c>
      <c r="C458" t="e">
        <f t="shared" si="15"/>
        <v>#N/A</v>
      </c>
      <c r="D458" t="e">
        <f>IF(INDEX( DATOS3!$1:$19996,A458,MATCH("PatientID", DATOS3!$1:$1,0))=0,"",INDEX( DATOS3!$1:$19996,A458,MATCH("PatientID", DATOS3!$1:$1,0)))</f>
        <v>#N/A</v>
      </c>
      <c r="F458" t="e">
        <f>IF(INDEX( DATOS3!$1:$19996,A458,MATCH("SeriesDate", DATOS3!$1:$1,0))=0,"",INDEX( DATOS3!$1:$19996,A458,MATCH("SeriesDate", DATOS3!$1:$1,0)))</f>
        <v>#N/A</v>
      </c>
      <c r="G458" t="e">
        <f>IF(INDEX( DATOS3!$1:$19996,A458,MATCH("SeriesTime", DATOS3!$1:$1,0))=0,"",INDEX( DATOS3!$1:$19996,A458,MATCH("SeriesTime", DATOS3!$1:$1,0)))</f>
        <v>#N/A</v>
      </c>
      <c r="H458" t="e">
        <f>IF(INDEX( DATOS3!$1:$19996,A458,MATCH("StudyDescription", DATOS3!$1:$1,0))=0,"",INDEX( DATOS3!$1:$19996,A458,MATCH("StudyDescription", DATOS3!$1:$1,0)))</f>
        <v>#N/A</v>
      </c>
      <c r="I458" t="e">
        <f>IF(INDEX( DATOS3!$1:$19996,A458,MATCH("Dose_Area_Product_Total", DATOS3!$1:$1,0))=0,0,INDEX( DATOS3!$1:$19996,A458,MATCH("Dose_Area_Product", DATOS3!$1:$1,0)))</f>
        <v>#N/A</v>
      </c>
      <c r="J458" t="e">
        <f>IF(INDEX( DATOS3!$1:$19996,A458,MATCH("Dose_RP_Total", DATOS3!$1:$1,0))=0,0,INDEX( DATOS3!$1:$19996,A458,MATCH("Dose_RP", DATOS3!$1:$1,0)))</f>
        <v>#N/A</v>
      </c>
      <c r="K458" t="e">
        <f>IF(INDEX( DATOS3!$1:$19996,A458,MATCH("Total_Fluoro_Time", DATOS3!$1:$1,0))=0,0,INDEX( DATOS3!$1:$19996,A458,MATCH("Total_Fluoro_Time", DATOS3!$1:$1,0)))</f>
        <v>#N/A</v>
      </c>
    </row>
    <row r="459" spans="1:11" hidden="1" x14ac:dyDescent="0.25">
      <c r="A459">
        <v>459</v>
      </c>
      <c r="B459" t="e">
        <f t="shared" si="14"/>
        <v>#N/A</v>
      </c>
      <c r="C459" t="e">
        <f t="shared" si="15"/>
        <v>#N/A</v>
      </c>
      <c r="D459" t="e">
        <f>IF(INDEX( DATOS3!$1:$19996,A459,MATCH("PatientID", DATOS3!$1:$1,0))=0,"",INDEX( DATOS3!$1:$19996,A459,MATCH("PatientID", DATOS3!$1:$1,0)))</f>
        <v>#N/A</v>
      </c>
      <c r="F459" t="e">
        <f>IF(INDEX( DATOS3!$1:$19996,A459,MATCH("SeriesDate", DATOS3!$1:$1,0))=0,"",INDEX( DATOS3!$1:$19996,A459,MATCH("SeriesDate", DATOS3!$1:$1,0)))</f>
        <v>#N/A</v>
      </c>
      <c r="G459" t="e">
        <f>IF(INDEX( DATOS3!$1:$19996,A459,MATCH("SeriesTime", DATOS3!$1:$1,0))=0,"",INDEX( DATOS3!$1:$19996,A459,MATCH("SeriesTime", DATOS3!$1:$1,0)))</f>
        <v>#N/A</v>
      </c>
      <c r="H459" t="e">
        <f>IF(INDEX( DATOS3!$1:$19996,A459,MATCH("StudyDescription", DATOS3!$1:$1,0))=0,"",INDEX( DATOS3!$1:$19996,A459,MATCH("StudyDescription", DATOS3!$1:$1,0)))</f>
        <v>#N/A</v>
      </c>
      <c r="I459" t="e">
        <f>IF(INDEX( DATOS3!$1:$19996,A459,MATCH("Dose_Area_Product_Total", DATOS3!$1:$1,0))=0,0,INDEX( DATOS3!$1:$19996,A459,MATCH("Dose_Area_Product", DATOS3!$1:$1,0)))</f>
        <v>#N/A</v>
      </c>
      <c r="J459" t="e">
        <f>IF(INDEX( DATOS3!$1:$19996,A459,MATCH("Dose_RP_Total", DATOS3!$1:$1,0))=0,0,INDEX( DATOS3!$1:$19996,A459,MATCH("Dose_RP", DATOS3!$1:$1,0)))</f>
        <v>#N/A</v>
      </c>
      <c r="K459" t="e">
        <f>IF(INDEX( DATOS3!$1:$19996,A459,MATCH("Total_Fluoro_Time", DATOS3!$1:$1,0))=0,0,INDEX( DATOS3!$1:$19996,A459,MATCH("Total_Fluoro_Time", DATOS3!$1:$1,0)))</f>
        <v>#N/A</v>
      </c>
    </row>
    <row r="460" spans="1:11" hidden="1" x14ac:dyDescent="0.25">
      <c r="A460">
        <v>460</v>
      </c>
      <c r="B460" t="e">
        <f t="shared" si="14"/>
        <v>#N/A</v>
      </c>
      <c r="C460" t="e">
        <f t="shared" si="15"/>
        <v>#N/A</v>
      </c>
      <c r="D460" t="e">
        <f>IF(INDEX( DATOS3!$1:$19996,A460,MATCH("PatientID", DATOS3!$1:$1,0))=0,"",INDEX( DATOS3!$1:$19996,A460,MATCH("PatientID", DATOS3!$1:$1,0)))</f>
        <v>#N/A</v>
      </c>
      <c r="F460" t="e">
        <f>IF(INDEX( DATOS3!$1:$19996,A460,MATCH("SeriesDate", DATOS3!$1:$1,0))=0,"",INDEX( DATOS3!$1:$19996,A460,MATCH("SeriesDate", DATOS3!$1:$1,0)))</f>
        <v>#N/A</v>
      </c>
      <c r="G460" t="e">
        <f>IF(INDEX( DATOS3!$1:$19996,A460,MATCH("SeriesTime", DATOS3!$1:$1,0))=0,"",INDEX( DATOS3!$1:$19996,A460,MATCH("SeriesTime", DATOS3!$1:$1,0)))</f>
        <v>#N/A</v>
      </c>
      <c r="H460" t="e">
        <f>IF(INDEX( DATOS3!$1:$19996,A460,MATCH("StudyDescription", DATOS3!$1:$1,0))=0,"",INDEX( DATOS3!$1:$19996,A460,MATCH("StudyDescription", DATOS3!$1:$1,0)))</f>
        <v>#N/A</v>
      </c>
      <c r="I460" t="e">
        <f>IF(INDEX( DATOS3!$1:$19996,A460,MATCH("Dose_Area_Product_Total", DATOS3!$1:$1,0))=0,0,INDEX( DATOS3!$1:$19996,A460,MATCH("Dose_Area_Product", DATOS3!$1:$1,0)))</f>
        <v>#N/A</v>
      </c>
      <c r="J460" t="e">
        <f>IF(INDEX( DATOS3!$1:$19996,A460,MATCH("Dose_RP_Total", DATOS3!$1:$1,0))=0,0,INDEX( DATOS3!$1:$19996,A460,MATCH("Dose_RP", DATOS3!$1:$1,0)))</f>
        <v>#N/A</v>
      </c>
      <c r="K460" t="e">
        <f>IF(INDEX( DATOS3!$1:$19996,A460,MATCH("Total_Fluoro_Time", DATOS3!$1:$1,0))=0,0,INDEX( DATOS3!$1:$19996,A460,MATCH("Total_Fluoro_Time", DATOS3!$1:$1,0)))</f>
        <v>#N/A</v>
      </c>
    </row>
    <row r="461" spans="1:11" hidden="1" x14ac:dyDescent="0.25">
      <c r="A461">
        <v>461</v>
      </c>
      <c r="B461" t="e">
        <f t="shared" si="14"/>
        <v>#N/A</v>
      </c>
      <c r="C461" t="e">
        <f t="shared" si="15"/>
        <v>#N/A</v>
      </c>
      <c r="D461" t="e">
        <f>IF(INDEX( DATOS3!$1:$19996,A461,MATCH("PatientID", DATOS3!$1:$1,0))=0,"",INDEX( DATOS3!$1:$19996,A461,MATCH("PatientID", DATOS3!$1:$1,0)))</f>
        <v>#N/A</v>
      </c>
      <c r="F461" t="e">
        <f>IF(INDEX( DATOS3!$1:$19996,A461,MATCH("SeriesDate", DATOS3!$1:$1,0))=0,"",INDEX( DATOS3!$1:$19996,A461,MATCH("SeriesDate", DATOS3!$1:$1,0)))</f>
        <v>#N/A</v>
      </c>
      <c r="G461" t="e">
        <f>IF(INDEX( DATOS3!$1:$19996,A461,MATCH("SeriesTime", DATOS3!$1:$1,0))=0,"",INDEX( DATOS3!$1:$19996,A461,MATCH("SeriesTime", DATOS3!$1:$1,0)))</f>
        <v>#N/A</v>
      </c>
      <c r="H461" t="e">
        <f>IF(INDEX( DATOS3!$1:$19996,A461,MATCH("StudyDescription", DATOS3!$1:$1,0))=0,"",INDEX( DATOS3!$1:$19996,A461,MATCH("StudyDescription", DATOS3!$1:$1,0)))</f>
        <v>#N/A</v>
      </c>
      <c r="I461" t="e">
        <f>IF(INDEX( DATOS3!$1:$19996,A461,MATCH("Dose_Area_Product_Total", DATOS3!$1:$1,0))=0,0,INDEX( DATOS3!$1:$19996,A461,MATCH("Dose_Area_Product", DATOS3!$1:$1,0)))</f>
        <v>#N/A</v>
      </c>
      <c r="J461" t="e">
        <f>IF(INDEX( DATOS3!$1:$19996,A461,MATCH("Dose_RP_Total", DATOS3!$1:$1,0))=0,0,INDEX( DATOS3!$1:$19996,A461,MATCH("Dose_RP", DATOS3!$1:$1,0)))</f>
        <v>#N/A</v>
      </c>
      <c r="K461" t="e">
        <f>IF(INDEX( DATOS3!$1:$19996,A461,MATCH("Total_Fluoro_Time", DATOS3!$1:$1,0))=0,0,INDEX( DATOS3!$1:$19996,A461,MATCH("Total_Fluoro_Time", DATOS3!$1:$1,0)))</f>
        <v>#N/A</v>
      </c>
    </row>
    <row r="462" spans="1:11" hidden="1" x14ac:dyDescent="0.25">
      <c r="A462">
        <v>462</v>
      </c>
      <c r="B462" t="e">
        <f t="shared" si="14"/>
        <v>#N/A</v>
      </c>
      <c r="C462" t="e">
        <f t="shared" si="15"/>
        <v>#N/A</v>
      </c>
      <c r="D462" t="e">
        <f>IF(INDEX( DATOS3!$1:$19996,A462,MATCH("PatientID", DATOS3!$1:$1,0))=0,"",INDEX( DATOS3!$1:$19996,A462,MATCH("PatientID", DATOS3!$1:$1,0)))</f>
        <v>#N/A</v>
      </c>
      <c r="F462" t="e">
        <f>IF(INDEX( DATOS3!$1:$19996,A462,MATCH("SeriesDate", DATOS3!$1:$1,0))=0,"",INDEX( DATOS3!$1:$19996,A462,MATCH("SeriesDate", DATOS3!$1:$1,0)))</f>
        <v>#N/A</v>
      </c>
      <c r="G462" t="e">
        <f>IF(INDEX( DATOS3!$1:$19996,A462,MATCH("SeriesTime", DATOS3!$1:$1,0))=0,"",INDEX( DATOS3!$1:$19996,A462,MATCH("SeriesTime", DATOS3!$1:$1,0)))</f>
        <v>#N/A</v>
      </c>
      <c r="H462" t="e">
        <f>IF(INDEX( DATOS3!$1:$19996,A462,MATCH("StudyDescription", DATOS3!$1:$1,0))=0,"",INDEX( DATOS3!$1:$19996,A462,MATCH("StudyDescription", DATOS3!$1:$1,0)))</f>
        <v>#N/A</v>
      </c>
      <c r="I462" t="e">
        <f>IF(INDEX( DATOS3!$1:$19996,A462,MATCH("Dose_Area_Product_Total", DATOS3!$1:$1,0))=0,0,INDEX( DATOS3!$1:$19996,A462,MATCH("Dose_Area_Product", DATOS3!$1:$1,0)))</f>
        <v>#N/A</v>
      </c>
      <c r="J462" t="e">
        <f>IF(INDEX( DATOS3!$1:$19996,A462,MATCH("Dose_RP_Total", DATOS3!$1:$1,0))=0,0,INDEX( DATOS3!$1:$19996,A462,MATCH("Dose_RP", DATOS3!$1:$1,0)))</f>
        <v>#N/A</v>
      </c>
      <c r="K462" t="e">
        <f>IF(INDEX( DATOS3!$1:$19996,A462,MATCH("Total_Fluoro_Time", DATOS3!$1:$1,0))=0,0,INDEX( DATOS3!$1:$19996,A462,MATCH("Total_Fluoro_Time", DATOS3!$1:$1,0)))</f>
        <v>#N/A</v>
      </c>
    </row>
    <row r="463" spans="1:11" hidden="1" x14ac:dyDescent="0.25">
      <c r="A463">
        <v>463</v>
      </c>
      <c r="B463" t="e">
        <f t="shared" si="14"/>
        <v>#N/A</v>
      </c>
      <c r="C463" t="e">
        <f t="shared" si="15"/>
        <v>#N/A</v>
      </c>
      <c r="D463" t="e">
        <f>IF(INDEX( DATOS3!$1:$19996,A463,MATCH("PatientID", DATOS3!$1:$1,0))=0,"",INDEX( DATOS3!$1:$19996,A463,MATCH("PatientID", DATOS3!$1:$1,0)))</f>
        <v>#N/A</v>
      </c>
      <c r="F463" t="e">
        <f>IF(INDEX( DATOS3!$1:$19996,A463,MATCH("SeriesDate", DATOS3!$1:$1,0))=0,"",INDEX( DATOS3!$1:$19996,A463,MATCH("SeriesDate", DATOS3!$1:$1,0)))</f>
        <v>#N/A</v>
      </c>
      <c r="G463" t="e">
        <f>IF(INDEX( DATOS3!$1:$19996,A463,MATCH("SeriesTime", DATOS3!$1:$1,0))=0,"",INDEX( DATOS3!$1:$19996,A463,MATCH("SeriesTime", DATOS3!$1:$1,0)))</f>
        <v>#N/A</v>
      </c>
      <c r="H463" t="e">
        <f>IF(INDEX( DATOS3!$1:$19996,A463,MATCH("StudyDescription", DATOS3!$1:$1,0))=0,"",INDEX( DATOS3!$1:$19996,A463,MATCH("StudyDescription", DATOS3!$1:$1,0)))</f>
        <v>#N/A</v>
      </c>
      <c r="I463" t="e">
        <f>IF(INDEX( DATOS3!$1:$19996,A463,MATCH("Dose_Area_Product_Total", DATOS3!$1:$1,0))=0,0,INDEX( DATOS3!$1:$19996,A463,MATCH("Dose_Area_Product", DATOS3!$1:$1,0)))</f>
        <v>#N/A</v>
      </c>
      <c r="J463" t="e">
        <f>IF(INDEX( DATOS3!$1:$19996,A463,MATCH("Dose_RP_Total", DATOS3!$1:$1,0))=0,0,INDEX( DATOS3!$1:$19996,A463,MATCH("Dose_RP", DATOS3!$1:$1,0)))</f>
        <v>#N/A</v>
      </c>
      <c r="K463" t="e">
        <f>IF(INDEX( DATOS3!$1:$19996,A463,MATCH("Total_Fluoro_Time", DATOS3!$1:$1,0))=0,0,INDEX( DATOS3!$1:$19996,A463,MATCH("Total_Fluoro_Time", DATOS3!$1:$1,0)))</f>
        <v>#N/A</v>
      </c>
    </row>
    <row r="464" spans="1:11" hidden="1" x14ac:dyDescent="0.25">
      <c r="A464">
        <v>464</v>
      </c>
      <c r="B464" t="e">
        <f t="shared" si="14"/>
        <v>#N/A</v>
      </c>
      <c r="C464" t="e">
        <f t="shared" si="15"/>
        <v>#N/A</v>
      </c>
      <c r="D464" t="e">
        <f>IF(INDEX( DATOS3!$1:$19996,A464,MATCH("PatientID", DATOS3!$1:$1,0))=0,"",INDEX( DATOS3!$1:$19996,A464,MATCH("PatientID", DATOS3!$1:$1,0)))</f>
        <v>#N/A</v>
      </c>
      <c r="F464" t="e">
        <f>IF(INDEX( DATOS3!$1:$19996,A464,MATCH("SeriesDate", DATOS3!$1:$1,0))=0,"",INDEX( DATOS3!$1:$19996,A464,MATCH("SeriesDate", DATOS3!$1:$1,0)))</f>
        <v>#N/A</v>
      </c>
      <c r="G464" t="e">
        <f>IF(INDEX( DATOS3!$1:$19996,A464,MATCH("SeriesTime", DATOS3!$1:$1,0))=0,"",INDEX( DATOS3!$1:$19996,A464,MATCH("SeriesTime", DATOS3!$1:$1,0)))</f>
        <v>#N/A</v>
      </c>
      <c r="H464" t="e">
        <f>IF(INDEX( DATOS3!$1:$19996,A464,MATCH("StudyDescription", DATOS3!$1:$1,0))=0,"",INDEX( DATOS3!$1:$19996,A464,MATCH("StudyDescription", DATOS3!$1:$1,0)))</f>
        <v>#N/A</v>
      </c>
      <c r="I464" t="e">
        <f>IF(INDEX( DATOS3!$1:$19996,A464,MATCH("Dose_Area_Product_Total", DATOS3!$1:$1,0))=0,0,INDEX( DATOS3!$1:$19996,A464,MATCH("Dose_Area_Product", DATOS3!$1:$1,0)))</f>
        <v>#N/A</v>
      </c>
      <c r="J464" t="e">
        <f>IF(INDEX( DATOS3!$1:$19996,A464,MATCH("Dose_RP_Total", DATOS3!$1:$1,0))=0,0,INDEX( DATOS3!$1:$19996,A464,MATCH("Dose_RP", DATOS3!$1:$1,0)))</f>
        <v>#N/A</v>
      </c>
      <c r="K464" t="e">
        <f>IF(INDEX( DATOS3!$1:$19996,A464,MATCH("Total_Fluoro_Time", DATOS3!$1:$1,0))=0,0,INDEX( DATOS3!$1:$19996,A464,MATCH("Total_Fluoro_Time", DATOS3!$1:$1,0)))</f>
        <v>#N/A</v>
      </c>
    </row>
    <row r="465" spans="1:11" hidden="1" x14ac:dyDescent="0.25">
      <c r="A465">
        <v>465</v>
      </c>
      <c r="B465" t="e">
        <f t="shared" si="14"/>
        <v>#N/A</v>
      </c>
      <c r="C465" t="e">
        <f t="shared" si="15"/>
        <v>#N/A</v>
      </c>
      <c r="D465" t="e">
        <f>IF(INDEX( DATOS3!$1:$19996,A465,MATCH("PatientID", DATOS3!$1:$1,0))=0,"",INDEX( DATOS3!$1:$19996,A465,MATCH("PatientID", DATOS3!$1:$1,0)))</f>
        <v>#N/A</v>
      </c>
      <c r="F465" t="e">
        <f>IF(INDEX( DATOS3!$1:$19996,A465,MATCH("SeriesDate", DATOS3!$1:$1,0))=0,"",INDEX( DATOS3!$1:$19996,A465,MATCH("SeriesDate", DATOS3!$1:$1,0)))</f>
        <v>#N/A</v>
      </c>
      <c r="G465" t="e">
        <f>IF(INDEX( DATOS3!$1:$19996,A465,MATCH("SeriesTime", DATOS3!$1:$1,0))=0,"",INDEX( DATOS3!$1:$19996,A465,MATCH("SeriesTime", DATOS3!$1:$1,0)))</f>
        <v>#N/A</v>
      </c>
      <c r="H465" t="e">
        <f>IF(INDEX( DATOS3!$1:$19996,A465,MATCH("StudyDescription", DATOS3!$1:$1,0))=0,"",INDEX( DATOS3!$1:$19996,A465,MATCH("StudyDescription", DATOS3!$1:$1,0)))</f>
        <v>#N/A</v>
      </c>
      <c r="I465" t="e">
        <f>IF(INDEX( DATOS3!$1:$19996,A465,MATCH("Dose_Area_Product_Total", DATOS3!$1:$1,0))=0,0,INDEX( DATOS3!$1:$19996,A465,MATCH("Dose_Area_Product", DATOS3!$1:$1,0)))</f>
        <v>#N/A</v>
      </c>
      <c r="J465" t="e">
        <f>IF(INDEX( DATOS3!$1:$19996,A465,MATCH("Dose_RP_Total", DATOS3!$1:$1,0))=0,0,INDEX( DATOS3!$1:$19996,A465,MATCH("Dose_RP", DATOS3!$1:$1,0)))</f>
        <v>#N/A</v>
      </c>
      <c r="K465" t="e">
        <f>IF(INDEX( DATOS3!$1:$19996,A465,MATCH("Total_Fluoro_Time", DATOS3!$1:$1,0))=0,0,INDEX( DATOS3!$1:$19996,A465,MATCH("Total_Fluoro_Time", DATOS3!$1:$1,0)))</f>
        <v>#N/A</v>
      </c>
    </row>
    <row r="466" spans="1:11" hidden="1" x14ac:dyDescent="0.25">
      <c r="A466">
        <v>466</v>
      </c>
      <c r="B466" t="e">
        <f t="shared" si="14"/>
        <v>#N/A</v>
      </c>
      <c r="C466" t="e">
        <f t="shared" si="15"/>
        <v>#N/A</v>
      </c>
      <c r="D466" t="e">
        <f>IF(INDEX( DATOS3!$1:$19996,A466,MATCH("PatientID", DATOS3!$1:$1,0))=0,"",INDEX( DATOS3!$1:$19996,A466,MATCH("PatientID", DATOS3!$1:$1,0)))</f>
        <v>#N/A</v>
      </c>
      <c r="F466" t="e">
        <f>IF(INDEX( DATOS3!$1:$19996,A466,MATCH("SeriesDate", DATOS3!$1:$1,0))=0,"",INDEX( DATOS3!$1:$19996,A466,MATCH("SeriesDate", DATOS3!$1:$1,0)))</f>
        <v>#N/A</v>
      </c>
      <c r="G466" t="e">
        <f>IF(INDEX( DATOS3!$1:$19996,A466,MATCH("SeriesTime", DATOS3!$1:$1,0))=0,"",INDEX( DATOS3!$1:$19996,A466,MATCH("SeriesTime", DATOS3!$1:$1,0)))</f>
        <v>#N/A</v>
      </c>
      <c r="H466" t="e">
        <f>IF(INDEX( DATOS3!$1:$19996,A466,MATCH("StudyDescription", DATOS3!$1:$1,0))=0,"",INDEX( DATOS3!$1:$19996,A466,MATCH("StudyDescription", DATOS3!$1:$1,0)))</f>
        <v>#N/A</v>
      </c>
      <c r="I466" t="e">
        <f>IF(INDEX( DATOS3!$1:$19996,A466,MATCH("Dose_Area_Product_Total", DATOS3!$1:$1,0))=0,0,INDEX( DATOS3!$1:$19996,A466,MATCH("Dose_Area_Product", DATOS3!$1:$1,0)))</f>
        <v>#N/A</v>
      </c>
      <c r="J466" t="e">
        <f>IF(INDEX( DATOS3!$1:$19996,A466,MATCH("Dose_RP_Total", DATOS3!$1:$1,0))=0,0,INDEX( DATOS3!$1:$19996,A466,MATCH("Dose_RP", DATOS3!$1:$1,0)))</f>
        <v>#N/A</v>
      </c>
      <c r="K466" t="e">
        <f>IF(INDEX( DATOS3!$1:$19996,A466,MATCH("Total_Fluoro_Time", DATOS3!$1:$1,0))=0,0,INDEX( DATOS3!$1:$19996,A466,MATCH("Total_Fluoro_Time", DATOS3!$1:$1,0)))</f>
        <v>#N/A</v>
      </c>
    </row>
    <row r="467" spans="1:11" hidden="1" x14ac:dyDescent="0.25">
      <c r="A467">
        <v>467</v>
      </c>
      <c r="B467" t="e">
        <f t="shared" si="14"/>
        <v>#N/A</v>
      </c>
      <c r="C467" t="e">
        <f t="shared" si="15"/>
        <v>#N/A</v>
      </c>
      <c r="D467" t="e">
        <f>IF(INDEX( DATOS3!$1:$19996,A467,MATCH("PatientID", DATOS3!$1:$1,0))=0,"",INDEX( DATOS3!$1:$19996,A467,MATCH("PatientID", DATOS3!$1:$1,0)))</f>
        <v>#N/A</v>
      </c>
      <c r="F467" t="e">
        <f>IF(INDEX( DATOS3!$1:$19996,A467,MATCH("SeriesDate", DATOS3!$1:$1,0))=0,"",INDEX( DATOS3!$1:$19996,A467,MATCH("SeriesDate", DATOS3!$1:$1,0)))</f>
        <v>#N/A</v>
      </c>
      <c r="G467" t="e">
        <f>IF(INDEX( DATOS3!$1:$19996,A467,MATCH("SeriesTime", DATOS3!$1:$1,0))=0,"",INDEX( DATOS3!$1:$19996,A467,MATCH("SeriesTime", DATOS3!$1:$1,0)))</f>
        <v>#N/A</v>
      </c>
      <c r="H467" t="e">
        <f>IF(INDEX( DATOS3!$1:$19996,A467,MATCH("StudyDescription", DATOS3!$1:$1,0))=0,"",INDEX( DATOS3!$1:$19996,A467,MATCH("StudyDescription", DATOS3!$1:$1,0)))</f>
        <v>#N/A</v>
      </c>
      <c r="I467" t="e">
        <f>IF(INDEX( DATOS3!$1:$19996,A467,MATCH("Dose_Area_Product_Total", DATOS3!$1:$1,0))=0,0,INDEX( DATOS3!$1:$19996,A467,MATCH("Dose_Area_Product", DATOS3!$1:$1,0)))</f>
        <v>#N/A</v>
      </c>
      <c r="J467" t="e">
        <f>IF(INDEX( DATOS3!$1:$19996,A467,MATCH("Dose_RP_Total", DATOS3!$1:$1,0))=0,0,INDEX( DATOS3!$1:$19996,A467,MATCH("Dose_RP", DATOS3!$1:$1,0)))</f>
        <v>#N/A</v>
      </c>
      <c r="K467" t="e">
        <f>IF(INDEX( DATOS3!$1:$19996,A467,MATCH("Total_Fluoro_Time", DATOS3!$1:$1,0))=0,0,INDEX( DATOS3!$1:$19996,A467,MATCH("Total_Fluoro_Time", DATOS3!$1:$1,0)))</f>
        <v>#N/A</v>
      </c>
    </row>
    <row r="468" spans="1:11" hidden="1" x14ac:dyDescent="0.25">
      <c r="A468">
        <v>468</v>
      </c>
      <c r="B468" t="e">
        <f t="shared" si="14"/>
        <v>#N/A</v>
      </c>
      <c r="C468" t="e">
        <f t="shared" si="15"/>
        <v>#N/A</v>
      </c>
      <c r="D468" t="e">
        <f>IF(INDEX( DATOS3!$1:$19996,A468,MATCH("PatientID", DATOS3!$1:$1,0))=0,"",INDEX( DATOS3!$1:$19996,A468,MATCH("PatientID", DATOS3!$1:$1,0)))</f>
        <v>#N/A</v>
      </c>
      <c r="F468" t="e">
        <f>IF(INDEX( DATOS3!$1:$19996,A468,MATCH("SeriesDate", DATOS3!$1:$1,0))=0,"",INDEX( DATOS3!$1:$19996,A468,MATCH("SeriesDate", DATOS3!$1:$1,0)))</f>
        <v>#N/A</v>
      </c>
      <c r="G468" t="e">
        <f>IF(INDEX( DATOS3!$1:$19996,A468,MATCH("SeriesTime", DATOS3!$1:$1,0))=0,"",INDEX( DATOS3!$1:$19996,A468,MATCH("SeriesTime", DATOS3!$1:$1,0)))</f>
        <v>#N/A</v>
      </c>
      <c r="H468" t="e">
        <f>IF(INDEX( DATOS3!$1:$19996,A468,MATCH("StudyDescription", DATOS3!$1:$1,0))=0,"",INDEX( DATOS3!$1:$19996,A468,MATCH("StudyDescription", DATOS3!$1:$1,0)))</f>
        <v>#N/A</v>
      </c>
      <c r="I468" t="e">
        <f>IF(INDEX( DATOS3!$1:$19996,A468,MATCH("Dose_Area_Product_Total", DATOS3!$1:$1,0))=0,0,INDEX( DATOS3!$1:$19996,A468,MATCH("Dose_Area_Product", DATOS3!$1:$1,0)))</f>
        <v>#N/A</v>
      </c>
      <c r="J468" t="e">
        <f>IF(INDEX( DATOS3!$1:$19996,A468,MATCH("Dose_RP_Total", DATOS3!$1:$1,0))=0,0,INDEX( DATOS3!$1:$19996,A468,MATCH("Dose_RP", DATOS3!$1:$1,0)))</f>
        <v>#N/A</v>
      </c>
      <c r="K468" t="e">
        <f>IF(INDEX( DATOS3!$1:$19996,A468,MATCH("Total_Fluoro_Time", DATOS3!$1:$1,0))=0,0,INDEX( DATOS3!$1:$19996,A468,MATCH("Total_Fluoro_Time", DATOS3!$1:$1,0)))</f>
        <v>#N/A</v>
      </c>
    </row>
    <row r="469" spans="1:11" hidden="1" x14ac:dyDescent="0.25">
      <c r="A469">
        <v>469</v>
      </c>
      <c r="B469" t="e">
        <f t="shared" si="14"/>
        <v>#N/A</v>
      </c>
      <c r="C469" t="e">
        <f t="shared" si="15"/>
        <v>#N/A</v>
      </c>
      <c r="D469" t="e">
        <f>IF(INDEX( DATOS3!$1:$19996,A469,MATCH("PatientID", DATOS3!$1:$1,0))=0,"",INDEX( DATOS3!$1:$19996,A469,MATCH("PatientID", DATOS3!$1:$1,0)))</f>
        <v>#N/A</v>
      </c>
      <c r="F469" t="e">
        <f>IF(INDEX( DATOS3!$1:$19996,A469,MATCH("SeriesDate", DATOS3!$1:$1,0))=0,"",INDEX( DATOS3!$1:$19996,A469,MATCH("SeriesDate", DATOS3!$1:$1,0)))</f>
        <v>#N/A</v>
      </c>
      <c r="G469" t="e">
        <f>IF(INDEX( DATOS3!$1:$19996,A469,MATCH("SeriesTime", DATOS3!$1:$1,0))=0,"",INDEX( DATOS3!$1:$19996,A469,MATCH("SeriesTime", DATOS3!$1:$1,0)))</f>
        <v>#N/A</v>
      </c>
      <c r="H469" t="e">
        <f>IF(INDEX( DATOS3!$1:$19996,A469,MATCH("StudyDescription", DATOS3!$1:$1,0))=0,"",INDEX( DATOS3!$1:$19996,A469,MATCH("StudyDescription", DATOS3!$1:$1,0)))</f>
        <v>#N/A</v>
      </c>
      <c r="I469" t="e">
        <f>IF(INDEX( DATOS3!$1:$19996,A469,MATCH("Dose_Area_Product_Total", DATOS3!$1:$1,0))=0,0,INDEX( DATOS3!$1:$19996,A469,MATCH("Dose_Area_Product", DATOS3!$1:$1,0)))</f>
        <v>#N/A</v>
      </c>
      <c r="J469" t="e">
        <f>IF(INDEX( DATOS3!$1:$19996,A469,MATCH("Dose_RP_Total", DATOS3!$1:$1,0))=0,0,INDEX( DATOS3!$1:$19996,A469,MATCH("Dose_RP", DATOS3!$1:$1,0)))</f>
        <v>#N/A</v>
      </c>
      <c r="K469" t="e">
        <f>IF(INDEX( DATOS3!$1:$19996,A469,MATCH("Total_Fluoro_Time", DATOS3!$1:$1,0))=0,0,INDEX( DATOS3!$1:$19996,A469,MATCH("Total_Fluoro_Time", DATOS3!$1:$1,0)))</f>
        <v>#N/A</v>
      </c>
    </row>
    <row r="470" spans="1:11" hidden="1" x14ac:dyDescent="0.25">
      <c r="A470">
        <v>470</v>
      </c>
      <c r="B470" t="e">
        <f t="shared" si="14"/>
        <v>#N/A</v>
      </c>
      <c r="C470" t="e">
        <f t="shared" si="15"/>
        <v>#N/A</v>
      </c>
      <c r="D470" t="e">
        <f>IF(INDEX( DATOS3!$1:$19996,A470,MATCH("PatientID", DATOS3!$1:$1,0))=0,"",INDEX( DATOS3!$1:$19996,A470,MATCH("PatientID", DATOS3!$1:$1,0)))</f>
        <v>#N/A</v>
      </c>
      <c r="F470" t="e">
        <f>IF(INDEX( DATOS3!$1:$19996,A470,MATCH("SeriesDate", DATOS3!$1:$1,0))=0,"",INDEX( DATOS3!$1:$19996,A470,MATCH("SeriesDate", DATOS3!$1:$1,0)))</f>
        <v>#N/A</v>
      </c>
      <c r="G470" t="e">
        <f>IF(INDEX( DATOS3!$1:$19996,A470,MATCH("SeriesTime", DATOS3!$1:$1,0))=0,"",INDEX( DATOS3!$1:$19996,A470,MATCH("SeriesTime", DATOS3!$1:$1,0)))</f>
        <v>#N/A</v>
      </c>
      <c r="H470" t="e">
        <f>IF(INDEX( DATOS3!$1:$19996,A470,MATCH("StudyDescription", DATOS3!$1:$1,0))=0,"",INDEX( DATOS3!$1:$19996,A470,MATCH("StudyDescription", DATOS3!$1:$1,0)))</f>
        <v>#N/A</v>
      </c>
      <c r="I470" t="e">
        <f>IF(INDEX( DATOS3!$1:$19996,A470,MATCH("Dose_Area_Product_Total", DATOS3!$1:$1,0))=0,0,INDEX( DATOS3!$1:$19996,A470,MATCH("Dose_Area_Product", DATOS3!$1:$1,0)))</f>
        <v>#N/A</v>
      </c>
      <c r="J470" t="e">
        <f>IF(INDEX( DATOS3!$1:$19996,A470,MATCH("Dose_RP_Total", DATOS3!$1:$1,0))=0,0,INDEX( DATOS3!$1:$19996,A470,MATCH("Dose_RP", DATOS3!$1:$1,0)))</f>
        <v>#N/A</v>
      </c>
      <c r="K470" t="e">
        <f>IF(INDEX( DATOS3!$1:$19996,A470,MATCH("Total_Fluoro_Time", DATOS3!$1:$1,0))=0,0,INDEX( DATOS3!$1:$19996,A470,MATCH("Total_Fluoro_Time", DATOS3!$1:$1,0)))</f>
        <v>#N/A</v>
      </c>
    </row>
    <row r="471" spans="1:11" hidden="1" x14ac:dyDescent="0.25">
      <c r="A471">
        <v>471</v>
      </c>
      <c r="B471" t="e">
        <f t="shared" si="14"/>
        <v>#N/A</v>
      </c>
      <c r="C471" t="e">
        <f t="shared" si="15"/>
        <v>#N/A</v>
      </c>
      <c r="D471" t="e">
        <f>IF(INDEX( DATOS3!$1:$19996,A471,MATCH("PatientID", DATOS3!$1:$1,0))=0,"",INDEX( DATOS3!$1:$19996,A471,MATCH("PatientID", DATOS3!$1:$1,0)))</f>
        <v>#N/A</v>
      </c>
      <c r="F471" t="e">
        <f>IF(INDEX( DATOS3!$1:$19996,A471,MATCH("SeriesDate", DATOS3!$1:$1,0))=0,"",INDEX( DATOS3!$1:$19996,A471,MATCH("SeriesDate", DATOS3!$1:$1,0)))</f>
        <v>#N/A</v>
      </c>
      <c r="G471" t="e">
        <f>IF(INDEX( DATOS3!$1:$19996,A471,MATCH("SeriesTime", DATOS3!$1:$1,0))=0,"",INDEX( DATOS3!$1:$19996,A471,MATCH("SeriesTime", DATOS3!$1:$1,0)))</f>
        <v>#N/A</v>
      </c>
      <c r="H471" t="e">
        <f>IF(INDEX( DATOS3!$1:$19996,A471,MATCH("StudyDescription", DATOS3!$1:$1,0))=0,"",INDEX( DATOS3!$1:$19996,A471,MATCH("StudyDescription", DATOS3!$1:$1,0)))</f>
        <v>#N/A</v>
      </c>
      <c r="I471" t="e">
        <f>IF(INDEX( DATOS3!$1:$19996,A471,MATCH("Dose_Area_Product_Total", DATOS3!$1:$1,0))=0,0,INDEX( DATOS3!$1:$19996,A471,MATCH("Dose_Area_Product", DATOS3!$1:$1,0)))</f>
        <v>#N/A</v>
      </c>
      <c r="J471" t="e">
        <f>IF(INDEX( DATOS3!$1:$19996,A471,MATCH("Dose_RP_Total", DATOS3!$1:$1,0))=0,0,INDEX( DATOS3!$1:$19996,A471,MATCH("Dose_RP", DATOS3!$1:$1,0)))</f>
        <v>#N/A</v>
      </c>
      <c r="K471" t="e">
        <f>IF(INDEX( DATOS3!$1:$19996,A471,MATCH("Total_Fluoro_Time", DATOS3!$1:$1,0))=0,0,INDEX( DATOS3!$1:$19996,A471,MATCH("Total_Fluoro_Time", DATOS3!$1:$1,0)))</f>
        <v>#N/A</v>
      </c>
    </row>
    <row r="472" spans="1:11" hidden="1" x14ac:dyDescent="0.25">
      <c r="A472">
        <v>472</v>
      </c>
      <c r="B472" t="e">
        <f t="shared" si="14"/>
        <v>#N/A</v>
      </c>
      <c r="C472" t="e">
        <f t="shared" si="15"/>
        <v>#N/A</v>
      </c>
      <c r="D472" t="e">
        <f>IF(INDEX( DATOS3!$1:$19996,A472,MATCH("PatientID", DATOS3!$1:$1,0))=0,"",INDEX( DATOS3!$1:$19996,A472,MATCH("PatientID", DATOS3!$1:$1,0)))</f>
        <v>#N/A</v>
      </c>
      <c r="F472" t="e">
        <f>IF(INDEX( DATOS3!$1:$19996,A472,MATCH("SeriesDate", DATOS3!$1:$1,0))=0,"",INDEX( DATOS3!$1:$19996,A472,MATCH("SeriesDate", DATOS3!$1:$1,0)))</f>
        <v>#N/A</v>
      </c>
      <c r="G472" t="e">
        <f>IF(INDEX( DATOS3!$1:$19996,A472,MATCH("SeriesTime", DATOS3!$1:$1,0))=0,"",INDEX( DATOS3!$1:$19996,A472,MATCH("SeriesTime", DATOS3!$1:$1,0)))</f>
        <v>#N/A</v>
      </c>
      <c r="H472" t="e">
        <f>IF(INDEX( DATOS3!$1:$19996,A472,MATCH("StudyDescription", DATOS3!$1:$1,0))=0,"",INDEX( DATOS3!$1:$19996,A472,MATCH("StudyDescription", DATOS3!$1:$1,0)))</f>
        <v>#N/A</v>
      </c>
      <c r="I472" t="e">
        <f>IF(INDEX( DATOS3!$1:$19996,A472,MATCH("Dose_Area_Product_Total", DATOS3!$1:$1,0))=0,0,INDEX( DATOS3!$1:$19996,A472,MATCH("Dose_Area_Product", DATOS3!$1:$1,0)))</f>
        <v>#N/A</v>
      </c>
      <c r="J472" t="e">
        <f>IF(INDEX( DATOS3!$1:$19996,A472,MATCH("Dose_RP_Total", DATOS3!$1:$1,0))=0,0,INDEX( DATOS3!$1:$19996,A472,MATCH("Dose_RP", DATOS3!$1:$1,0)))</f>
        <v>#N/A</v>
      </c>
      <c r="K472" t="e">
        <f>IF(INDEX( DATOS3!$1:$19996,A472,MATCH("Total_Fluoro_Time", DATOS3!$1:$1,0))=0,0,INDEX( DATOS3!$1:$19996,A472,MATCH("Total_Fluoro_Time", DATOS3!$1:$1,0)))</f>
        <v>#N/A</v>
      </c>
    </row>
    <row r="473" spans="1:11" hidden="1" x14ac:dyDescent="0.25">
      <c r="A473">
        <v>473</v>
      </c>
      <c r="B473" t="e">
        <f t="shared" si="14"/>
        <v>#N/A</v>
      </c>
      <c r="C473" t="e">
        <f t="shared" si="15"/>
        <v>#N/A</v>
      </c>
      <c r="D473" t="e">
        <f>IF(INDEX( DATOS3!$1:$19996,A473,MATCH("PatientID", DATOS3!$1:$1,0))=0,"",INDEX( DATOS3!$1:$19996,A473,MATCH("PatientID", DATOS3!$1:$1,0)))</f>
        <v>#N/A</v>
      </c>
      <c r="F473" t="e">
        <f>IF(INDEX( DATOS3!$1:$19996,A473,MATCH("SeriesDate", DATOS3!$1:$1,0))=0,"",INDEX( DATOS3!$1:$19996,A473,MATCH("SeriesDate", DATOS3!$1:$1,0)))</f>
        <v>#N/A</v>
      </c>
      <c r="G473" t="e">
        <f>IF(INDEX( DATOS3!$1:$19996,A473,MATCH("SeriesTime", DATOS3!$1:$1,0))=0,"",INDEX( DATOS3!$1:$19996,A473,MATCH("SeriesTime", DATOS3!$1:$1,0)))</f>
        <v>#N/A</v>
      </c>
      <c r="H473" t="e">
        <f>IF(INDEX( DATOS3!$1:$19996,A473,MATCH("StudyDescription", DATOS3!$1:$1,0))=0,"",INDEX( DATOS3!$1:$19996,A473,MATCH("StudyDescription", DATOS3!$1:$1,0)))</f>
        <v>#N/A</v>
      </c>
      <c r="I473" t="e">
        <f>IF(INDEX( DATOS3!$1:$19996,A473,MATCH("Dose_Area_Product_Total", DATOS3!$1:$1,0))=0,0,INDEX( DATOS3!$1:$19996,A473,MATCH("Dose_Area_Product", DATOS3!$1:$1,0)))</f>
        <v>#N/A</v>
      </c>
      <c r="J473" t="e">
        <f>IF(INDEX( DATOS3!$1:$19996,A473,MATCH("Dose_RP_Total", DATOS3!$1:$1,0))=0,0,INDEX( DATOS3!$1:$19996,A473,MATCH("Dose_RP", DATOS3!$1:$1,0)))</f>
        <v>#N/A</v>
      </c>
      <c r="K473" t="e">
        <f>IF(INDEX( DATOS3!$1:$19996,A473,MATCH("Total_Fluoro_Time", DATOS3!$1:$1,0))=0,0,INDEX( DATOS3!$1:$19996,A473,MATCH("Total_Fluoro_Time", DATOS3!$1:$1,0)))</f>
        <v>#N/A</v>
      </c>
    </row>
    <row r="474" spans="1:11" hidden="1" x14ac:dyDescent="0.25">
      <c r="A474">
        <v>474</v>
      </c>
      <c r="B474" t="e">
        <f t="shared" si="14"/>
        <v>#N/A</v>
      </c>
      <c r="C474" t="e">
        <f t="shared" si="15"/>
        <v>#N/A</v>
      </c>
      <c r="D474" t="e">
        <f>IF(INDEX( DATOS3!$1:$19996,A474,MATCH("PatientID", DATOS3!$1:$1,0))=0,"",INDEX( DATOS3!$1:$19996,A474,MATCH("PatientID", DATOS3!$1:$1,0)))</f>
        <v>#N/A</v>
      </c>
      <c r="F474" t="e">
        <f>IF(INDEX( DATOS3!$1:$19996,A474,MATCH("SeriesDate", DATOS3!$1:$1,0))=0,"",INDEX( DATOS3!$1:$19996,A474,MATCH("SeriesDate", DATOS3!$1:$1,0)))</f>
        <v>#N/A</v>
      </c>
      <c r="G474" t="e">
        <f>IF(INDEX( DATOS3!$1:$19996,A474,MATCH("SeriesTime", DATOS3!$1:$1,0))=0,"",INDEX( DATOS3!$1:$19996,A474,MATCH("SeriesTime", DATOS3!$1:$1,0)))</f>
        <v>#N/A</v>
      </c>
      <c r="H474" t="e">
        <f>IF(INDEX( DATOS3!$1:$19996,A474,MATCH("StudyDescription", DATOS3!$1:$1,0))=0,"",INDEX( DATOS3!$1:$19996,A474,MATCH("StudyDescription", DATOS3!$1:$1,0)))</f>
        <v>#N/A</v>
      </c>
      <c r="I474" t="e">
        <f>IF(INDEX( DATOS3!$1:$19996,A474,MATCH("Dose_Area_Product_Total", DATOS3!$1:$1,0))=0,0,INDEX( DATOS3!$1:$19996,A474,MATCH("Dose_Area_Product", DATOS3!$1:$1,0)))</f>
        <v>#N/A</v>
      </c>
      <c r="J474" t="e">
        <f>IF(INDEX( DATOS3!$1:$19996,A474,MATCH("Dose_RP_Total", DATOS3!$1:$1,0))=0,0,INDEX( DATOS3!$1:$19996,A474,MATCH("Dose_RP", DATOS3!$1:$1,0)))</f>
        <v>#N/A</v>
      </c>
      <c r="K474" t="e">
        <f>IF(INDEX( DATOS3!$1:$19996,A474,MATCH("Total_Fluoro_Time", DATOS3!$1:$1,0))=0,0,INDEX( DATOS3!$1:$19996,A474,MATCH("Total_Fluoro_Time", DATOS3!$1:$1,0)))</f>
        <v>#N/A</v>
      </c>
    </row>
    <row r="475" spans="1:11" hidden="1" x14ac:dyDescent="0.25">
      <c r="A475">
        <v>475</v>
      </c>
      <c r="B475" t="e">
        <f t="shared" si="14"/>
        <v>#N/A</v>
      </c>
      <c r="C475" t="e">
        <f t="shared" si="15"/>
        <v>#N/A</v>
      </c>
      <c r="D475" t="e">
        <f>IF(INDEX( DATOS3!$1:$19996,A475,MATCH("PatientID", DATOS3!$1:$1,0))=0,"",INDEX( DATOS3!$1:$19996,A475,MATCH("PatientID", DATOS3!$1:$1,0)))</f>
        <v>#N/A</v>
      </c>
      <c r="F475" t="e">
        <f>IF(INDEX( DATOS3!$1:$19996,A475,MATCH("SeriesDate", DATOS3!$1:$1,0))=0,"",INDEX( DATOS3!$1:$19996,A475,MATCH("SeriesDate", DATOS3!$1:$1,0)))</f>
        <v>#N/A</v>
      </c>
      <c r="G475" t="e">
        <f>IF(INDEX( DATOS3!$1:$19996,A475,MATCH("SeriesTime", DATOS3!$1:$1,0))=0,"",INDEX( DATOS3!$1:$19996,A475,MATCH("SeriesTime", DATOS3!$1:$1,0)))</f>
        <v>#N/A</v>
      </c>
      <c r="H475" t="e">
        <f>IF(INDEX( DATOS3!$1:$19996,A475,MATCH("StudyDescription", DATOS3!$1:$1,0))=0,"",INDEX( DATOS3!$1:$19996,A475,MATCH("StudyDescription", DATOS3!$1:$1,0)))</f>
        <v>#N/A</v>
      </c>
      <c r="I475" t="e">
        <f>IF(INDEX( DATOS3!$1:$19996,A475,MATCH("Dose_Area_Product_Total", DATOS3!$1:$1,0))=0,0,INDEX( DATOS3!$1:$19996,A475,MATCH("Dose_Area_Product", DATOS3!$1:$1,0)))</f>
        <v>#N/A</v>
      </c>
      <c r="J475" t="e">
        <f>IF(INDEX( DATOS3!$1:$19996,A475,MATCH("Dose_RP_Total", DATOS3!$1:$1,0))=0,0,INDEX( DATOS3!$1:$19996,A475,MATCH("Dose_RP", DATOS3!$1:$1,0)))</f>
        <v>#N/A</v>
      </c>
      <c r="K475" t="e">
        <f>IF(INDEX( DATOS3!$1:$19996,A475,MATCH("Total_Fluoro_Time", DATOS3!$1:$1,0))=0,0,INDEX( DATOS3!$1:$19996,A475,MATCH("Total_Fluoro_Time", DATOS3!$1:$1,0)))</f>
        <v>#N/A</v>
      </c>
    </row>
    <row r="476" spans="1:11" hidden="1" x14ac:dyDescent="0.25">
      <c r="A476">
        <v>476</v>
      </c>
      <c r="B476" t="e">
        <f t="shared" si="14"/>
        <v>#N/A</v>
      </c>
      <c r="C476" t="e">
        <f t="shared" si="15"/>
        <v>#N/A</v>
      </c>
      <c r="D476" t="e">
        <f>IF(INDEX( DATOS3!$1:$19996,A476,MATCH("PatientID", DATOS3!$1:$1,0))=0,"",INDEX( DATOS3!$1:$19996,A476,MATCH("PatientID", DATOS3!$1:$1,0)))</f>
        <v>#N/A</v>
      </c>
      <c r="F476" t="e">
        <f>IF(INDEX( DATOS3!$1:$19996,A476,MATCH("SeriesDate", DATOS3!$1:$1,0))=0,"",INDEX( DATOS3!$1:$19996,A476,MATCH("SeriesDate", DATOS3!$1:$1,0)))</f>
        <v>#N/A</v>
      </c>
      <c r="G476" t="e">
        <f>IF(INDEX( DATOS3!$1:$19996,A476,MATCH("SeriesTime", DATOS3!$1:$1,0))=0,"",INDEX( DATOS3!$1:$19996,A476,MATCH("SeriesTime", DATOS3!$1:$1,0)))</f>
        <v>#N/A</v>
      </c>
      <c r="H476" t="e">
        <f>IF(INDEX( DATOS3!$1:$19996,A476,MATCH("StudyDescription", DATOS3!$1:$1,0))=0,"",INDEX( DATOS3!$1:$19996,A476,MATCH("StudyDescription", DATOS3!$1:$1,0)))</f>
        <v>#N/A</v>
      </c>
      <c r="I476" t="e">
        <f>IF(INDEX( DATOS3!$1:$19996,A476,MATCH("Dose_Area_Product_Total", DATOS3!$1:$1,0))=0,0,INDEX( DATOS3!$1:$19996,A476,MATCH("Dose_Area_Product", DATOS3!$1:$1,0)))</f>
        <v>#N/A</v>
      </c>
      <c r="J476" t="e">
        <f>IF(INDEX( DATOS3!$1:$19996,A476,MATCH("Dose_RP_Total", DATOS3!$1:$1,0))=0,0,INDEX( DATOS3!$1:$19996,A476,MATCH("Dose_RP", DATOS3!$1:$1,0)))</f>
        <v>#N/A</v>
      </c>
      <c r="K476" t="e">
        <f>IF(INDEX( DATOS3!$1:$19996,A476,MATCH("Total_Fluoro_Time", DATOS3!$1:$1,0))=0,0,INDEX( DATOS3!$1:$19996,A476,MATCH("Total_Fluoro_Time", DATOS3!$1:$1,0)))</f>
        <v>#N/A</v>
      </c>
    </row>
    <row r="477" spans="1:11" hidden="1" x14ac:dyDescent="0.25">
      <c r="A477">
        <v>477</v>
      </c>
      <c r="B477" t="e">
        <f t="shared" si="14"/>
        <v>#N/A</v>
      </c>
      <c r="C477" t="e">
        <f t="shared" si="15"/>
        <v>#N/A</v>
      </c>
      <c r="D477" t="e">
        <f>IF(INDEX( DATOS3!$1:$19996,A477,MATCH("PatientID", DATOS3!$1:$1,0))=0,"",INDEX( DATOS3!$1:$19996,A477,MATCH("PatientID", DATOS3!$1:$1,0)))</f>
        <v>#N/A</v>
      </c>
      <c r="F477" t="e">
        <f>IF(INDEX( DATOS3!$1:$19996,A477,MATCH("SeriesDate", DATOS3!$1:$1,0))=0,"",INDEX( DATOS3!$1:$19996,A477,MATCH("SeriesDate", DATOS3!$1:$1,0)))</f>
        <v>#N/A</v>
      </c>
      <c r="G477" t="e">
        <f>IF(INDEX( DATOS3!$1:$19996,A477,MATCH("SeriesTime", DATOS3!$1:$1,0))=0,"",INDEX( DATOS3!$1:$19996,A477,MATCH("SeriesTime", DATOS3!$1:$1,0)))</f>
        <v>#N/A</v>
      </c>
      <c r="H477" t="e">
        <f>IF(INDEX( DATOS3!$1:$19996,A477,MATCH("StudyDescription", DATOS3!$1:$1,0))=0,"",INDEX( DATOS3!$1:$19996,A477,MATCH("StudyDescription", DATOS3!$1:$1,0)))</f>
        <v>#N/A</v>
      </c>
      <c r="I477" t="e">
        <f>IF(INDEX( DATOS3!$1:$19996,A477,MATCH("Dose_Area_Product_Total", DATOS3!$1:$1,0))=0,0,INDEX( DATOS3!$1:$19996,A477,MATCH("Dose_Area_Product", DATOS3!$1:$1,0)))</f>
        <v>#N/A</v>
      </c>
      <c r="J477" t="e">
        <f>IF(INDEX( DATOS3!$1:$19996,A477,MATCH("Dose_RP_Total", DATOS3!$1:$1,0))=0,0,INDEX( DATOS3!$1:$19996,A477,MATCH("Dose_RP", DATOS3!$1:$1,0)))</f>
        <v>#N/A</v>
      </c>
      <c r="K477" t="e">
        <f>IF(INDEX( DATOS3!$1:$19996,A477,MATCH("Total_Fluoro_Time", DATOS3!$1:$1,0))=0,0,INDEX( DATOS3!$1:$19996,A477,MATCH("Total_Fluoro_Time", DATOS3!$1:$1,0)))</f>
        <v>#N/A</v>
      </c>
    </row>
    <row r="478" spans="1:11" hidden="1" x14ac:dyDescent="0.25">
      <c r="A478">
        <v>478</v>
      </c>
      <c r="B478" t="e">
        <f t="shared" si="14"/>
        <v>#N/A</v>
      </c>
      <c r="C478" t="e">
        <f t="shared" si="15"/>
        <v>#N/A</v>
      </c>
      <c r="D478" t="e">
        <f>IF(INDEX( DATOS3!$1:$19996,A478,MATCH("PatientID", DATOS3!$1:$1,0))=0,"",INDEX( DATOS3!$1:$19996,A478,MATCH("PatientID", DATOS3!$1:$1,0)))</f>
        <v>#N/A</v>
      </c>
      <c r="F478" t="e">
        <f>IF(INDEX( DATOS3!$1:$19996,A478,MATCH("SeriesDate", DATOS3!$1:$1,0))=0,"",INDEX( DATOS3!$1:$19996,A478,MATCH("SeriesDate", DATOS3!$1:$1,0)))</f>
        <v>#N/A</v>
      </c>
      <c r="G478" t="e">
        <f>IF(INDEX( DATOS3!$1:$19996,A478,MATCH("SeriesTime", DATOS3!$1:$1,0))=0,"",INDEX( DATOS3!$1:$19996,A478,MATCH("SeriesTime", DATOS3!$1:$1,0)))</f>
        <v>#N/A</v>
      </c>
      <c r="H478" t="e">
        <f>IF(INDEX( DATOS3!$1:$19996,A478,MATCH("StudyDescription", DATOS3!$1:$1,0))=0,"",INDEX( DATOS3!$1:$19996,A478,MATCH("StudyDescription", DATOS3!$1:$1,0)))</f>
        <v>#N/A</v>
      </c>
      <c r="I478" t="e">
        <f>IF(INDEX( DATOS3!$1:$19996,A478,MATCH("Dose_Area_Product_Total", DATOS3!$1:$1,0))=0,0,INDEX( DATOS3!$1:$19996,A478,MATCH("Dose_Area_Product", DATOS3!$1:$1,0)))</f>
        <v>#N/A</v>
      </c>
      <c r="J478" t="e">
        <f>IF(INDEX( DATOS3!$1:$19996,A478,MATCH("Dose_RP_Total", DATOS3!$1:$1,0))=0,0,INDEX( DATOS3!$1:$19996,A478,MATCH("Dose_RP", DATOS3!$1:$1,0)))</f>
        <v>#N/A</v>
      </c>
      <c r="K478" t="e">
        <f>IF(INDEX( DATOS3!$1:$19996,A478,MATCH("Total_Fluoro_Time", DATOS3!$1:$1,0))=0,0,INDEX( DATOS3!$1:$19996,A478,MATCH("Total_Fluoro_Time", DATOS3!$1:$1,0)))</f>
        <v>#N/A</v>
      </c>
    </row>
    <row r="479" spans="1:11" hidden="1" x14ac:dyDescent="0.25">
      <c r="A479">
        <v>479</v>
      </c>
      <c r="B479" t="e">
        <f t="shared" si="14"/>
        <v>#N/A</v>
      </c>
      <c r="C479" t="e">
        <f t="shared" si="15"/>
        <v>#N/A</v>
      </c>
      <c r="D479" t="e">
        <f>IF(INDEX( DATOS3!$1:$19996,A479,MATCH("PatientID", DATOS3!$1:$1,0))=0,"",INDEX( DATOS3!$1:$19996,A479,MATCH("PatientID", DATOS3!$1:$1,0)))</f>
        <v>#N/A</v>
      </c>
      <c r="F479" t="e">
        <f>IF(INDEX( DATOS3!$1:$19996,A479,MATCH("SeriesDate", DATOS3!$1:$1,0))=0,"",INDEX( DATOS3!$1:$19996,A479,MATCH("SeriesDate", DATOS3!$1:$1,0)))</f>
        <v>#N/A</v>
      </c>
      <c r="G479" t="e">
        <f>IF(INDEX( DATOS3!$1:$19996,A479,MATCH("SeriesTime", DATOS3!$1:$1,0))=0,"",INDEX( DATOS3!$1:$19996,A479,MATCH("SeriesTime", DATOS3!$1:$1,0)))</f>
        <v>#N/A</v>
      </c>
      <c r="H479" t="e">
        <f>IF(INDEX( DATOS3!$1:$19996,A479,MATCH("StudyDescription", DATOS3!$1:$1,0))=0,"",INDEX( DATOS3!$1:$19996,A479,MATCH("StudyDescription", DATOS3!$1:$1,0)))</f>
        <v>#N/A</v>
      </c>
      <c r="I479" t="e">
        <f>IF(INDEX( DATOS3!$1:$19996,A479,MATCH("Dose_Area_Product_Total", DATOS3!$1:$1,0))=0,0,INDEX( DATOS3!$1:$19996,A479,MATCH("Dose_Area_Product", DATOS3!$1:$1,0)))</f>
        <v>#N/A</v>
      </c>
      <c r="J479" t="e">
        <f>IF(INDEX( DATOS3!$1:$19996,A479,MATCH("Dose_RP_Total", DATOS3!$1:$1,0))=0,0,INDEX( DATOS3!$1:$19996,A479,MATCH("Dose_RP", DATOS3!$1:$1,0)))</f>
        <v>#N/A</v>
      </c>
      <c r="K479" t="e">
        <f>IF(INDEX( DATOS3!$1:$19996,A479,MATCH("Total_Fluoro_Time", DATOS3!$1:$1,0))=0,0,INDEX( DATOS3!$1:$19996,A479,MATCH("Total_Fluoro_Time", DATOS3!$1:$1,0)))</f>
        <v>#N/A</v>
      </c>
    </row>
    <row r="480" spans="1:11" hidden="1" x14ac:dyDescent="0.25">
      <c r="A480">
        <v>480</v>
      </c>
      <c r="B480" t="e">
        <f t="shared" si="14"/>
        <v>#N/A</v>
      </c>
      <c r="C480" t="e">
        <f t="shared" si="15"/>
        <v>#N/A</v>
      </c>
      <c r="D480" t="e">
        <f>IF(INDEX( DATOS3!$1:$19996,A480,MATCH("PatientID", DATOS3!$1:$1,0))=0,"",INDEX( DATOS3!$1:$19996,A480,MATCH("PatientID", DATOS3!$1:$1,0)))</f>
        <v>#N/A</v>
      </c>
      <c r="F480" t="e">
        <f>IF(INDEX( DATOS3!$1:$19996,A480,MATCH("SeriesDate", DATOS3!$1:$1,0))=0,"",INDEX( DATOS3!$1:$19996,A480,MATCH("SeriesDate", DATOS3!$1:$1,0)))</f>
        <v>#N/A</v>
      </c>
      <c r="G480" t="e">
        <f>IF(INDEX( DATOS3!$1:$19996,A480,MATCH("SeriesTime", DATOS3!$1:$1,0))=0,"",INDEX( DATOS3!$1:$19996,A480,MATCH("SeriesTime", DATOS3!$1:$1,0)))</f>
        <v>#N/A</v>
      </c>
      <c r="H480" t="e">
        <f>IF(INDEX( DATOS3!$1:$19996,A480,MATCH("StudyDescription", DATOS3!$1:$1,0))=0,"",INDEX( DATOS3!$1:$19996,A480,MATCH("StudyDescription", DATOS3!$1:$1,0)))</f>
        <v>#N/A</v>
      </c>
      <c r="I480" t="e">
        <f>IF(INDEX( DATOS3!$1:$19996,A480,MATCH("Dose_Area_Product_Total", DATOS3!$1:$1,0))=0,0,INDEX( DATOS3!$1:$19996,A480,MATCH("Dose_Area_Product", DATOS3!$1:$1,0)))</f>
        <v>#N/A</v>
      </c>
      <c r="J480" t="e">
        <f>IF(INDEX( DATOS3!$1:$19996,A480,MATCH("Dose_RP_Total", DATOS3!$1:$1,0))=0,0,INDEX( DATOS3!$1:$19996,A480,MATCH("Dose_RP", DATOS3!$1:$1,0)))</f>
        <v>#N/A</v>
      </c>
      <c r="K480" t="e">
        <f>IF(INDEX( DATOS3!$1:$19996,A480,MATCH("Total_Fluoro_Time", DATOS3!$1:$1,0))=0,0,INDEX( DATOS3!$1:$19996,A480,MATCH("Total_Fluoro_Time", DATOS3!$1:$1,0)))</f>
        <v>#N/A</v>
      </c>
    </row>
    <row r="481" spans="1:11" hidden="1" x14ac:dyDescent="0.25">
      <c r="A481">
        <v>481</v>
      </c>
      <c r="B481" t="e">
        <f t="shared" si="14"/>
        <v>#N/A</v>
      </c>
      <c r="C481" t="e">
        <f t="shared" si="15"/>
        <v>#N/A</v>
      </c>
      <c r="D481" t="e">
        <f>IF(INDEX( DATOS3!$1:$19996,A481,MATCH("PatientID", DATOS3!$1:$1,0))=0,"",INDEX( DATOS3!$1:$19996,A481,MATCH("PatientID", DATOS3!$1:$1,0)))</f>
        <v>#N/A</v>
      </c>
      <c r="F481" t="e">
        <f>IF(INDEX( DATOS3!$1:$19996,A481,MATCH("SeriesDate", DATOS3!$1:$1,0))=0,"",INDEX( DATOS3!$1:$19996,A481,MATCH("SeriesDate", DATOS3!$1:$1,0)))</f>
        <v>#N/A</v>
      </c>
      <c r="G481" t="e">
        <f>IF(INDEX( DATOS3!$1:$19996,A481,MATCH("SeriesTime", DATOS3!$1:$1,0))=0,"",INDEX( DATOS3!$1:$19996,A481,MATCH("SeriesTime", DATOS3!$1:$1,0)))</f>
        <v>#N/A</v>
      </c>
      <c r="H481" t="e">
        <f>IF(INDEX( DATOS3!$1:$19996,A481,MATCH("StudyDescription", DATOS3!$1:$1,0))=0,"",INDEX( DATOS3!$1:$19996,A481,MATCH("StudyDescription", DATOS3!$1:$1,0)))</f>
        <v>#N/A</v>
      </c>
      <c r="I481" t="e">
        <f>IF(INDEX( DATOS3!$1:$19996,A481,MATCH("Dose_Area_Product_Total", DATOS3!$1:$1,0))=0,0,INDEX( DATOS3!$1:$19996,A481,MATCH("Dose_Area_Product", DATOS3!$1:$1,0)))</f>
        <v>#N/A</v>
      </c>
      <c r="J481" t="e">
        <f>IF(INDEX( DATOS3!$1:$19996,A481,MATCH("Dose_RP_Total", DATOS3!$1:$1,0))=0,0,INDEX( DATOS3!$1:$19996,A481,MATCH("Dose_RP", DATOS3!$1:$1,0)))</f>
        <v>#N/A</v>
      </c>
      <c r="K481" t="e">
        <f>IF(INDEX( DATOS3!$1:$19996,A481,MATCH("Total_Fluoro_Time", DATOS3!$1:$1,0))=0,0,INDEX( DATOS3!$1:$19996,A481,MATCH("Total_Fluoro_Time", DATOS3!$1:$1,0)))</f>
        <v>#N/A</v>
      </c>
    </row>
    <row r="482" spans="1:11" hidden="1" x14ac:dyDescent="0.25">
      <c r="A482">
        <v>482</v>
      </c>
      <c r="B482" t="e">
        <f t="shared" si="14"/>
        <v>#N/A</v>
      </c>
      <c r="C482" t="e">
        <f t="shared" si="15"/>
        <v>#N/A</v>
      </c>
      <c r="D482" t="e">
        <f>IF(INDEX( DATOS3!$1:$19996,A482,MATCH("PatientID", DATOS3!$1:$1,0))=0,"",INDEX( DATOS3!$1:$19996,A482,MATCH("PatientID", DATOS3!$1:$1,0)))</f>
        <v>#N/A</v>
      </c>
      <c r="F482" t="e">
        <f>IF(INDEX( DATOS3!$1:$19996,A482,MATCH("SeriesDate", DATOS3!$1:$1,0))=0,"",INDEX( DATOS3!$1:$19996,A482,MATCH("SeriesDate", DATOS3!$1:$1,0)))</f>
        <v>#N/A</v>
      </c>
      <c r="G482" t="e">
        <f>IF(INDEX( DATOS3!$1:$19996,A482,MATCH("SeriesTime", DATOS3!$1:$1,0))=0,"",INDEX( DATOS3!$1:$19996,A482,MATCH("SeriesTime", DATOS3!$1:$1,0)))</f>
        <v>#N/A</v>
      </c>
      <c r="H482" t="e">
        <f>IF(INDEX( DATOS3!$1:$19996,A482,MATCH("StudyDescription", DATOS3!$1:$1,0))=0,"",INDEX( DATOS3!$1:$19996,A482,MATCH("StudyDescription", DATOS3!$1:$1,0)))</f>
        <v>#N/A</v>
      </c>
      <c r="I482" t="e">
        <f>IF(INDEX( DATOS3!$1:$19996,A482,MATCH("Dose_Area_Product_Total", DATOS3!$1:$1,0))=0,0,INDEX( DATOS3!$1:$19996,A482,MATCH("Dose_Area_Product", DATOS3!$1:$1,0)))</f>
        <v>#N/A</v>
      </c>
      <c r="J482" t="e">
        <f>IF(INDEX( DATOS3!$1:$19996,A482,MATCH("Dose_RP_Total", DATOS3!$1:$1,0))=0,0,INDEX( DATOS3!$1:$19996,A482,MATCH("Dose_RP", DATOS3!$1:$1,0)))</f>
        <v>#N/A</v>
      </c>
      <c r="K482" t="e">
        <f>IF(INDEX( DATOS3!$1:$19996,A482,MATCH("Total_Fluoro_Time", DATOS3!$1:$1,0))=0,0,INDEX( DATOS3!$1:$19996,A482,MATCH("Total_Fluoro_Time", DATOS3!$1:$1,0)))</f>
        <v>#N/A</v>
      </c>
    </row>
    <row r="483" spans="1:11" hidden="1" x14ac:dyDescent="0.25">
      <c r="A483">
        <v>483</v>
      </c>
      <c r="B483" t="e">
        <f t="shared" si="14"/>
        <v>#N/A</v>
      </c>
      <c r="C483" t="e">
        <f t="shared" si="15"/>
        <v>#N/A</v>
      </c>
      <c r="D483" t="e">
        <f>IF(INDEX( DATOS3!$1:$19996,A483,MATCH("PatientID", DATOS3!$1:$1,0))=0,"",INDEX( DATOS3!$1:$19996,A483,MATCH("PatientID", DATOS3!$1:$1,0)))</f>
        <v>#N/A</v>
      </c>
      <c r="F483" t="e">
        <f>IF(INDEX( DATOS3!$1:$19996,A483,MATCH("SeriesDate", DATOS3!$1:$1,0))=0,"",INDEX( DATOS3!$1:$19996,A483,MATCH("SeriesDate", DATOS3!$1:$1,0)))</f>
        <v>#N/A</v>
      </c>
      <c r="G483" t="e">
        <f>IF(INDEX( DATOS3!$1:$19996,A483,MATCH("SeriesTime", DATOS3!$1:$1,0))=0,"",INDEX( DATOS3!$1:$19996,A483,MATCH("SeriesTime", DATOS3!$1:$1,0)))</f>
        <v>#N/A</v>
      </c>
      <c r="H483" t="e">
        <f>IF(INDEX( DATOS3!$1:$19996,A483,MATCH("StudyDescription", DATOS3!$1:$1,0))=0,"",INDEX( DATOS3!$1:$19996,A483,MATCH("StudyDescription", DATOS3!$1:$1,0)))</f>
        <v>#N/A</v>
      </c>
      <c r="I483" t="e">
        <f>IF(INDEX( DATOS3!$1:$19996,A483,MATCH("Dose_Area_Product_Total", DATOS3!$1:$1,0))=0,0,INDEX( DATOS3!$1:$19996,A483,MATCH("Dose_Area_Product", DATOS3!$1:$1,0)))</f>
        <v>#N/A</v>
      </c>
      <c r="J483" t="e">
        <f>IF(INDEX( DATOS3!$1:$19996,A483,MATCH("Dose_RP_Total", DATOS3!$1:$1,0))=0,0,INDEX( DATOS3!$1:$19996,A483,MATCH("Dose_RP", DATOS3!$1:$1,0)))</f>
        <v>#N/A</v>
      </c>
      <c r="K483" t="e">
        <f>IF(INDEX( DATOS3!$1:$19996,A483,MATCH("Total_Fluoro_Time", DATOS3!$1:$1,0))=0,0,INDEX( DATOS3!$1:$19996,A483,MATCH("Total_Fluoro_Time", DATOS3!$1:$1,0)))</f>
        <v>#N/A</v>
      </c>
    </row>
    <row r="484" spans="1:11" hidden="1" x14ac:dyDescent="0.25">
      <c r="A484">
        <v>484</v>
      </c>
      <c r="B484" t="e">
        <f t="shared" si="14"/>
        <v>#N/A</v>
      </c>
      <c r="C484" t="e">
        <f t="shared" si="15"/>
        <v>#N/A</v>
      </c>
      <c r="D484" t="e">
        <f>IF(INDEX( DATOS3!$1:$19996,A484,MATCH("PatientID", DATOS3!$1:$1,0))=0,"",INDEX( DATOS3!$1:$19996,A484,MATCH("PatientID", DATOS3!$1:$1,0)))</f>
        <v>#N/A</v>
      </c>
      <c r="F484" t="e">
        <f>IF(INDEX( DATOS3!$1:$19996,A484,MATCH("SeriesDate", DATOS3!$1:$1,0))=0,"",INDEX( DATOS3!$1:$19996,A484,MATCH("SeriesDate", DATOS3!$1:$1,0)))</f>
        <v>#N/A</v>
      </c>
      <c r="G484" t="e">
        <f>IF(INDEX( DATOS3!$1:$19996,A484,MATCH("SeriesTime", DATOS3!$1:$1,0))=0,"",INDEX( DATOS3!$1:$19996,A484,MATCH("SeriesTime", DATOS3!$1:$1,0)))</f>
        <v>#N/A</v>
      </c>
      <c r="H484" t="e">
        <f>IF(INDEX( DATOS3!$1:$19996,A484,MATCH("StudyDescription", DATOS3!$1:$1,0))=0,"",INDEX( DATOS3!$1:$19996,A484,MATCH("StudyDescription", DATOS3!$1:$1,0)))</f>
        <v>#N/A</v>
      </c>
      <c r="I484" t="e">
        <f>IF(INDEX( DATOS3!$1:$19996,A484,MATCH("Dose_Area_Product_Total", DATOS3!$1:$1,0))=0,0,INDEX( DATOS3!$1:$19996,A484,MATCH("Dose_Area_Product", DATOS3!$1:$1,0)))</f>
        <v>#N/A</v>
      </c>
      <c r="J484" t="e">
        <f>IF(INDEX( DATOS3!$1:$19996,A484,MATCH("Dose_RP_Total", DATOS3!$1:$1,0))=0,0,INDEX( DATOS3!$1:$19996,A484,MATCH("Dose_RP", DATOS3!$1:$1,0)))</f>
        <v>#N/A</v>
      </c>
      <c r="K484" t="e">
        <f>IF(INDEX( DATOS3!$1:$19996,A484,MATCH("Total_Fluoro_Time", DATOS3!$1:$1,0))=0,0,INDEX( DATOS3!$1:$19996,A484,MATCH("Total_Fluoro_Time", DATOS3!$1:$1,0)))</f>
        <v>#N/A</v>
      </c>
    </row>
    <row r="485" spans="1:11" hidden="1" x14ac:dyDescent="0.25">
      <c r="A485">
        <v>485</v>
      </c>
      <c r="B485" t="e">
        <f t="shared" si="14"/>
        <v>#N/A</v>
      </c>
      <c r="C485" t="e">
        <f t="shared" si="15"/>
        <v>#N/A</v>
      </c>
      <c r="D485" t="e">
        <f>IF(INDEX( DATOS3!$1:$19996,A485,MATCH("PatientID", DATOS3!$1:$1,0))=0,"",INDEX( DATOS3!$1:$19996,A485,MATCH("PatientID", DATOS3!$1:$1,0)))</f>
        <v>#N/A</v>
      </c>
      <c r="F485" t="e">
        <f>IF(INDEX( DATOS3!$1:$19996,A485,MATCH("SeriesDate", DATOS3!$1:$1,0))=0,"",INDEX( DATOS3!$1:$19996,A485,MATCH("SeriesDate", DATOS3!$1:$1,0)))</f>
        <v>#N/A</v>
      </c>
      <c r="G485" t="e">
        <f>IF(INDEX( DATOS3!$1:$19996,A485,MATCH("SeriesTime", DATOS3!$1:$1,0))=0,"",INDEX( DATOS3!$1:$19996,A485,MATCH("SeriesTime", DATOS3!$1:$1,0)))</f>
        <v>#N/A</v>
      </c>
      <c r="H485" t="e">
        <f>IF(INDEX( DATOS3!$1:$19996,A485,MATCH("StudyDescription", DATOS3!$1:$1,0))=0,"",INDEX( DATOS3!$1:$19996,A485,MATCH("StudyDescription", DATOS3!$1:$1,0)))</f>
        <v>#N/A</v>
      </c>
      <c r="I485" t="e">
        <f>IF(INDEX( DATOS3!$1:$19996,A485,MATCH("Dose_Area_Product_Total", DATOS3!$1:$1,0))=0,0,INDEX( DATOS3!$1:$19996,A485,MATCH("Dose_Area_Product", DATOS3!$1:$1,0)))</f>
        <v>#N/A</v>
      </c>
      <c r="J485" t="e">
        <f>IF(INDEX( DATOS3!$1:$19996,A485,MATCH("Dose_RP_Total", DATOS3!$1:$1,0))=0,0,INDEX( DATOS3!$1:$19996,A485,MATCH("Dose_RP", DATOS3!$1:$1,0)))</f>
        <v>#N/A</v>
      </c>
      <c r="K485" t="e">
        <f>IF(INDEX( DATOS3!$1:$19996,A485,MATCH("Total_Fluoro_Time", DATOS3!$1:$1,0))=0,0,INDEX( DATOS3!$1:$19996,A485,MATCH("Total_Fluoro_Time", DATOS3!$1:$1,0)))</f>
        <v>#N/A</v>
      </c>
    </row>
    <row r="486" spans="1:11" hidden="1" x14ac:dyDescent="0.25">
      <c r="A486">
        <v>486</v>
      </c>
      <c r="B486" t="e">
        <f t="shared" si="14"/>
        <v>#N/A</v>
      </c>
      <c r="C486" t="e">
        <f t="shared" si="15"/>
        <v>#N/A</v>
      </c>
      <c r="D486" t="e">
        <f>IF(INDEX( DATOS3!$1:$19996,A486,MATCH("PatientID", DATOS3!$1:$1,0))=0,"",INDEX( DATOS3!$1:$19996,A486,MATCH("PatientID", DATOS3!$1:$1,0)))</f>
        <v>#N/A</v>
      </c>
      <c r="F486" t="e">
        <f>IF(INDEX( DATOS3!$1:$19996,A486,MATCH("SeriesDate", DATOS3!$1:$1,0))=0,"",INDEX( DATOS3!$1:$19996,A486,MATCH("SeriesDate", DATOS3!$1:$1,0)))</f>
        <v>#N/A</v>
      </c>
      <c r="G486" t="e">
        <f>IF(INDEX( DATOS3!$1:$19996,A486,MATCH("SeriesTime", DATOS3!$1:$1,0))=0,"",INDEX( DATOS3!$1:$19996,A486,MATCH("SeriesTime", DATOS3!$1:$1,0)))</f>
        <v>#N/A</v>
      </c>
      <c r="H486" t="e">
        <f>IF(INDEX( DATOS3!$1:$19996,A486,MATCH("StudyDescription", DATOS3!$1:$1,0))=0,"",INDEX( DATOS3!$1:$19996,A486,MATCH("StudyDescription", DATOS3!$1:$1,0)))</f>
        <v>#N/A</v>
      </c>
      <c r="I486" t="e">
        <f>IF(INDEX( DATOS3!$1:$19996,A486,MATCH("Dose_Area_Product_Total", DATOS3!$1:$1,0))=0,0,INDEX( DATOS3!$1:$19996,A486,MATCH("Dose_Area_Product", DATOS3!$1:$1,0)))</f>
        <v>#N/A</v>
      </c>
      <c r="J486" t="e">
        <f>IF(INDEX( DATOS3!$1:$19996,A486,MATCH("Dose_RP_Total", DATOS3!$1:$1,0))=0,0,INDEX( DATOS3!$1:$19996,A486,MATCH("Dose_RP", DATOS3!$1:$1,0)))</f>
        <v>#N/A</v>
      </c>
      <c r="K486" t="e">
        <f>IF(INDEX( DATOS3!$1:$19996,A486,MATCH("Total_Fluoro_Time", DATOS3!$1:$1,0))=0,0,INDEX( DATOS3!$1:$19996,A486,MATCH("Total_Fluoro_Time", DATOS3!$1:$1,0)))</f>
        <v>#N/A</v>
      </c>
    </row>
    <row r="487" spans="1:11" hidden="1" x14ac:dyDescent="0.25">
      <c r="A487">
        <v>487</v>
      </c>
      <c r="B487" t="e">
        <f t="shared" si="14"/>
        <v>#N/A</v>
      </c>
      <c r="C487" t="e">
        <f t="shared" si="15"/>
        <v>#N/A</v>
      </c>
      <c r="D487" t="e">
        <f>IF(INDEX( DATOS3!$1:$19996,A487,MATCH("PatientID", DATOS3!$1:$1,0))=0,"",INDEX( DATOS3!$1:$19996,A487,MATCH("PatientID", DATOS3!$1:$1,0)))</f>
        <v>#N/A</v>
      </c>
      <c r="F487" t="e">
        <f>IF(INDEX( DATOS3!$1:$19996,A487,MATCH("SeriesDate", DATOS3!$1:$1,0))=0,"",INDEX( DATOS3!$1:$19996,A487,MATCH("SeriesDate", DATOS3!$1:$1,0)))</f>
        <v>#N/A</v>
      </c>
      <c r="G487" t="e">
        <f>IF(INDEX( DATOS3!$1:$19996,A487,MATCH("SeriesTime", DATOS3!$1:$1,0))=0,"",INDEX( DATOS3!$1:$19996,A487,MATCH("SeriesTime", DATOS3!$1:$1,0)))</f>
        <v>#N/A</v>
      </c>
      <c r="H487" t="e">
        <f>IF(INDEX( DATOS3!$1:$19996,A487,MATCH("StudyDescription", DATOS3!$1:$1,0))=0,"",INDEX( DATOS3!$1:$19996,A487,MATCH("StudyDescription", DATOS3!$1:$1,0)))</f>
        <v>#N/A</v>
      </c>
      <c r="I487" t="e">
        <f>IF(INDEX( DATOS3!$1:$19996,A487,MATCH("Dose_Area_Product_Total", DATOS3!$1:$1,0))=0,0,INDEX( DATOS3!$1:$19996,A487,MATCH("Dose_Area_Product", DATOS3!$1:$1,0)))</f>
        <v>#N/A</v>
      </c>
      <c r="J487" t="e">
        <f>IF(INDEX( DATOS3!$1:$19996,A487,MATCH("Dose_RP_Total", DATOS3!$1:$1,0))=0,0,INDEX( DATOS3!$1:$19996,A487,MATCH("Dose_RP", DATOS3!$1:$1,0)))</f>
        <v>#N/A</v>
      </c>
      <c r="K487" t="e">
        <f>IF(INDEX( DATOS3!$1:$19996,A487,MATCH("Total_Fluoro_Time", DATOS3!$1:$1,0))=0,0,INDEX( DATOS3!$1:$19996,A487,MATCH("Total_Fluoro_Time", DATOS3!$1:$1,0)))</f>
        <v>#N/A</v>
      </c>
    </row>
    <row r="488" spans="1:11" hidden="1" x14ac:dyDescent="0.25">
      <c r="A488">
        <v>488</v>
      </c>
      <c r="B488" t="e">
        <f t="shared" si="14"/>
        <v>#N/A</v>
      </c>
      <c r="C488" t="e">
        <f t="shared" si="15"/>
        <v>#N/A</v>
      </c>
      <c r="D488" t="e">
        <f>IF(INDEX( DATOS3!$1:$19996,A488,MATCH("PatientID", DATOS3!$1:$1,0))=0,"",INDEX( DATOS3!$1:$19996,A488,MATCH("PatientID", DATOS3!$1:$1,0)))</f>
        <v>#N/A</v>
      </c>
      <c r="F488" t="e">
        <f>IF(INDEX( DATOS3!$1:$19996,A488,MATCH("SeriesDate", DATOS3!$1:$1,0))=0,"",INDEX( DATOS3!$1:$19996,A488,MATCH("SeriesDate", DATOS3!$1:$1,0)))</f>
        <v>#N/A</v>
      </c>
      <c r="G488" t="e">
        <f>IF(INDEX( DATOS3!$1:$19996,A488,MATCH("SeriesTime", DATOS3!$1:$1,0))=0,"",INDEX( DATOS3!$1:$19996,A488,MATCH("SeriesTime", DATOS3!$1:$1,0)))</f>
        <v>#N/A</v>
      </c>
      <c r="H488" t="e">
        <f>IF(INDEX( DATOS3!$1:$19996,A488,MATCH("StudyDescription", DATOS3!$1:$1,0))=0,"",INDEX( DATOS3!$1:$19996,A488,MATCH("StudyDescription", DATOS3!$1:$1,0)))</f>
        <v>#N/A</v>
      </c>
      <c r="I488" t="e">
        <f>IF(INDEX( DATOS3!$1:$19996,A488,MATCH("Dose_Area_Product_Total", DATOS3!$1:$1,0))=0,0,INDEX( DATOS3!$1:$19996,A488,MATCH("Dose_Area_Product", DATOS3!$1:$1,0)))</f>
        <v>#N/A</v>
      </c>
      <c r="J488" t="e">
        <f>IF(INDEX( DATOS3!$1:$19996,A488,MATCH("Dose_RP_Total", DATOS3!$1:$1,0))=0,0,INDEX( DATOS3!$1:$19996,A488,MATCH("Dose_RP", DATOS3!$1:$1,0)))</f>
        <v>#N/A</v>
      </c>
      <c r="K488" t="e">
        <f>IF(INDEX( DATOS3!$1:$19996,A488,MATCH("Total_Fluoro_Time", DATOS3!$1:$1,0))=0,0,INDEX( DATOS3!$1:$19996,A488,MATCH("Total_Fluoro_Time", DATOS3!$1:$1,0)))</f>
        <v>#N/A</v>
      </c>
    </row>
    <row r="489" spans="1:11" hidden="1" x14ac:dyDescent="0.25">
      <c r="A489">
        <v>489</v>
      </c>
      <c r="B489" t="e">
        <f t="shared" si="14"/>
        <v>#N/A</v>
      </c>
      <c r="C489" t="e">
        <f t="shared" si="15"/>
        <v>#N/A</v>
      </c>
      <c r="D489" t="e">
        <f>IF(INDEX( DATOS3!$1:$19996,A489,MATCH("PatientID", DATOS3!$1:$1,0))=0,"",INDEX( DATOS3!$1:$19996,A489,MATCH("PatientID", DATOS3!$1:$1,0)))</f>
        <v>#N/A</v>
      </c>
      <c r="F489" t="e">
        <f>IF(INDEX( DATOS3!$1:$19996,A489,MATCH("SeriesDate", DATOS3!$1:$1,0))=0,"",INDEX( DATOS3!$1:$19996,A489,MATCH("SeriesDate", DATOS3!$1:$1,0)))</f>
        <v>#N/A</v>
      </c>
      <c r="G489" t="e">
        <f>IF(INDEX( DATOS3!$1:$19996,A489,MATCH("SeriesTime", DATOS3!$1:$1,0))=0,"",INDEX( DATOS3!$1:$19996,A489,MATCH("SeriesTime", DATOS3!$1:$1,0)))</f>
        <v>#N/A</v>
      </c>
      <c r="H489" t="e">
        <f>IF(INDEX( DATOS3!$1:$19996,A489,MATCH("StudyDescription", DATOS3!$1:$1,0))=0,"",INDEX( DATOS3!$1:$19996,A489,MATCH("StudyDescription", DATOS3!$1:$1,0)))</f>
        <v>#N/A</v>
      </c>
      <c r="I489" t="e">
        <f>IF(INDEX( DATOS3!$1:$19996,A489,MATCH("Dose_Area_Product_Total", DATOS3!$1:$1,0))=0,0,INDEX( DATOS3!$1:$19996,A489,MATCH("Dose_Area_Product", DATOS3!$1:$1,0)))</f>
        <v>#N/A</v>
      </c>
      <c r="J489" t="e">
        <f>IF(INDEX( DATOS3!$1:$19996,A489,MATCH("Dose_RP_Total", DATOS3!$1:$1,0))=0,0,INDEX( DATOS3!$1:$19996,A489,MATCH("Dose_RP", DATOS3!$1:$1,0)))</f>
        <v>#N/A</v>
      </c>
      <c r="K489" t="e">
        <f>IF(INDEX( DATOS3!$1:$19996,A489,MATCH("Total_Fluoro_Time", DATOS3!$1:$1,0))=0,0,INDEX( DATOS3!$1:$19996,A489,MATCH("Total_Fluoro_Time", DATOS3!$1:$1,0)))</f>
        <v>#N/A</v>
      </c>
    </row>
    <row r="490" spans="1:11" hidden="1" x14ac:dyDescent="0.25">
      <c r="A490">
        <v>490</v>
      </c>
      <c r="B490" t="e">
        <f t="shared" si="14"/>
        <v>#N/A</v>
      </c>
      <c r="C490" t="e">
        <f t="shared" si="15"/>
        <v>#N/A</v>
      </c>
      <c r="D490" t="e">
        <f>IF(INDEX( DATOS3!$1:$19996,A490,MATCH("PatientID", DATOS3!$1:$1,0))=0,"",INDEX( DATOS3!$1:$19996,A490,MATCH("PatientID", DATOS3!$1:$1,0)))</f>
        <v>#N/A</v>
      </c>
      <c r="F490" t="e">
        <f>IF(INDEX( DATOS3!$1:$19996,A490,MATCH("SeriesDate", DATOS3!$1:$1,0))=0,"",INDEX( DATOS3!$1:$19996,A490,MATCH("SeriesDate", DATOS3!$1:$1,0)))</f>
        <v>#N/A</v>
      </c>
      <c r="G490" t="e">
        <f>IF(INDEX( DATOS3!$1:$19996,A490,MATCH("SeriesTime", DATOS3!$1:$1,0))=0,"",INDEX( DATOS3!$1:$19996,A490,MATCH("SeriesTime", DATOS3!$1:$1,0)))</f>
        <v>#N/A</v>
      </c>
      <c r="H490" t="e">
        <f>IF(INDEX( DATOS3!$1:$19996,A490,MATCH("StudyDescription", DATOS3!$1:$1,0))=0,"",INDEX( DATOS3!$1:$19996,A490,MATCH("StudyDescription", DATOS3!$1:$1,0)))</f>
        <v>#N/A</v>
      </c>
      <c r="I490" t="e">
        <f>IF(INDEX( DATOS3!$1:$19996,A490,MATCH("Dose_Area_Product_Total", DATOS3!$1:$1,0))=0,0,INDEX( DATOS3!$1:$19996,A490,MATCH("Dose_Area_Product", DATOS3!$1:$1,0)))</f>
        <v>#N/A</v>
      </c>
      <c r="J490" t="e">
        <f>IF(INDEX( DATOS3!$1:$19996,A490,MATCH("Dose_RP_Total", DATOS3!$1:$1,0))=0,0,INDEX( DATOS3!$1:$19996,A490,MATCH("Dose_RP", DATOS3!$1:$1,0)))</f>
        <v>#N/A</v>
      </c>
      <c r="K490" t="e">
        <f>IF(INDEX( DATOS3!$1:$19996,A490,MATCH("Total_Fluoro_Time", DATOS3!$1:$1,0))=0,0,INDEX( DATOS3!$1:$19996,A490,MATCH("Total_Fluoro_Time", DATOS3!$1:$1,0)))</f>
        <v>#N/A</v>
      </c>
    </row>
    <row r="491" spans="1:11" hidden="1" x14ac:dyDescent="0.25">
      <c r="A491">
        <v>491</v>
      </c>
      <c r="B491" t="e">
        <f t="shared" si="14"/>
        <v>#N/A</v>
      </c>
      <c r="C491" t="e">
        <f t="shared" si="15"/>
        <v>#N/A</v>
      </c>
      <c r="D491" t="e">
        <f>IF(INDEX( DATOS3!$1:$19996,A491,MATCH("PatientID", DATOS3!$1:$1,0))=0,"",INDEX( DATOS3!$1:$19996,A491,MATCH("PatientID", DATOS3!$1:$1,0)))</f>
        <v>#N/A</v>
      </c>
      <c r="F491" t="e">
        <f>IF(INDEX( DATOS3!$1:$19996,A491,MATCH("SeriesDate", DATOS3!$1:$1,0))=0,"",INDEX( DATOS3!$1:$19996,A491,MATCH("SeriesDate", DATOS3!$1:$1,0)))</f>
        <v>#N/A</v>
      </c>
      <c r="G491" t="e">
        <f>IF(INDEX( DATOS3!$1:$19996,A491,MATCH("SeriesTime", DATOS3!$1:$1,0))=0,"",INDEX( DATOS3!$1:$19996,A491,MATCH("SeriesTime", DATOS3!$1:$1,0)))</f>
        <v>#N/A</v>
      </c>
      <c r="H491" t="e">
        <f>IF(INDEX( DATOS3!$1:$19996,A491,MATCH("StudyDescription", DATOS3!$1:$1,0))=0,"",INDEX( DATOS3!$1:$19996,A491,MATCH("StudyDescription", DATOS3!$1:$1,0)))</f>
        <v>#N/A</v>
      </c>
      <c r="I491" t="e">
        <f>IF(INDEX( DATOS3!$1:$19996,A491,MATCH("Dose_Area_Product_Total", DATOS3!$1:$1,0))=0,0,INDEX( DATOS3!$1:$19996,A491,MATCH("Dose_Area_Product", DATOS3!$1:$1,0)))</f>
        <v>#N/A</v>
      </c>
      <c r="J491" t="e">
        <f>IF(INDEX( DATOS3!$1:$19996,A491,MATCH("Dose_RP_Total", DATOS3!$1:$1,0))=0,0,INDEX( DATOS3!$1:$19996,A491,MATCH("Dose_RP", DATOS3!$1:$1,0)))</f>
        <v>#N/A</v>
      </c>
      <c r="K491" t="e">
        <f>IF(INDEX( DATOS3!$1:$19996,A491,MATCH("Total_Fluoro_Time", DATOS3!$1:$1,0))=0,0,INDEX( DATOS3!$1:$19996,A491,MATCH("Total_Fluoro_Time", DATOS3!$1:$1,0)))</f>
        <v>#N/A</v>
      </c>
    </row>
    <row r="492" spans="1:11" hidden="1" x14ac:dyDescent="0.25">
      <c r="A492">
        <v>492</v>
      </c>
      <c r="B492" t="e">
        <f t="shared" si="14"/>
        <v>#N/A</v>
      </c>
      <c r="C492" t="e">
        <f t="shared" si="15"/>
        <v>#N/A</v>
      </c>
      <c r="D492" t="e">
        <f>IF(INDEX( DATOS3!$1:$19996,A492,MATCH("PatientID", DATOS3!$1:$1,0))=0,"",INDEX( DATOS3!$1:$19996,A492,MATCH("PatientID", DATOS3!$1:$1,0)))</f>
        <v>#N/A</v>
      </c>
      <c r="F492" t="e">
        <f>IF(INDEX( DATOS3!$1:$19996,A492,MATCH("SeriesDate", DATOS3!$1:$1,0))=0,"",INDEX( DATOS3!$1:$19996,A492,MATCH("SeriesDate", DATOS3!$1:$1,0)))</f>
        <v>#N/A</v>
      </c>
      <c r="G492" t="e">
        <f>IF(INDEX( DATOS3!$1:$19996,A492,MATCH("SeriesTime", DATOS3!$1:$1,0))=0,"",INDEX( DATOS3!$1:$19996,A492,MATCH("SeriesTime", DATOS3!$1:$1,0)))</f>
        <v>#N/A</v>
      </c>
      <c r="H492" t="e">
        <f>IF(INDEX( DATOS3!$1:$19996,A492,MATCH("StudyDescription", DATOS3!$1:$1,0))=0,"",INDEX( DATOS3!$1:$19996,A492,MATCH("StudyDescription", DATOS3!$1:$1,0)))</f>
        <v>#N/A</v>
      </c>
      <c r="I492" t="e">
        <f>IF(INDEX( DATOS3!$1:$19996,A492,MATCH("Dose_Area_Product_Total", DATOS3!$1:$1,0))=0,0,INDEX( DATOS3!$1:$19996,A492,MATCH("Dose_Area_Product", DATOS3!$1:$1,0)))</f>
        <v>#N/A</v>
      </c>
      <c r="J492" t="e">
        <f>IF(INDEX( DATOS3!$1:$19996,A492,MATCH("Dose_RP_Total", DATOS3!$1:$1,0))=0,0,INDEX( DATOS3!$1:$19996,A492,MATCH("Dose_RP", DATOS3!$1:$1,0)))</f>
        <v>#N/A</v>
      </c>
      <c r="K492" t="e">
        <f>IF(INDEX( DATOS3!$1:$19996,A492,MATCH("Total_Fluoro_Time", DATOS3!$1:$1,0))=0,0,INDEX( DATOS3!$1:$19996,A492,MATCH("Total_Fluoro_Time", DATOS3!$1:$1,0)))</f>
        <v>#N/A</v>
      </c>
    </row>
    <row r="493" spans="1:11" hidden="1" x14ac:dyDescent="0.25">
      <c r="A493">
        <v>493</v>
      </c>
      <c r="B493" t="e">
        <f t="shared" si="14"/>
        <v>#N/A</v>
      </c>
      <c r="C493" t="e">
        <f t="shared" si="15"/>
        <v>#N/A</v>
      </c>
      <c r="D493" t="e">
        <f>IF(INDEX( DATOS3!$1:$19996,A493,MATCH("PatientID", DATOS3!$1:$1,0))=0,"",INDEX( DATOS3!$1:$19996,A493,MATCH("PatientID", DATOS3!$1:$1,0)))</f>
        <v>#N/A</v>
      </c>
      <c r="F493" t="e">
        <f>IF(INDEX( DATOS3!$1:$19996,A493,MATCH("SeriesDate", DATOS3!$1:$1,0))=0,"",INDEX( DATOS3!$1:$19996,A493,MATCH("SeriesDate", DATOS3!$1:$1,0)))</f>
        <v>#N/A</v>
      </c>
      <c r="G493" t="e">
        <f>IF(INDEX( DATOS3!$1:$19996,A493,MATCH("SeriesTime", DATOS3!$1:$1,0))=0,"",INDEX( DATOS3!$1:$19996,A493,MATCH("SeriesTime", DATOS3!$1:$1,0)))</f>
        <v>#N/A</v>
      </c>
      <c r="H493" t="e">
        <f>IF(INDEX( DATOS3!$1:$19996,A493,MATCH("StudyDescription", DATOS3!$1:$1,0))=0,"",INDEX( DATOS3!$1:$19996,A493,MATCH("StudyDescription", DATOS3!$1:$1,0)))</f>
        <v>#N/A</v>
      </c>
      <c r="I493" t="e">
        <f>IF(INDEX( DATOS3!$1:$19996,A493,MATCH("Dose_Area_Product_Total", DATOS3!$1:$1,0))=0,0,INDEX( DATOS3!$1:$19996,A493,MATCH("Dose_Area_Product", DATOS3!$1:$1,0)))</f>
        <v>#N/A</v>
      </c>
      <c r="J493" t="e">
        <f>IF(INDEX( DATOS3!$1:$19996,A493,MATCH("Dose_RP_Total", DATOS3!$1:$1,0))=0,0,INDEX( DATOS3!$1:$19996,A493,MATCH("Dose_RP", DATOS3!$1:$1,0)))</f>
        <v>#N/A</v>
      </c>
      <c r="K493" t="e">
        <f>IF(INDEX( DATOS3!$1:$19996,A493,MATCH("Total_Fluoro_Time", DATOS3!$1:$1,0))=0,0,INDEX( DATOS3!$1:$19996,A493,MATCH("Total_Fluoro_Time", DATOS3!$1:$1,0)))</f>
        <v>#N/A</v>
      </c>
    </row>
    <row r="494" spans="1:11" hidden="1" x14ac:dyDescent="0.25">
      <c r="A494">
        <v>494</v>
      </c>
      <c r="B494" t="e">
        <f t="shared" si="14"/>
        <v>#N/A</v>
      </c>
      <c r="C494" t="e">
        <f t="shared" si="15"/>
        <v>#N/A</v>
      </c>
      <c r="D494" t="e">
        <f>IF(INDEX( DATOS3!$1:$19996,A494,MATCH("PatientID", DATOS3!$1:$1,0))=0,"",INDEX( DATOS3!$1:$19996,A494,MATCH("PatientID", DATOS3!$1:$1,0)))</f>
        <v>#N/A</v>
      </c>
      <c r="F494" t="e">
        <f>IF(INDEX( DATOS3!$1:$19996,A494,MATCH("SeriesDate", DATOS3!$1:$1,0))=0,"",INDEX( DATOS3!$1:$19996,A494,MATCH("SeriesDate", DATOS3!$1:$1,0)))</f>
        <v>#N/A</v>
      </c>
      <c r="G494" t="e">
        <f>IF(INDEX( DATOS3!$1:$19996,A494,MATCH("SeriesTime", DATOS3!$1:$1,0))=0,"",INDEX( DATOS3!$1:$19996,A494,MATCH("SeriesTime", DATOS3!$1:$1,0)))</f>
        <v>#N/A</v>
      </c>
      <c r="H494" t="e">
        <f>IF(INDEX( DATOS3!$1:$19996,A494,MATCH("StudyDescription", DATOS3!$1:$1,0))=0,"",INDEX( DATOS3!$1:$19996,A494,MATCH("StudyDescription", DATOS3!$1:$1,0)))</f>
        <v>#N/A</v>
      </c>
      <c r="I494" t="e">
        <f>IF(INDEX( DATOS3!$1:$19996,A494,MATCH("Dose_Area_Product_Total", DATOS3!$1:$1,0))=0,0,INDEX( DATOS3!$1:$19996,A494,MATCH("Dose_Area_Product", DATOS3!$1:$1,0)))</f>
        <v>#N/A</v>
      </c>
      <c r="J494" t="e">
        <f>IF(INDEX( DATOS3!$1:$19996,A494,MATCH("Dose_RP_Total", DATOS3!$1:$1,0))=0,0,INDEX( DATOS3!$1:$19996,A494,MATCH("Dose_RP", DATOS3!$1:$1,0)))</f>
        <v>#N/A</v>
      </c>
      <c r="K494" t="e">
        <f>IF(INDEX( DATOS3!$1:$19996,A494,MATCH("Total_Fluoro_Time", DATOS3!$1:$1,0))=0,0,INDEX( DATOS3!$1:$19996,A494,MATCH("Total_Fluoro_Time", DATOS3!$1:$1,0)))</f>
        <v>#N/A</v>
      </c>
    </row>
    <row r="495" spans="1:11" hidden="1" x14ac:dyDescent="0.25">
      <c r="A495">
        <v>495</v>
      </c>
      <c r="B495" t="e">
        <f t="shared" si="14"/>
        <v>#N/A</v>
      </c>
      <c r="C495" t="e">
        <f t="shared" si="15"/>
        <v>#N/A</v>
      </c>
      <c r="D495" t="e">
        <f>IF(INDEX( DATOS3!$1:$19996,A495,MATCH("PatientID", DATOS3!$1:$1,0))=0,"",INDEX( DATOS3!$1:$19996,A495,MATCH("PatientID", DATOS3!$1:$1,0)))</f>
        <v>#N/A</v>
      </c>
      <c r="F495" t="e">
        <f>IF(INDEX( DATOS3!$1:$19996,A495,MATCH("SeriesDate", DATOS3!$1:$1,0))=0,"",INDEX( DATOS3!$1:$19996,A495,MATCH("SeriesDate", DATOS3!$1:$1,0)))</f>
        <v>#N/A</v>
      </c>
      <c r="G495" t="e">
        <f>IF(INDEX( DATOS3!$1:$19996,A495,MATCH("SeriesTime", DATOS3!$1:$1,0))=0,"",INDEX( DATOS3!$1:$19996,A495,MATCH("SeriesTime", DATOS3!$1:$1,0)))</f>
        <v>#N/A</v>
      </c>
      <c r="H495" t="e">
        <f>IF(INDEX( DATOS3!$1:$19996,A495,MATCH("StudyDescription", DATOS3!$1:$1,0))=0,"",INDEX( DATOS3!$1:$19996,A495,MATCH("StudyDescription", DATOS3!$1:$1,0)))</f>
        <v>#N/A</v>
      </c>
      <c r="I495" t="e">
        <f>IF(INDEX( DATOS3!$1:$19996,A495,MATCH("Dose_Area_Product_Total", DATOS3!$1:$1,0))=0,0,INDEX( DATOS3!$1:$19996,A495,MATCH("Dose_Area_Product", DATOS3!$1:$1,0)))</f>
        <v>#N/A</v>
      </c>
      <c r="J495" t="e">
        <f>IF(INDEX( DATOS3!$1:$19996,A495,MATCH("Dose_RP_Total", DATOS3!$1:$1,0))=0,0,INDEX( DATOS3!$1:$19996,A495,MATCH("Dose_RP", DATOS3!$1:$1,0)))</f>
        <v>#N/A</v>
      </c>
      <c r="K495" t="e">
        <f>IF(INDEX( DATOS3!$1:$19996,A495,MATCH("Total_Fluoro_Time", DATOS3!$1:$1,0))=0,0,INDEX( DATOS3!$1:$19996,A495,MATCH("Total_Fluoro_Time", DATOS3!$1:$1,0)))</f>
        <v>#N/A</v>
      </c>
    </row>
    <row r="496" spans="1:11" hidden="1" x14ac:dyDescent="0.25">
      <c r="A496">
        <v>496</v>
      </c>
      <c r="B496" t="e">
        <f t="shared" si="14"/>
        <v>#N/A</v>
      </c>
      <c r="C496" t="e">
        <f t="shared" si="15"/>
        <v>#N/A</v>
      </c>
      <c r="D496" t="e">
        <f>IF(INDEX( DATOS3!$1:$19996,A496,MATCH("PatientID", DATOS3!$1:$1,0))=0,"",INDEX( DATOS3!$1:$19996,A496,MATCH("PatientID", DATOS3!$1:$1,0)))</f>
        <v>#N/A</v>
      </c>
      <c r="F496" t="e">
        <f>IF(INDEX( DATOS3!$1:$19996,A496,MATCH("SeriesDate", DATOS3!$1:$1,0))=0,"",INDEX( DATOS3!$1:$19996,A496,MATCH("SeriesDate", DATOS3!$1:$1,0)))</f>
        <v>#N/A</v>
      </c>
      <c r="G496" t="e">
        <f>IF(INDEX( DATOS3!$1:$19996,A496,MATCH("SeriesTime", DATOS3!$1:$1,0))=0,"",INDEX( DATOS3!$1:$19996,A496,MATCH("SeriesTime", DATOS3!$1:$1,0)))</f>
        <v>#N/A</v>
      </c>
      <c r="H496" t="e">
        <f>IF(INDEX( DATOS3!$1:$19996,A496,MATCH("StudyDescription", DATOS3!$1:$1,0))=0,"",INDEX( DATOS3!$1:$19996,A496,MATCH("StudyDescription", DATOS3!$1:$1,0)))</f>
        <v>#N/A</v>
      </c>
      <c r="I496" t="e">
        <f>IF(INDEX( DATOS3!$1:$19996,A496,MATCH("Dose_Area_Product_Total", DATOS3!$1:$1,0))=0,0,INDEX( DATOS3!$1:$19996,A496,MATCH("Dose_Area_Product", DATOS3!$1:$1,0)))</f>
        <v>#N/A</v>
      </c>
      <c r="J496" t="e">
        <f>IF(INDEX( DATOS3!$1:$19996,A496,MATCH("Dose_RP_Total", DATOS3!$1:$1,0))=0,0,INDEX( DATOS3!$1:$19996,A496,MATCH("Dose_RP", DATOS3!$1:$1,0)))</f>
        <v>#N/A</v>
      </c>
      <c r="K496" t="e">
        <f>IF(INDEX( DATOS3!$1:$19996,A496,MATCH("Total_Fluoro_Time", DATOS3!$1:$1,0))=0,0,INDEX( DATOS3!$1:$19996,A496,MATCH("Total_Fluoro_Time", DATOS3!$1:$1,0)))</f>
        <v>#N/A</v>
      </c>
    </row>
    <row r="497" spans="1:11" hidden="1" x14ac:dyDescent="0.25">
      <c r="A497">
        <v>497</v>
      </c>
      <c r="B497" t="e">
        <f t="shared" si="14"/>
        <v>#N/A</v>
      </c>
      <c r="C497" t="e">
        <f t="shared" si="15"/>
        <v>#N/A</v>
      </c>
      <c r="D497" t="e">
        <f>IF(INDEX( DATOS3!$1:$19996,A497,MATCH("PatientID", DATOS3!$1:$1,0))=0,"",INDEX( DATOS3!$1:$19996,A497,MATCH("PatientID", DATOS3!$1:$1,0)))</f>
        <v>#N/A</v>
      </c>
      <c r="F497" t="e">
        <f>IF(INDEX( DATOS3!$1:$19996,A497,MATCH("SeriesDate", DATOS3!$1:$1,0))=0,"",INDEX( DATOS3!$1:$19996,A497,MATCH("SeriesDate", DATOS3!$1:$1,0)))</f>
        <v>#N/A</v>
      </c>
      <c r="G497" t="e">
        <f>IF(INDEX( DATOS3!$1:$19996,A497,MATCH("SeriesTime", DATOS3!$1:$1,0))=0,"",INDEX( DATOS3!$1:$19996,A497,MATCH("SeriesTime", DATOS3!$1:$1,0)))</f>
        <v>#N/A</v>
      </c>
      <c r="H497" t="e">
        <f>IF(INDEX( DATOS3!$1:$19996,A497,MATCH("StudyDescription", DATOS3!$1:$1,0))=0,"",INDEX( DATOS3!$1:$19996,A497,MATCH("StudyDescription", DATOS3!$1:$1,0)))</f>
        <v>#N/A</v>
      </c>
      <c r="I497" t="e">
        <f>IF(INDEX( DATOS3!$1:$19996,A497,MATCH("Dose_Area_Product_Total", DATOS3!$1:$1,0))=0,0,INDEX( DATOS3!$1:$19996,A497,MATCH("Dose_Area_Product", DATOS3!$1:$1,0)))</f>
        <v>#N/A</v>
      </c>
      <c r="J497" t="e">
        <f>IF(INDEX( DATOS3!$1:$19996,A497,MATCH("Dose_RP_Total", DATOS3!$1:$1,0))=0,0,INDEX( DATOS3!$1:$19996,A497,MATCH("Dose_RP", DATOS3!$1:$1,0)))</f>
        <v>#N/A</v>
      </c>
      <c r="K497" t="e">
        <f>IF(INDEX( DATOS3!$1:$19996,A497,MATCH("Total_Fluoro_Time", DATOS3!$1:$1,0))=0,0,INDEX( DATOS3!$1:$19996,A497,MATCH("Total_Fluoro_Time", DATOS3!$1:$1,0)))</f>
        <v>#N/A</v>
      </c>
    </row>
    <row r="498" spans="1:11" hidden="1" x14ac:dyDescent="0.25">
      <c r="A498">
        <v>498</v>
      </c>
      <c r="B498" t="e">
        <f t="shared" si="14"/>
        <v>#N/A</v>
      </c>
      <c r="C498" t="e">
        <f t="shared" si="15"/>
        <v>#N/A</v>
      </c>
      <c r="D498" t="e">
        <f>IF(INDEX( DATOS3!$1:$19996,A498,MATCH("PatientID", DATOS3!$1:$1,0))=0,"",INDEX( DATOS3!$1:$19996,A498,MATCH("PatientID", DATOS3!$1:$1,0)))</f>
        <v>#N/A</v>
      </c>
      <c r="F498" t="e">
        <f>IF(INDEX( DATOS3!$1:$19996,A498,MATCH("SeriesDate", DATOS3!$1:$1,0))=0,"",INDEX( DATOS3!$1:$19996,A498,MATCH("SeriesDate", DATOS3!$1:$1,0)))</f>
        <v>#N/A</v>
      </c>
      <c r="G498" t="e">
        <f>IF(INDEX( DATOS3!$1:$19996,A498,MATCH("SeriesTime", DATOS3!$1:$1,0))=0,"",INDEX( DATOS3!$1:$19996,A498,MATCH("SeriesTime", DATOS3!$1:$1,0)))</f>
        <v>#N/A</v>
      </c>
      <c r="H498" t="e">
        <f>IF(INDEX( DATOS3!$1:$19996,A498,MATCH("StudyDescription", DATOS3!$1:$1,0))=0,"",INDEX( DATOS3!$1:$19996,A498,MATCH("StudyDescription", DATOS3!$1:$1,0)))</f>
        <v>#N/A</v>
      </c>
      <c r="I498" t="e">
        <f>IF(INDEX( DATOS3!$1:$19996,A498,MATCH("Dose_Area_Product_Total", DATOS3!$1:$1,0))=0,0,INDEX( DATOS3!$1:$19996,A498,MATCH("Dose_Area_Product", DATOS3!$1:$1,0)))</f>
        <v>#N/A</v>
      </c>
      <c r="J498" t="e">
        <f>IF(INDEX( DATOS3!$1:$19996,A498,MATCH("Dose_RP_Total", DATOS3!$1:$1,0))=0,0,INDEX( DATOS3!$1:$19996,A498,MATCH("Dose_RP", DATOS3!$1:$1,0)))</f>
        <v>#N/A</v>
      </c>
      <c r="K498" t="e">
        <f>IF(INDEX( DATOS3!$1:$19996,A498,MATCH("Total_Fluoro_Time", DATOS3!$1:$1,0))=0,0,INDEX( DATOS3!$1:$19996,A498,MATCH("Total_Fluoro_Time", DATOS3!$1:$1,0)))</f>
        <v>#N/A</v>
      </c>
    </row>
    <row r="499" spans="1:11" hidden="1" x14ac:dyDescent="0.25">
      <c r="A499">
        <v>499</v>
      </c>
      <c r="B499" t="e">
        <f t="shared" si="14"/>
        <v>#N/A</v>
      </c>
      <c r="C499" t="e">
        <f t="shared" si="15"/>
        <v>#N/A</v>
      </c>
      <c r="D499" t="e">
        <f>IF(INDEX( DATOS3!$1:$19996,A499,MATCH("PatientID", DATOS3!$1:$1,0))=0,"",INDEX( DATOS3!$1:$19996,A499,MATCH("PatientID", DATOS3!$1:$1,0)))</f>
        <v>#N/A</v>
      </c>
      <c r="F499" t="e">
        <f>IF(INDEX( DATOS3!$1:$19996,A499,MATCH("SeriesDate", DATOS3!$1:$1,0))=0,"",INDEX( DATOS3!$1:$19996,A499,MATCH("SeriesDate", DATOS3!$1:$1,0)))</f>
        <v>#N/A</v>
      </c>
      <c r="G499" t="e">
        <f>IF(INDEX( DATOS3!$1:$19996,A499,MATCH("SeriesTime", DATOS3!$1:$1,0))=0,"",INDEX( DATOS3!$1:$19996,A499,MATCH("SeriesTime", DATOS3!$1:$1,0)))</f>
        <v>#N/A</v>
      </c>
      <c r="H499" t="e">
        <f>IF(INDEX( DATOS3!$1:$19996,A499,MATCH("StudyDescription", DATOS3!$1:$1,0))=0,"",INDEX( DATOS3!$1:$19996,A499,MATCH("StudyDescription", DATOS3!$1:$1,0)))</f>
        <v>#N/A</v>
      </c>
      <c r="I499" t="e">
        <f>IF(INDEX( DATOS3!$1:$19996,A499,MATCH("Dose_Area_Product_Total", DATOS3!$1:$1,0))=0,0,INDEX( DATOS3!$1:$19996,A499,MATCH("Dose_Area_Product", DATOS3!$1:$1,0)))</f>
        <v>#N/A</v>
      </c>
      <c r="J499" t="e">
        <f>IF(INDEX( DATOS3!$1:$19996,A499,MATCH("Dose_RP_Total", DATOS3!$1:$1,0))=0,0,INDEX( DATOS3!$1:$19996,A499,MATCH("Dose_RP", DATOS3!$1:$1,0)))</f>
        <v>#N/A</v>
      </c>
      <c r="K499" t="e">
        <f>IF(INDEX( DATOS3!$1:$19996,A499,MATCH("Total_Fluoro_Time", DATOS3!$1:$1,0))=0,0,INDEX( DATOS3!$1:$19996,A499,MATCH("Total_Fluoro_Time", DATOS3!$1:$1,0)))</f>
        <v>#N/A</v>
      </c>
    </row>
    <row r="500" spans="1:11" hidden="1" x14ac:dyDescent="0.25">
      <c r="A500">
        <v>500</v>
      </c>
      <c r="B500" t="e">
        <f t="shared" si="14"/>
        <v>#N/A</v>
      </c>
      <c r="C500" t="e">
        <f t="shared" si="15"/>
        <v>#N/A</v>
      </c>
      <c r="D500" t="e">
        <f>IF(INDEX( DATOS3!$1:$19996,A500,MATCH("PatientID", DATOS3!$1:$1,0))=0,"",INDEX( DATOS3!$1:$19996,A500,MATCH("PatientID", DATOS3!$1:$1,0)))</f>
        <v>#N/A</v>
      </c>
      <c r="F500" t="e">
        <f>IF(INDEX( DATOS3!$1:$19996,A500,MATCH("SeriesDate", DATOS3!$1:$1,0))=0,"",INDEX( DATOS3!$1:$19996,A500,MATCH("SeriesDate", DATOS3!$1:$1,0)))</f>
        <v>#N/A</v>
      </c>
      <c r="G500" t="e">
        <f>IF(INDEX( DATOS3!$1:$19996,A500,MATCH("SeriesTime", DATOS3!$1:$1,0))=0,"",INDEX( DATOS3!$1:$19996,A500,MATCH("SeriesTime", DATOS3!$1:$1,0)))</f>
        <v>#N/A</v>
      </c>
      <c r="H500" t="e">
        <f>IF(INDEX( DATOS3!$1:$19996,A500,MATCH("StudyDescription", DATOS3!$1:$1,0))=0,"",INDEX( DATOS3!$1:$19996,A500,MATCH("StudyDescription", DATOS3!$1:$1,0)))</f>
        <v>#N/A</v>
      </c>
      <c r="I500" t="e">
        <f>IF(INDEX( DATOS3!$1:$19996,A500,MATCH("Dose_Area_Product_Total", DATOS3!$1:$1,0))=0,0,INDEX( DATOS3!$1:$19996,A500,MATCH("Dose_Area_Product", DATOS3!$1:$1,0)))</f>
        <v>#N/A</v>
      </c>
      <c r="J500" t="e">
        <f>IF(INDEX( DATOS3!$1:$19996,A500,MATCH("Dose_RP_Total", DATOS3!$1:$1,0))=0,0,INDEX( DATOS3!$1:$19996,A500,MATCH("Dose_RP", DATOS3!$1:$1,0)))</f>
        <v>#N/A</v>
      </c>
      <c r="K500" t="e">
        <f>IF(INDEX( DATOS3!$1:$19996,A500,MATCH("Total_Fluoro_Time", DATOS3!$1:$1,0))=0,0,INDEX( DATOS3!$1:$19996,A500,MATCH("Total_Fluoro_Time", DATOS3!$1:$1,0)))</f>
        <v>#N/A</v>
      </c>
    </row>
    <row r="501" spans="1:11" hidden="1" x14ac:dyDescent="0.25">
      <c r="A501">
        <v>501</v>
      </c>
      <c r="B501" t="e">
        <f t="shared" si="14"/>
        <v>#N/A</v>
      </c>
      <c r="C501" t="e">
        <f t="shared" si="15"/>
        <v>#N/A</v>
      </c>
      <c r="D501" t="e">
        <f>IF(INDEX( DATOS3!$1:$19996,A501,MATCH("PatientID", DATOS3!$1:$1,0))=0,"",INDEX( DATOS3!$1:$19996,A501,MATCH("PatientID", DATOS3!$1:$1,0)))</f>
        <v>#N/A</v>
      </c>
      <c r="F501" t="e">
        <f>IF(INDEX( DATOS3!$1:$19996,A501,MATCH("SeriesDate", DATOS3!$1:$1,0))=0,"",INDEX( DATOS3!$1:$19996,A501,MATCH("SeriesDate", DATOS3!$1:$1,0)))</f>
        <v>#N/A</v>
      </c>
      <c r="G501" t="e">
        <f>IF(INDEX( DATOS3!$1:$19996,A501,MATCH("SeriesTime", DATOS3!$1:$1,0))=0,"",INDEX( DATOS3!$1:$19996,A501,MATCH("SeriesTime", DATOS3!$1:$1,0)))</f>
        <v>#N/A</v>
      </c>
      <c r="H501" t="e">
        <f>IF(INDEX( DATOS3!$1:$19996,A501,MATCH("StudyDescription", DATOS3!$1:$1,0))=0,"",INDEX( DATOS3!$1:$19996,A501,MATCH("StudyDescription", DATOS3!$1:$1,0)))</f>
        <v>#N/A</v>
      </c>
      <c r="I501" t="e">
        <f>IF(INDEX( DATOS3!$1:$19996,A501,MATCH("Dose_Area_Product_Total", DATOS3!$1:$1,0))=0,0,INDEX( DATOS3!$1:$19996,A501,MATCH("Dose_Area_Product", DATOS3!$1:$1,0)))</f>
        <v>#N/A</v>
      </c>
      <c r="J501" t="e">
        <f>IF(INDEX( DATOS3!$1:$19996,A501,MATCH("Dose_RP_Total", DATOS3!$1:$1,0))=0,0,INDEX( DATOS3!$1:$19996,A501,MATCH("Dose_RP", DATOS3!$1:$1,0)))</f>
        <v>#N/A</v>
      </c>
      <c r="K501" t="e">
        <f>IF(INDEX( DATOS3!$1:$19996,A501,MATCH("Total_Fluoro_Time", DATOS3!$1:$1,0))=0,0,INDEX( DATOS3!$1:$19996,A501,MATCH("Total_Fluoro_Time", DATOS3!$1:$1,0)))</f>
        <v>#N/A</v>
      </c>
    </row>
    <row r="502" spans="1:11" hidden="1" x14ac:dyDescent="0.25">
      <c r="A502">
        <v>502</v>
      </c>
      <c r="B502" t="e">
        <f t="shared" si="14"/>
        <v>#N/A</v>
      </c>
      <c r="C502" t="e">
        <f t="shared" si="15"/>
        <v>#N/A</v>
      </c>
      <c r="D502" t="e">
        <f>IF(INDEX( DATOS3!$1:$19996,A502,MATCH("PatientID", DATOS3!$1:$1,0))=0,"",INDEX( DATOS3!$1:$19996,A502,MATCH("PatientID", DATOS3!$1:$1,0)))</f>
        <v>#N/A</v>
      </c>
      <c r="F502" t="e">
        <f>IF(INDEX( DATOS3!$1:$19996,A502,MATCH("SeriesDate", DATOS3!$1:$1,0))=0,"",INDEX( DATOS3!$1:$19996,A502,MATCH("SeriesDate", DATOS3!$1:$1,0)))</f>
        <v>#N/A</v>
      </c>
      <c r="G502" t="e">
        <f>IF(INDEX( DATOS3!$1:$19996,A502,MATCH("SeriesTime", DATOS3!$1:$1,0))=0,"",INDEX( DATOS3!$1:$19996,A502,MATCH("SeriesTime", DATOS3!$1:$1,0)))</f>
        <v>#N/A</v>
      </c>
      <c r="H502" t="e">
        <f>IF(INDEX( DATOS3!$1:$19996,A502,MATCH("StudyDescription", DATOS3!$1:$1,0))=0,"",INDEX( DATOS3!$1:$19996,A502,MATCH("StudyDescription", DATOS3!$1:$1,0)))</f>
        <v>#N/A</v>
      </c>
      <c r="I502" t="e">
        <f>IF(INDEX( DATOS3!$1:$19996,A502,MATCH("Dose_Area_Product_Total", DATOS3!$1:$1,0))=0,0,INDEX( DATOS3!$1:$19996,A502,MATCH("Dose_Area_Product", DATOS3!$1:$1,0)))</f>
        <v>#N/A</v>
      </c>
      <c r="J502" t="e">
        <f>IF(INDEX( DATOS3!$1:$19996,A502,MATCH("Dose_RP_Total", DATOS3!$1:$1,0))=0,0,INDEX( DATOS3!$1:$19996,A502,MATCH("Dose_RP", DATOS3!$1:$1,0)))</f>
        <v>#N/A</v>
      </c>
      <c r="K502" t="e">
        <f>IF(INDEX( DATOS3!$1:$19996,A502,MATCH("Total_Fluoro_Time", DATOS3!$1:$1,0))=0,0,INDEX( DATOS3!$1:$19996,A502,MATCH("Total_Fluoro_Time", DATOS3!$1:$1,0)))</f>
        <v>#N/A</v>
      </c>
    </row>
    <row r="503" spans="1:11" hidden="1" x14ac:dyDescent="0.25">
      <c r="A503">
        <v>503</v>
      </c>
      <c r="B503" t="e">
        <f t="shared" si="14"/>
        <v>#N/A</v>
      </c>
      <c r="C503" t="e">
        <f t="shared" si="15"/>
        <v>#N/A</v>
      </c>
      <c r="D503" t="e">
        <f>IF(INDEX( DATOS3!$1:$19996,A503,MATCH("PatientID", DATOS3!$1:$1,0))=0,"",INDEX( DATOS3!$1:$19996,A503,MATCH("PatientID", DATOS3!$1:$1,0)))</f>
        <v>#N/A</v>
      </c>
      <c r="F503" t="e">
        <f>IF(INDEX( DATOS3!$1:$19996,A503,MATCH("SeriesDate", DATOS3!$1:$1,0))=0,"",INDEX( DATOS3!$1:$19996,A503,MATCH("SeriesDate", DATOS3!$1:$1,0)))</f>
        <v>#N/A</v>
      </c>
      <c r="G503" t="e">
        <f>IF(INDEX( DATOS3!$1:$19996,A503,MATCH("SeriesTime", DATOS3!$1:$1,0))=0,"",INDEX( DATOS3!$1:$19996,A503,MATCH("SeriesTime", DATOS3!$1:$1,0)))</f>
        <v>#N/A</v>
      </c>
      <c r="H503" t="e">
        <f>IF(INDEX( DATOS3!$1:$19996,A503,MATCH("StudyDescription", DATOS3!$1:$1,0))=0,"",INDEX( DATOS3!$1:$19996,A503,MATCH("StudyDescription", DATOS3!$1:$1,0)))</f>
        <v>#N/A</v>
      </c>
      <c r="I503" t="e">
        <f>IF(INDEX( DATOS3!$1:$19996,A503,MATCH("Dose_Area_Product_Total", DATOS3!$1:$1,0))=0,0,INDEX( DATOS3!$1:$19996,A503,MATCH("Dose_Area_Product", DATOS3!$1:$1,0)))</f>
        <v>#N/A</v>
      </c>
      <c r="J503" t="e">
        <f>IF(INDEX( DATOS3!$1:$19996,A503,MATCH("Dose_RP_Total", DATOS3!$1:$1,0))=0,0,INDEX( DATOS3!$1:$19996,A503,MATCH("Dose_RP", DATOS3!$1:$1,0)))</f>
        <v>#N/A</v>
      </c>
      <c r="K503" t="e">
        <f>IF(INDEX( DATOS3!$1:$19996,A503,MATCH("Total_Fluoro_Time", DATOS3!$1:$1,0))=0,0,INDEX( DATOS3!$1:$19996,A503,MATCH("Total_Fluoro_Time", DATOS3!$1:$1,0)))</f>
        <v>#N/A</v>
      </c>
    </row>
    <row r="504" spans="1:11" hidden="1" x14ac:dyDescent="0.25">
      <c r="A504">
        <v>504</v>
      </c>
      <c r="B504" t="e">
        <f t="shared" si="14"/>
        <v>#N/A</v>
      </c>
      <c r="C504" t="e">
        <f t="shared" si="15"/>
        <v>#N/A</v>
      </c>
      <c r="D504" t="e">
        <f>IF(INDEX( DATOS3!$1:$19996,A504,MATCH("PatientID", DATOS3!$1:$1,0))=0,"",INDEX( DATOS3!$1:$19996,A504,MATCH("PatientID", DATOS3!$1:$1,0)))</f>
        <v>#N/A</v>
      </c>
      <c r="F504" t="e">
        <f>IF(INDEX( DATOS3!$1:$19996,A504,MATCH("SeriesDate", DATOS3!$1:$1,0))=0,"",INDEX( DATOS3!$1:$19996,A504,MATCH("SeriesDate", DATOS3!$1:$1,0)))</f>
        <v>#N/A</v>
      </c>
      <c r="G504" t="e">
        <f>IF(INDEX( DATOS3!$1:$19996,A504,MATCH("SeriesTime", DATOS3!$1:$1,0))=0,"",INDEX( DATOS3!$1:$19996,A504,MATCH("SeriesTime", DATOS3!$1:$1,0)))</f>
        <v>#N/A</v>
      </c>
      <c r="H504" t="e">
        <f>IF(INDEX( DATOS3!$1:$19996,A504,MATCH("StudyDescription", DATOS3!$1:$1,0))=0,"",INDEX( DATOS3!$1:$19996,A504,MATCH("StudyDescription", DATOS3!$1:$1,0)))</f>
        <v>#N/A</v>
      </c>
      <c r="I504" t="e">
        <f>IF(INDEX( DATOS3!$1:$19996,A504,MATCH("Dose_Area_Product_Total", DATOS3!$1:$1,0))=0,0,INDEX( DATOS3!$1:$19996,A504,MATCH("Dose_Area_Product", DATOS3!$1:$1,0)))</f>
        <v>#N/A</v>
      </c>
      <c r="J504" t="e">
        <f>IF(INDEX( DATOS3!$1:$19996,A504,MATCH("Dose_RP_Total", DATOS3!$1:$1,0))=0,0,INDEX( DATOS3!$1:$19996,A504,MATCH("Dose_RP", DATOS3!$1:$1,0)))</f>
        <v>#N/A</v>
      </c>
      <c r="K504" t="e">
        <f>IF(INDEX( DATOS3!$1:$19996,A504,MATCH("Total_Fluoro_Time", DATOS3!$1:$1,0))=0,0,INDEX( DATOS3!$1:$19996,A504,MATCH("Total_Fluoro_Time", DATOS3!$1:$1,0)))</f>
        <v>#N/A</v>
      </c>
    </row>
    <row r="505" spans="1:11" hidden="1" x14ac:dyDescent="0.25">
      <c r="A505">
        <v>505</v>
      </c>
      <c r="B505" t="e">
        <f t="shared" si="14"/>
        <v>#N/A</v>
      </c>
      <c r="C505" t="e">
        <f t="shared" si="15"/>
        <v>#N/A</v>
      </c>
      <c r="D505" t="e">
        <f>IF(INDEX( DATOS3!$1:$19996,A505,MATCH("PatientID", DATOS3!$1:$1,0))=0,"",INDEX( DATOS3!$1:$19996,A505,MATCH("PatientID", DATOS3!$1:$1,0)))</f>
        <v>#N/A</v>
      </c>
      <c r="F505" t="e">
        <f>IF(INDEX( DATOS3!$1:$19996,A505,MATCH("SeriesDate", DATOS3!$1:$1,0))=0,"",INDEX( DATOS3!$1:$19996,A505,MATCH("SeriesDate", DATOS3!$1:$1,0)))</f>
        <v>#N/A</v>
      </c>
      <c r="G505" t="e">
        <f>IF(INDEX( DATOS3!$1:$19996,A505,MATCH("SeriesTime", DATOS3!$1:$1,0))=0,"",INDEX( DATOS3!$1:$19996,A505,MATCH("SeriesTime", DATOS3!$1:$1,0)))</f>
        <v>#N/A</v>
      </c>
      <c r="H505" t="e">
        <f>IF(INDEX( DATOS3!$1:$19996,A505,MATCH("StudyDescription", DATOS3!$1:$1,0))=0,"",INDEX( DATOS3!$1:$19996,A505,MATCH("StudyDescription", DATOS3!$1:$1,0)))</f>
        <v>#N/A</v>
      </c>
      <c r="I505" t="e">
        <f>IF(INDEX( DATOS3!$1:$19996,A505,MATCH("Dose_Area_Product_Total", DATOS3!$1:$1,0))=0,0,INDEX( DATOS3!$1:$19996,A505,MATCH("Dose_Area_Product", DATOS3!$1:$1,0)))</f>
        <v>#N/A</v>
      </c>
      <c r="J505" t="e">
        <f>IF(INDEX( DATOS3!$1:$19996,A505,MATCH("Dose_RP_Total", DATOS3!$1:$1,0))=0,0,INDEX( DATOS3!$1:$19996,A505,MATCH("Dose_RP", DATOS3!$1:$1,0)))</f>
        <v>#N/A</v>
      </c>
      <c r="K505" t="e">
        <f>IF(INDEX( DATOS3!$1:$19996,A505,MATCH("Total_Fluoro_Time", DATOS3!$1:$1,0))=0,0,INDEX( DATOS3!$1:$19996,A505,MATCH("Total_Fluoro_Time", DATOS3!$1:$1,0)))</f>
        <v>#N/A</v>
      </c>
    </row>
    <row r="506" spans="1:11" hidden="1" x14ac:dyDescent="0.25">
      <c r="A506">
        <v>506</v>
      </c>
      <c r="B506" t="e">
        <f t="shared" si="14"/>
        <v>#N/A</v>
      </c>
      <c r="C506" t="e">
        <f t="shared" si="15"/>
        <v>#N/A</v>
      </c>
      <c r="D506" t="e">
        <f>IF(INDEX( DATOS3!$1:$19996,A506,MATCH("PatientID", DATOS3!$1:$1,0))=0,"",INDEX( DATOS3!$1:$19996,A506,MATCH("PatientID", DATOS3!$1:$1,0)))</f>
        <v>#N/A</v>
      </c>
      <c r="F506" t="e">
        <f>IF(INDEX( DATOS3!$1:$19996,A506,MATCH("SeriesDate", DATOS3!$1:$1,0))=0,"",INDEX( DATOS3!$1:$19996,A506,MATCH("SeriesDate", DATOS3!$1:$1,0)))</f>
        <v>#N/A</v>
      </c>
      <c r="G506" t="e">
        <f>IF(INDEX( DATOS3!$1:$19996,A506,MATCH("SeriesTime", DATOS3!$1:$1,0))=0,"",INDEX( DATOS3!$1:$19996,A506,MATCH("SeriesTime", DATOS3!$1:$1,0)))</f>
        <v>#N/A</v>
      </c>
      <c r="H506" t="e">
        <f>IF(INDEX( DATOS3!$1:$19996,A506,MATCH("StudyDescription", DATOS3!$1:$1,0))=0,"",INDEX( DATOS3!$1:$19996,A506,MATCH("StudyDescription", DATOS3!$1:$1,0)))</f>
        <v>#N/A</v>
      </c>
      <c r="I506" t="e">
        <f>IF(INDEX( DATOS3!$1:$19996,A506,MATCH("Dose_Area_Product_Total", DATOS3!$1:$1,0))=0,0,INDEX( DATOS3!$1:$19996,A506,MATCH("Dose_Area_Product", DATOS3!$1:$1,0)))</f>
        <v>#N/A</v>
      </c>
      <c r="J506" t="e">
        <f>IF(INDEX( DATOS3!$1:$19996,A506,MATCH("Dose_RP_Total", DATOS3!$1:$1,0))=0,0,INDEX( DATOS3!$1:$19996,A506,MATCH("Dose_RP", DATOS3!$1:$1,0)))</f>
        <v>#N/A</v>
      </c>
      <c r="K506" t="e">
        <f>IF(INDEX( DATOS3!$1:$19996,A506,MATCH("Total_Fluoro_Time", DATOS3!$1:$1,0))=0,0,INDEX( DATOS3!$1:$19996,A506,MATCH("Total_Fluoro_Time", DATOS3!$1:$1,0)))</f>
        <v>#N/A</v>
      </c>
    </row>
    <row r="507" spans="1:11" hidden="1" x14ac:dyDescent="0.25">
      <c r="A507">
        <v>507</v>
      </c>
      <c r="B507" t="e">
        <f t="shared" si="14"/>
        <v>#N/A</v>
      </c>
      <c r="C507" t="e">
        <f t="shared" si="15"/>
        <v>#N/A</v>
      </c>
      <c r="D507" t="e">
        <f>IF(INDEX( DATOS3!$1:$19996,A507,MATCH("PatientID", DATOS3!$1:$1,0))=0,"",INDEX( DATOS3!$1:$19996,A507,MATCH("PatientID", DATOS3!$1:$1,0)))</f>
        <v>#N/A</v>
      </c>
      <c r="F507" t="e">
        <f>IF(INDEX( DATOS3!$1:$19996,A507,MATCH("SeriesDate", DATOS3!$1:$1,0))=0,"",INDEX( DATOS3!$1:$19996,A507,MATCH("SeriesDate", DATOS3!$1:$1,0)))</f>
        <v>#N/A</v>
      </c>
      <c r="G507" t="e">
        <f>IF(INDEX( DATOS3!$1:$19996,A507,MATCH("SeriesTime", DATOS3!$1:$1,0))=0,"",INDEX( DATOS3!$1:$19996,A507,MATCH("SeriesTime", DATOS3!$1:$1,0)))</f>
        <v>#N/A</v>
      </c>
      <c r="H507" t="e">
        <f>IF(INDEX( DATOS3!$1:$19996,A507,MATCH("StudyDescription", DATOS3!$1:$1,0))=0,"",INDEX( DATOS3!$1:$19996,A507,MATCH("StudyDescription", DATOS3!$1:$1,0)))</f>
        <v>#N/A</v>
      </c>
      <c r="I507" t="e">
        <f>IF(INDEX( DATOS3!$1:$19996,A507,MATCH("Dose_Area_Product_Total", DATOS3!$1:$1,0))=0,0,INDEX( DATOS3!$1:$19996,A507,MATCH("Dose_Area_Product", DATOS3!$1:$1,0)))</f>
        <v>#N/A</v>
      </c>
      <c r="J507" t="e">
        <f>IF(INDEX( DATOS3!$1:$19996,A507,MATCH("Dose_RP_Total", DATOS3!$1:$1,0))=0,0,INDEX( DATOS3!$1:$19996,A507,MATCH("Dose_RP", DATOS3!$1:$1,0)))</f>
        <v>#N/A</v>
      </c>
      <c r="K507" t="e">
        <f>IF(INDEX( DATOS3!$1:$19996,A507,MATCH("Total_Fluoro_Time", DATOS3!$1:$1,0))=0,0,INDEX( DATOS3!$1:$19996,A507,MATCH("Total_Fluoro_Time", DATOS3!$1:$1,0)))</f>
        <v>#N/A</v>
      </c>
    </row>
    <row r="508" spans="1:11" hidden="1" x14ac:dyDescent="0.25">
      <c r="A508">
        <v>508</v>
      </c>
      <c r="B508" t="e">
        <f t="shared" si="14"/>
        <v>#N/A</v>
      </c>
      <c r="C508" t="e">
        <f t="shared" si="15"/>
        <v>#N/A</v>
      </c>
      <c r="D508" t="e">
        <f>IF(INDEX( DATOS3!$1:$19996,A508,MATCH("PatientID", DATOS3!$1:$1,0))=0,"",INDEX( DATOS3!$1:$19996,A508,MATCH("PatientID", DATOS3!$1:$1,0)))</f>
        <v>#N/A</v>
      </c>
      <c r="F508" t="e">
        <f>IF(INDEX( DATOS3!$1:$19996,A508,MATCH("SeriesDate", DATOS3!$1:$1,0))=0,"",INDEX( DATOS3!$1:$19996,A508,MATCH("SeriesDate", DATOS3!$1:$1,0)))</f>
        <v>#N/A</v>
      </c>
      <c r="G508" t="e">
        <f>IF(INDEX( DATOS3!$1:$19996,A508,MATCH("SeriesTime", DATOS3!$1:$1,0))=0,"",INDEX( DATOS3!$1:$19996,A508,MATCH("SeriesTime", DATOS3!$1:$1,0)))</f>
        <v>#N/A</v>
      </c>
      <c r="H508" t="e">
        <f>IF(INDEX( DATOS3!$1:$19996,A508,MATCH("StudyDescription", DATOS3!$1:$1,0))=0,"",INDEX( DATOS3!$1:$19996,A508,MATCH("StudyDescription", DATOS3!$1:$1,0)))</f>
        <v>#N/A</v>
      </c>
      <c r="I508" t="e">
        <f>IF(INDEX( DATOS3!$1:$19996,A508,MATCH("Dose_Area_Product_Total", DATOS3!$1:$1,0))=0,0,INDEX( DATOS3!$1:$19996,A508,MATCH("Dose_Area_Product", DATOS3!$1:$1,0)))</f>
        <v>#N/A</v>
      </c>
      <c r="J508" t="e">
        <f>IF(INDEX( DATOS3!$1:$19996,A508,MATCH("Dose_RP_Total", DATOS3!$1:$1,0))=0,0,INDEX( DATOS3!$1:$19996,A508,MATCH("Dose_RP", DATOS3!$1:$1,0)))</f>
        <v>#N/A</v>
      </c>
      <c r="K508" t="e">
        <f>IF(INDEX( DATOS3!$1:$19996,A508,MATCH("Total_Fluoro_Time", DATOS3!$1:$1,0))=0,0,INDEX( DATOS3!$1:$19996,A508,MATCH("Total_Fluoro_Time", DATOS3!$1:$1,0)))</f>
        <v>#N/A</v>
      </c>
    </row>
    <row r="509" spans="1:11" hidden="1" x14ac:dyDescent="0.25">
      <c r="A509">
        <v>509</v>
      </c>
      <c r="B509" t="e">
        <f t="shared" si="14"/>
        <v>#N/A</v>
      </c>
      <c r="C509" t="e">
        <f t="shared" si="15"/>
        <v>#N/A</v>
      </c>
      <c r="D509" t="e">
        <f>IF(INDEX( DATOS3!$1:$19996,A509,MATCH("PatientID", DATOS3!$1:$1,0))=0,"",INDEX( DATOS3!$1:$19996,A509,MATCH("PatientID", DATOS3!$1:$1,0)))</f>
        <v>#N/A</v>
      </c>
      <c r="F509" t="e">
        <f>IF(INDEX( DATOS3!$1:$19996,A509,MATCH("SeriesDate", DATOS3!$1:$1,0))=0,"",INDEX( DATOS3!$1:$19996,A509,MATCH("SeriesDate", DATOS3!$1:$1,0)))</f>
        <v>#N/A</v>
      </c>
      <c r="G509" t="e">
        <f>IF(INDEX( DATOS3!$1:$19996,A509,MATCH("SeriesTime", DATOS3!$1:$1,0))=0,"",INDEX( DATOS3!$1:$19996,A509,MATCH("SeriesTime", DATOS3!$1:$1,0)))</f>
        <v>#N/A</v>
      </c>
      <c r="H509" t="e">
        <f>IF(INDEX( DATOS3!$1:$19996,A509,MATCH("StudyDescription", DATOS3!$1:$1,0))=0,"",INDEX( DATOS3!$1:$19996,A509,MATCH("StudyDescription", DATOS3!$1:$1,0)))</f>
        <v>#N/A</v>
      </c>
      <c r="I509" t="e">
        <f>IF(INDEX( DATOS3!$1:$19996,A509,MATCH("Dose_Area_Product_Total", DATOS3!$1:$1,0))=0,0,INDEX( DATOS3!$1:$19996,A509,MATCH("Dose_Area_Product", DATOS3!$1:$1,0)))</f>
        <v>#N/A</v>
      </c>
      <c r="J509" t="e">
        <f>IF(INDEX( DATOS3!$1:$19996,A509,MATCH("Dose_RP_Total", DATOS3!$1:$1,0))=0,0,INDEX( DATOS3!$1:$19996,A509,MATCH("Dose_RP", DATOS3!$1:$1,0)))</f>
        <v>#N/A</v>
      </c>
      <c r="K509" t="e">
        <f>IF(INDEX( DATOS3!$1:$19996,A509,MATCH("Total_Fluoro_Time", DATOS3!$1:$1,0))=0,0,INDEX( DATOS3!$1:$19996,A509,MATCH("Total_Fluoro_Time", DATOS3!$1:$1,0)))</f>
        <v>#N/A</v>
      </c>
    </row>
    <row r="510" spans="1:11" hidden="1" x14ac:dyDescent="0.25">
      <c r="A510">
        <v>510</v>
      </c>
      <c r="B510" t="e">
        <f t="shared" si="14"/>
        <v>#N/A</v>
      </c>
      <c r="C510" t="e">
        <f t="shared" si="15"/>
        <v>#N/A</v>
      </c>
      <c r="D510" t="e">
        <f>IF(INDEX( DATOS3!$1:$19996,A510,MATCH("PatientID", DATOS3!$1:$1,0))=0,"",INDEX( DATOS3!$1:$19996,A510,MATCH("PatientID", DATOS3!$1:$1,0)))</f>
        <v>#N/A</v>
      </c>
      <c r="F510" t="e">
        <f>IF(INDEX( DATOS3!$1:$19996,A510,MATCH("SeriesDate", DATOS3!$1:$1,0))=0,"",INDEX( DATOS3!$1:$19996,A510,MATCH("SeriesDate", DATOS3!$1:$1,0)))</f>
        <v>#N/A</v>
      </c>
      <c r="G510" t="e">
        <f>IF(INDEX( DATOS3!$1:$19996,A510,MATCH("SeriesTime", DATOS3!$1:$1,0))=0,"",INDEX( DATOS3!$1:$19996,A510,MATCH("SeriesTime", DATOS3!$1:$1,0)))</f>
        <v>#N/A</v>
      </c>
      <c r="H510" t="e">
        <f>IF(INDEX( DATOS3!$1:$19996,A510,MATCH("StudyDescription", DATOS3!$1:$1,0))=0,"",INDEX( DATOS3!$1:$19996,A510,MATCH("StudyDescription", DATOS3!$1:$1,0)))</f>
        <v>#N/A</v>
      </c>
      <c r="I510" t="e">
        <f>IF(INDEX( DATOS3!$1:$19996,A510,MATCH("Dose_Area_Product_Total", DATOS3!$1:$1,0))=0,0,INDEX( DATOS3!$1:$19996,A510,MATCH("Dose_Area_Product", DATOS3!$1:$1,0)))</f>
        <v>#N/A</v>
      </c>
      <c r="J510" t="e">
        <f>IF(INDEX( DATOS3!$1:$19996,A510,MATCH("Dose_RP_Total", DATOS3!$1:$1,0))=0,0,INDEX( DATOS3!$1:$19996,A510,MATCH("Dose_RP", DATOS3!$1:$1,0)))</f>
        <v>#N/A</v>
      </c>
      <c r="K510" t="e">
        <f>IF(INDEX( DATOS3!$1:$19996,A510,MATCH("Total_Fluoro_Time", DATOS3!$1:$1,0))=0,0,INDEX( DATOS3!$1:$19996,A510,MATCH("Total_Fluoro_Time", DATOS3!$1:$1,0)))</f>
        <v>#N/A</v>
      </c>
    </row>
    <row r="511" spans="1:11" hidden="1" x14ac:dyDescent="0.25">
      <c r="A511">
        <v>511</v>
      </c>
      <c r="B511" t="e">
        <f t="shared" si="14"/>
        <v>#N/A</v>
      </c>
      <c r="C511" t="e">
        <f t="shared" si="15"/>
        <v>#N/A</v>
      </c>
      <c r="D511" t="e">
        <f>IF(INDEX( DATOS3!$1:$19996,A511,MATCH("PatientID", DATOS3!$1:$1,0))=0,"",INDEX( DATOS3!$1:$19996,A511,MATCH("PatientID", DATOS3!$1:$1,0)))</f>
        <v>#N/A</v>
      </c>
      <c r="F511" t="e">
        <f>IF(INDEX( DATOS3!$1:$19996,A511,MATCH("SeriesDate", DATOS3!$1:$1,0))=0,"",INDEX( DATOS3!$1:$19996,A511,MATCH("SeriesDate", DATOS3!$1:$1,0)))</f>
        <v>#N/A</v>
      </c>
      <c r="G511" t="e">
        <f>IF(INDEX( DATOS3!$1:$19996,A511,MATCH("SeriesTime", DATOS3!$1:$1,0))=0,"",INDEX( DATOS3!$1:$19996,A511,MATCH("SeriesTime", DATOS3!$1:$1,0)))</f>
        <v>#N/A</v>
      </c>
      <c r="H511" t="e">
        <f>IF(INDEX( DATOS3!$1:$19996,A511,MATCH("StudyDescription", DATOS3!$1:$1,0))=0,"",INDEX( DATOS3!$1:$19996,A511,MATCH("StudyDescription", DATOS3!$1:$1,0)))</f>
        <v>#N/A</v>
      </c>
      <c r="I511" t="e">
        <f>IF(INDEX( DATOS3!$1:$19996,A511,MATCH("Dose_Area_Product_Total", DATOS3!$1:$1,0))=0,0,INDEX( DATOS3!$1:$19996,A511,MATCH("Dose_Area_Product", DATOS3!$1:$1,0)))</f>
        <v>#N/A</v>
      </c>
      <c r="J511" t="e">
        <f>IF(INDEX( DATOS3!$1:$19996,A511,MATCH("Dose_RP_Total", DATOS3!$1:$1,0))=0,0,INDEX( DATOS3!$1:$19996,A511,MATCH("Dose_RP", DATOS3!$1:$1,0)))</f>
        <v>#N/A</v>
      </c>
      <c r="K511" t="e">
        <f>IF(INDEX( DATOS3!$1:$19996,A511,MATCH("Total_Fluoro_Time", DATOS3!$1:$1,0))=0,0,INDEX( DATOS3!$1:$19996,A511,MATCH("Total_Fluoro_Time", DATOS3!$1:$1,0)))</f>
        <v>#N/A</v>
      </c>
    </row>
    <row r="512" spans="1:11" hidden="1" x14ac:dyDescent="0.25">
      <c r="A512">
        <v>512</v>
      </c>
      <c r="B512" t="e">
        <f t="shared" si="14"/>
        <v>#N/A</v>
      </c>
      <c r="C512" t="e">
        <f t="shared" si="15"/>
        <v>#N/A</v>
      </c>
      <c r="D512" t="e">
        <f>IF(INDEX( DATOS3!$1:$19996,A512,MATCH("PatientID", DATOS3!$1:$1,0))=0,"",INDEX( DATOS3!$1:$19996,A512,MATCH("PatientID", DATOS3!$1:$1,0)))</f>
        <v>#N/A</v>
      </c>
      <c r="F512" t="e">
        <f>IF(INDEX( DATOS3!$1:$19996,A512,MATCH("SeriesDate", DATOS3!$1:$1,0))=0,"",INDEX( DATOS3!$1:$19996,A512,MATCH("SeriesDate", DATOS3!$1:$1,0)))</f>
        <v>#N/A</v>
      </c>
      <c r="G512" t="e">
        <f>IF(INDEX( DATOS3!$1:$19996,A512,MATCH("SeriesTime", DATOS3!$1:$1,0))=0,"",INDEX( DATOS3!$1:$19996,A512,MATCH("SeriesTime", DATOS3!$1:$1,0)))</f>
        <v>#N/A</v>
      </c>
      <c r="H512" t="e">
        <f>IF(INDEX( DATOS3!$1:$19996,A512,MATCH("StudyDescription", DATOS3!$1:$1,0))=0,"",INDEX( DATOS3!$1:$19996,A512,MATCH("StudyDescription", DATOS3!$1:$1,0)))</f>
        <v>#N/A</v>
      </c>
      <c r="I512" t="e">
        <f>IF(INDEX( DATOS3!$1:$19996,A512,MATCH("Dose_Area_Product_Total", DATOS3!$1:$1,0))=0,0,INDEX( DATOS3!$1:$19996,A512,MATCH("Dose_Area_Product", DATOS3!$1:$1,0)))</f>
        <v>#N/A</v>
      </c>
      <c r="J512" t="e">
        <f>IF(INDEX( DATOS3!$1:$19996,A512,MATCH("Dose_RP_Total", DATOS3!$1:$1,0))=0,0,INDEX( DATOS3!$1:$19996,A512,MATCH("Dose_RP", DATOS3!$1:$1,0)))</f>
        <v>#N/A</v>
      </c>
      <c r="K512" t="e">
        <f>IF(INDEX( DATOS3!$1:$19996,A512,MATCH("Total_Fluoro_Time", DATOS3!$1:$1,0))=0,0,INDEX( DATOS3!$1:$19996,A512,MATCH("Total_Fluoro_Time", DATOS3!$1:$1,0)))</f>
        <v>#N/A</v>
      </c>
    </row>
    <row r="513" spans="1:11" hidden="1" x14ac:dyDescent="0.25">
      <c r="A513">
        <v>513</v>
      </c>
      <c r="B513" t="e">
        <f t="shared" si="14"/>
        <v>#N/A</v>
      </c>
      <c r="C513" t="e">
        <f t="shared" si="15"/>
        <v>#N/A</v>
      </c>
      <c r="D513" t="e">
        <f>IF(INDEX( DATOS3!$1:$19996,A513,MATCH("PatientID", DATOS3!$1:$1,0))=0,"",INDEX( DATOS3!$1:$19996,A513,MATCH("PatientID", DATOS3!$1:$1,0)))</f>
        <v>#N/A</v>
      </c>
      <c r="F513" t="e">
        <f>IF(INDEX( DATOS3!$1:$19996,A513,MATCH("SeriesDate", DATOS3!$1:$1,0))=0,"",INDEX( DATOS3!$1:$19996,A513,MATCH("SeriesDate", DATOS3!$1:$1,0)))</f>
        <v>#N/A</v>
      </c>
      <c r="G513" t="e">
        <f>IF(INDEX( DATOS3!$1:$19996,A513,MATCH("SeriesTime", DATOS3!$1:$1,0))=0,"",INDEX( DATOS3!$1:$19996,A513,MATCH("SeriesTime", DATOS3!$1:$1,0)))</f>
        <v>#N/A</v>
      </c>
      <c r="H513" t="e">
        <f>IF(INDEX( DATOS3!$1:$19996,A513,MATCH("StudyDescription", DATOS3!$1:$1,0))=0,"",INDEX( DATOS3!$1:$19996,A513,MATCH("StudyDescription", DATOS3!$1:$1,0)))</f>
        <v>#N/A</v>
      </c>
      <c r="I513" t="e">
        <f>IF(INDEX( DATOS3!$1:$19996,A513,MATCH("Dose_Area_Product_Total", DATOS3!$1:$1,0))=0,0,INDEX( DATOS3!$1:$19996,A513,MATCH("Dose_Area_Product", DATOS3!$1:$1,0)))</f>
        <v>#N/A</v>
      </c>
      <c r="J513" t="e">
        <f>IF(INDEX( DATOS3!$1:$19996,A513,MATCH("Dose_RP_Total", DATOS3!$1:$1,0))=0,0,INDEX( DATOS3!$1:$19996,A513,MATCH("Dose_RP", DATOS3!$1:$1,0)))</f>
        <v>#N/A</v>
      </c>
      <c r="K513" t="e">
        <f>IF(INDEX( DATOS3!$1:$19996,A513,MATCH("Total_Fluoro_Time", DATOS3!$1:$1,0))=0,0,INDEX( DATOS3!$1:$19996,A513,MATCH("Total_Fluoro_Time", DATOS3!$1:$1,0)))</f>
        <v>#N/A</v>
      </c>
    </row>
    <row r="514" spans="1:11" hidden="1" x14ac:dyDescent="0.25">
      <c r="A514">
        <v>514</v>
      </c>
      <c r="B514" t="e">
        <f t="shared" si="14"/>
        <v>#N/A</v>
      </c>
      <c r="C514" t="e">
        <f t="shared" si="15"/>
        <v>#N/A</v>
      </c>
      <c r="D514" t="e">
        <f>IF(INDEX( DATOS3!$1:$19996,A514,MATCH("PatientID", DATOS3!$1:$1,0))=0,"",INDEX( DATOS3!$1:$19996,A514,MATCH("PatientID", DATOS3!$1:$1,0)))</f>
        <v>#N/A</v>
      </c>
      <c r="F514" t="e">
        <f>IF(INDEX( DATOS3!$1:$19996,A514,MATCH("SeriesDate", DATOS3!$1:$1,0))=0,"",INDEX( DATOS3!$1:$19996,A514,MATCH("SeriesDate", DATOS3!$1:$1,0)))</f>
        <v>#N/A</v>
      </c>
      <c r="G514" t="e">
        <f>IF(INDEX( DATOS3!$1:$19996,A514,MATCH("SeriesTime", DATOS3!$1:$1,0))=0,"",INDEX( DATOS3!$1:$19996,A514,MATCH("SeriesTime", DATOS3!$1:$1,0)))</f>
        <v>#N/A</v>
      </c>
      <c r="H514" t="e">
        <f>IF(INDEX( DATOS3!$1:$19996,A514,MATCH("StudyDescription", DATOS3!$1:$1,0))=0,"",INDEX( DATOS3!$1:$19996,A514,MATCH("StudyDescription", DATOS3!$1:$1,0)))</f>
        <v>#N/A</v>
      </c>
      <c r="I514" t="e">
        <f>IF(INDEX( DATOS3!$1:$19996,A514,MATCH("Dose_Area_Product_Total", DATOS3!$1:$1,0))=0,0,INDEX( DATOS3!$1:$19996,A514,MATCH("Dose_Area_Product", DATOS3!$1:$1,0)))</f>
        <v>#N/A</v>
      </c>
      <c r="J514" t="e">
        <f>IF(INDEX( DATOS3!$1:$19996,A514,MATCH("Dose_RP_Total", DATOS3!$1:$1,0))=0,0,INDEX( DATOS3!$1:$19996,A514,MATCH("Dose_RP", DATOS3!$1:$1,0)))</f>
        <v>#N/A</v>
      </c>
      <c r="K514" t="e">
        <f>IF(INDEX( DATOS3!$1:$19996,A514,MATCH("Total_Fluoro_Time", DATOS3!$1:$1,0))=0,0,INDEX( DATOS3!$1:$19996,A514,MATCH("Total_Fluoro_Time", DATOS3!$1:$1,0)))</f>
        <v>#N/A</v>
      </c>
    </row>
    <row r="515" spans="1:11" hidden="1" x14ac:dyDescent="0.25">
      <c r="A515">
        <v>515</v>
      </c>
      <c r="B515" t="e">
        <f t="shared" ref="B515:B578" si="16">IF(D515="","","ARTISZEE")</f>
        <v>#N/A</v>
      </c>
      <c r="C515" t="e">
        <f t="shared" ref="C515:C578" si="17">IF(B515="ARTISZEE","Cardiología","")</f>
        <v>#N/A</v>
      </c>
      <c r="D515" t="e">
        <f>IF(INDEX( DATOS3!$1:$19996,A515,MATCH("PatientID", DATOS3!$1:$1,0))=0,"",INDEX( DATOS3!$1:$19996,A515,MATCH("PatientID", DATOS3!$1:$1,0)))</f>
        <v>#N/A</v>
      </c>
      <c r="F515" t="e">
        <f>IF(INDEX( DATOS3!$1:$19996,A515,MATCH("SeriesDate", DATOS3!$1:$1,0))=0,"",INDEX( DATOS3!$1:$19996,A515,MATCH("SeriesDate", DATOS3!$1:$1,0)))</f>
        <v>#N/A</v>
      </c>
      <c r="G515" t="e">
        <f>IF(INDEX( DATOS3!$1:$19996,A515,MATCH("SeriesTime", DATOS3!$1:$1,0))=0,"",INDEX( DATOS3!$1:$19996,A515,MATCH("SeriesTime", DATOS3!$1:$1,0)))</f>
        <v>#N/A</v>
      </c>
      <c r="H515" t="e">
        <f>IF(INDEX( DATOS3!$1:$19996,A515,MATCH("StudyDescription", DATOS3!$1:$1,0))=0,"",INDEX( DATOS3!$1:$19996,A515,MATCH("StudyDescription", DATOS3!$1:$1,0)))</f>
        <v>#N/A</v>
      </c>
      <c r="I515" t="e">
        <f>IF(INDEX( DATOS3!$1:$19996,A515,MATCH("Dose_Area_Product_Total", DATOS3!$1:$1,0))=0,0,INDEX( DATOS3!$1:$19996,A515,MATCH("Dose_Area_Product", DATOS3!$1:$1,0)))</f>
        <v>#N/A</v>
      </c>
      <c r="J515" t="e">
        <f>IF(INDEX( DATOS3!$1:$19996,A515,MATCH("Dose_RP_Total", DATOS3!$1:$1,0))=0,0,INDEX( DATOS3!$1:$19996,A515,MATCH("Dose_RP", DATOS3!$1:$1,0)))</f>
        <v>#N/A</v>
      </c>
      <c r="K515" t="e">
        <f>IF(INDEX( DATOS3!$1:$19996,A515,MATCH("Total_Fluoro_Time", DATOS3!$1:$1,0))=0,0,INDEX( DATOS3!$1:$19996,A515,MATCH("Total_Fluoro_Time", DATOS3!$1:$1,0)))</f>
        <v>#N/A</v>
      </c>
    </row>
    <row r="516" spans="1:11" hidden="1" x14ac:dyDescent="0.25">
      <c r="A516">
        <v>516</v>
      </c>
      <c r="B516" t="e">
        <f t="shared" si="16"/>
        <v>#N/A</v>
      </c>
      <c r="C516" t="e">
        <f t="shared" si="17"/>
        <v>#N/A</v>
      </c>
      <c r="D516" t="e">
        <f>IF(INDEX( DATOS3!$1:$19996,A516,MATCH("PatientID", DATOS3!$1:$1,0))=0,"",INDEX( DATOS3!$1:$19996,A516,MATCH("PatientID", DATOS3!$1:$1,0)))</f>
        <v>#N/A</v>
      </c>
      <c r="F516" t="e">
        <f>IF(INDEX( DATOS3!$1:$19996,A516,MATCH("SeriesDate", DATOS3!$1:$1,0))=0,"",INDEX( DATOS3!$1:$19996,A516,MATCH("SeriesDate", DATOS3!$1:$1,0)))</f>
        <v>#N/A</v>
      </c>
      <c r="G516" t="e">
        <f>IF(INDEX( DATOS3!$1:$19996,A516,MATCH("SeriesTime", DATOS3!$1:$1,0))=0,"",INDEX( DATOS3!$1:$19996,A516,MATCH("SeriesTime", DATOS3!$1:$1,0)))</f>
        <v>#N/A</v>
      </c>
      <c r="H516" t="e">
        <f>IF(INDEX( DATOS3!$1:$19996,A516,MATCH("StudyDescription", DATOS3!$1:$1,0))=0,"",INDEX( DATOS3!$1:$19996,A516,MATCH("StudyDescription", DATOS3!$1:$1,0)))</f>
        <v>#N/A</v>
      </c>
      <c r="I516" t="e">
        <f>IF(INDEX( DATOS3!$1:$19996,A516,MATCH("Dose_Area_Product_Total", DATOS3!$1:$1,0))=0,0,INDEX( DATOS3!$1:$19996,A516,MATCH("Dose_Area_Product", DATOS3!$1:$1,0)))</f>
        <v>#N/A</v>
      </c>
      <c r="J516" t="e">
        <f>IF(INDEX( DATOS3!$1:$19996,A516,MATCH("Dose_RP_Total", DATOS3!$1:$1,0))=0,0,INDEX( DATOS3!$1:$19996,A516,MATCH("Dose_RP", DATOS3!$1:$1,0)))</f>
        <v>#N/A</v>
      </c>
      <c r="K516" t="e">
        <f>IF(INDEX( DATOS3!$1:$19996,A516,MATCH("Total_Fluoro_Time", DATOS3!$1:$1,0))=0,0,INDEX( DATOS3!$1:$19996,A516,MATCH("Total_Fluoro_Time", DATOS3!$1:$1,0)))</f>
        <v>#N/A</v>
      </c>
    </row>
    <row r="517" spans="1:11" hidden="1" x14ac:dyDescent="0.25">
      <c r="A517">
        <v>517</v>
      </c>
      <c r="B517" t="e">
        <f t="shared" si="16"/>
        <v>#N/A</v>
      </c>
      <c r="C517" t="e">
        <f t="shared" si="17"/>
        <v>#N/A</v>
      </c>
      <c r="D517" t="e">
        <f>IF(INDEX( DATOS3!$1:$19996,A517,MATCH("PatientID", DATOS3!$1:$1,0))=0,"",INDEX( DATOS3!$1:$19996,A517,MATCH("PatientID", DATOS3!$1:$1,0)))</f>
        <v>#N/A</v>
      </c>
      <c r="F517" t="e">
        <f>IF(INDEX( DATOS3!$1:$19996,A517,MATCH("SeriesDate", DATOS3!$1:$1,0))=0,"",INDEX( DATOS3!$1:$19996,A517,MATCH("SeriesDate", DATOS3!$1:$1,0)))</f>
        <v>#N/A</v>
      </c>
      <c r="G517" t="e">
        <f>IF(INDEX( DATOS3!$1:$19996,A517,MATCH("SeriesTime", DATOS3!$1:$1,0))=0,"",INDEX( DATOS3!$1:$19996,A517,MATCH("SeriesTime", DATOS3!$1:$1,0)))</f>
        <v>#N/A</v>
      </c>
      <c r="H517" t="e">
        <f>IF(INDEX( DATOS3!$1:$19996,A517,MATCH("StudyDescription", DATOS3!$1:$1,0))=0,"",INDEX( DATOS3!$1:$19996,A517,MATCH("StudyDescription", DATOS3!$1:$1,0)))</f>
        <v>#N/A</v>
      </c>
      <c r="I517" t="e">
        <f>IF(INDEX( DATOS3!$1:$19996,A517,MATCH("Dose_Area_Product_Total", DATOS3!$1:$1,0))=0,0,INDEX( DATOS3!$1:$19996,A517,MATCH("Dose_Area_Product", DATOS3!$1:$1,0)))</f>
        <v>#N/A</v>
      </c>
      <c r="J517" t="e">
        <f>IF(INDEX( DATOS3!$1:$19996,A517,MATCH("Dose_RP_Total", DATOS3!$1:$1,0))=0,0,INDEX( DATOS3!$1:$19996,A517,MATCH("Dose_RP", DATOS3!$1:$1,0)))</f>
        <v>#N/A</v>
      </c>
      <c r="K517" t="e">
        <f>IF(INDEX( DATOS3!$1:$19996,A517,MATCH("Total_Fluoro_Time", DATOS3!$1:$1,0))=0,0,INDEX( DATOS3!$1:$19996,A517,MATCH("Total_Fluoro_Time", DATOS3!$1:$1,0)))</f>
        <v>#N/A</v>
      </c>
    </row>
    <row r="518" spans="1:11" hidden="1" x14ac:dyDescent="0.25">
      <c r="A518">
        <v>518</v>
      </c>
      <c r="B518" t="e">
        <f t="shared" si="16"/>
        <v>#N/A</v>
      </c>
      <c r="C518" t="e">
        <f t="shared" si="17"/>
        <v>#N/A</v>
      </c>
      <c r="D518" t="e">
        <f>IF(INDEX( DATOS3!$1:$19996,A518,MATCH("PatientID", DATOS3!$1:$1,0))=0,"",INDEX( DATOS3!$1:$19996,A518,MATCH("PatientID", DATOS3!$1:$1,0)))</f>
        <v>#N/A</v>
      </c>
      <c r="F518" t="e">
        <f>IF(INDEX( DATOS3!$1:$19996,A518,MATCH("SeriesDate", DATOS3!$1:$1,0))=0,"",INDEX( DATOS3!$1:$19996,A518,MATCH("SeriesDate", DATOS3!$1:$1,0)))</f>
        <v>#N/A</v>
      </c>
      <c r="G518" t="e">
        <f>IF(INDEX( DATOS3!$1:$19996,A518,MATCH("SeriesTime", DATOS3!$1:$1,0))=0,"",INDEX( DATOS3!$1:$19996,A518,MATCH("SeriesTime", DATOS3!$1:$1,0)))</f>
        <v>#N/A</v>
      </c>
      <c r="H518" t="e">
        <f>IF(INDEX( DATOS3!$1:$19996,A518,MATCH("StudyDescription", DATOS3!$1:$1,0))=0,"",INDEX( DATOS3!$1:$19996,A518,MATCH("StudyDescription", DATOS3!$1:$1,0)))</f>
        <v>#N/A</v>
      </c>
      <c r="I518" t="e">
        <f>IF(INDEX( DATOS3!$1:$19996,A518,MATCH("Dose_Area_Product_Total", DATOS3!$1:$1,0))=0,0,INDEX( DATOS3!$1:$19996,A518,MATCH("Dose_Area_Product", DATOS3!$1:$1,0)))</f>
        <v>#N/A</v>
      </c>
      <c r="J518" t="e">
        <f>IF(INDEX( DATOS3!$1:$19996,A518,MATCH("Dose_RP_Total", DATOS3!$1:$1,0))=0,0,INDEX( DATOS3!$1:$19996,A518,MATCH("Dose_RP", DATOS3!$1:$1,0)))</f>
        <v>#N/A</v>
      </c>
      <c r="K518" t="e">
        <f>IF(INDEX( DATOS3!$1:$19996,A518,MATCH("Total_Fluoro_Time", DATOS3!$1:$1,0))=0,0,INDEX( DATOS3!$1:$19996,A518,MATCH("Total_Fluoro_Time", DATOS3!$1:$1,0)))</f>
        <v>#N/A</v>
      </c>
    </row>
    <row r="519" spans="1:11" hidden="1" x14ac:dyDescent="0.25">
      <c r="A519">
        <v>519</v>
      </c>
      <c r="B519" t="e">
        <f t="shared" si="16"/>
        <v>#N/A</v>
      </c>
      <c r="C519" t="e">
        <f t="shared" si="17"/>
        <v>#N/A</v>
      </c>
      <c r="D519" t="e">
        <f>IF(INDEX( DATOS3!$1:$19996,A519,MATCH("PatientID", DATOS3!$1:$1,0))=0,"",INDEX( DATOS3!$1:$19996,A519,MATCH("PatientID", DATOS3!$1:$1,0)))</f>
        <v>#N/A</v>
      </c>
      <c r="F519" t="e">
        <f>IF(INDEX( DATOS3!$1:$19996,A519,MATCH("SeriesDate", DATOS3!$1:$1,0))=0,"",INDEX( DATOS3!$1:$19996,A519,MATCH("SeriesDate", DATOS3!$1:$1,0)))</f>
        <v>#N/A</v>
      </c>
      <c r="G519" t="e">
        <f>IF(INDEX( DATOS3!$1:$19996,A519,MATCH("SeriesTime", DATOS3!$1:$1,0))=0,"",INDEX( DATOS3!$1:$19996,A519,MATCH("SeriesTime", DATOS3!$1:$1,0)))</f>
        <v>#N/A</v>
      </c>
      <c r="H519" t="e">
        <f>IF(INDEX( DATOS3!$1:$19996,A519,MATCH("StudyDescription", DATOS3!$1:$1,0))=0,"",INDEX( DATOS3!$1:$19996,A519,MATCH("StudyDescription", DATOS3!$1:$1,0)))</f>
        <v>#N/A</v>
      </c>
      <c r="I519" t="e">
        <f>IF(INDEX( DATOS3!$1:$19996,A519,MATCH("Dose_Area_Product_Total", DATOS3!$1:$1,0))=0,0,INDEX( DATOS3!$1:$19996,A519,MATCH("Dose_Area_Product", DATOS3!$1:$1,0)))</f>
        <v>#N/A</v>
      </c>
      <c r="J519" t="e">
        <f>IF(INDEX( DATOS3!$1:$19996,A519,MATCH("Dose_RP_Total", DATOS3!$1:$1,0))=0,0,INDEX( DATOS3!$1:$19996,A519,MATCH("Dose_RP", DATOS3!$1:$1,0)))</f>
        <v>#N/A</v>
      </c>
      <c r="K519" t="e">
        <f>IF(INDEX( DATOS3!$1:$19996,A519,MATCH("Total_Fluoro_Time", DATOS3!$1:$1,0))=0,0,INDEX( DATOS3!$1:$19996,A519,MATCH("Total_Fluoro_Time", DATOS3!$1:$1,0)))</f>
        <v>#N/A</v>
      </c>
    </row>
    <row r="520" spans="1:11" hidden="1" x14ac:dyDescent="0.25">
      <c r="A520">
        <v>520</v>
      </c>
      <c r="B520" t="e">
        <f t="shared" si="16"/>
        <v>#N/A</v>
      </c>
      <c r="C520" t="e">
        <f t="shared" si="17"/>
        <v>#N/A</v>
      </c>
      <c r="D520" t="e">
        <f>IF(INDEX( DATOS3!$1:$19996,A520,MATCH("PatientID", DATOS3!$1:$1,0))=0,"",INDEX( DATOS3!$1:$19996,A520,MATCH("PatientID", DATOS3!$1:$1,0)))</f>
        <v>#N/A</v>
      </c>
      <c r="F520" t="e">
        <f>IF(INDEX( DATOS3!$1:$19996,A520,MATCH("SeriesDate", DATOS3!$1:$1,0))=0,"",INDEX( DATOS3!$1:$19996,A520,MATCH("SeriesDate", DATOS3!$1:$1,0)))</f>
        <v>#N/A</v>
      </c>
      <c r="G520" t="e">
        <f>IF(INDEX( DATOS3!$1:$19996,A520,MATCH("SeriesTime", DATOS3!$1:$1,0))=0,"",INDEX( DATOS3!$1:$19996,A520,MATCH("SeriesTime", DATOS3!$1:$1,0)))</f>
        <v>#N/A</v>
      </c>
      <c r="H520" t="e">
        <f>IF(INDEX( DATOS3!$1:$19996,A520,MATCH("StudyDescription", DATOS3!$1:$1,0))=0,"",INDEX( DATOS3!$1:$19996,A520,MATCH("StudyDescription", DATOS3!$1:$1,0)))</f>
        <v>#N/A</v>
      </c>
      <c r="I520" t="e">
        <f>IF(INDEX( DATOS3!$1:$19996,A520,MATCH("Dose_Area_Product_Total", DATOS3!$1:$1,0))=0,0,INDEX( DATOS3!$1:$19996,A520,MATCH("Dose_Area_Product", DATOS3!$1:$1,0)))</f>
        <v>#N/A</v>
      </c>
      <c r="J520" t="e">
        <f>IF(INDEX( DATOS3!$1:$19996,A520,MATCH("Dose_RP_Total", DATOS3!$1:$1,0))=0,0,INDEX( DATOS3!$1:$19996,A520,MATCH("Dose_RP", DATOS3!$1:$1,0)))</f>
        <v>#N/A</v>
      </c>
      <c r="K520" t="e">
        <f>IF(INDEX( DATOS3!$1:$19996,A520,MATCH("Total_Fluoro_Time", DATOS3!$1:$1,0))=0,0,INDEX( DATOS3!$1:$19996,A520,MATCH("Total_Fluoro_Time", DATOS3!$1:$1,0)))</f>
        <v>#N/A</v>
      </c>
    </row>
    <row r="521" spans="1:11" hidden="1" x14ac:dyDescent="0.25">
      <c r="A521">
        <v>521</v>
      </c>
      <c r="B521" t="e">
        <f t="shared" si="16"/>
        <v>#N/A</v>
      </c>
      <c r="C521" t="e">
        <f t="shared" si="17"/>
        <v>#N/A</v>
      </c>
      <c r="D521" t="e">
        <f>IF(INDEX( DATOS3!$1:$19996,A521,MATCH("PatientID", DATOS3!$1:$1,0))=0,"",INDEX( DATOS3!$1:$19996,A521,MATCH("PatientID", DATOS3!$1:$1,0)))</f>
        <v>#N/A</v>
      </c>
      <c r="F521" t="e">
        <f>IF(INDEX( DATOS3!$1:$19996,A521,MATCH("SeriesDate", DATOS3!$1:$1,0))=0,"",INDEX( DATOS3!$1:$19996,A521,MATCH("SeriesDate", DATOS3!$1:$1,0)))</f>
        <v>#N/A</v>
      </c>
      <c r="G521" t="e">
        <f>IF(INDEX( DATOS3!$1:$19996,A521,MATCH("SeriesTime", DATOS3!$1:$1,0))=0,"",INDEX( DATOS3!$1:$19996,A521,MATCH("SeriesTime", DATOS3!$1:$1,0)))</f>
        <v>#N/A</v>
      </c>
      <c r="H521" t="e">
        <f>IF(INDEX( DATOS3!$1:$19996,A521,MATCH("StudyDescription", DATOS3!$1:$1,0))=0,"",INDEX( DATOS3!$1:$19996,A521,MATCH("StudyDescription", DATOS3!$1:$1,0)))</f>
        <v>#N/A</v>
      </c>
      <c r="I521" t="e">
        <f>IF(INDEX( DATOS3!$1:$19996,A521,MATCH("Dose_Area_Product_Total", DATOS3!$1:$1,0))=0,0,INDEX( DATOS3!$1:$19996,A521,MATCH("Dose_Area_Product", DATOS3!$1:$1,0)))</f>
        <v>#N/A</v>
      </c>
      <c r="J521" t="e">
        <f>IF(INDEX( DATOS3!$1:$19996,A521,MATCH("Dose_RP_Total", DATOS3!$1:$1,0))=0,0,INDEX( DATOS3!$1:$19996,A521,MATCH("Dose_RP", DATOS3!$1:$1,0)))</f>
        <v>#N/A</v>
      </c>
      <c r="K521" t="e">
        <f>IF(INDEX( DATOS3!$1:$19996,A521,MATCH("Total_Fluoro_Time", DATOS3!$1:$1,0))=0,0,INDEX( DATOS3!$1:$19996,A521,MATCH("Total_Fluoro_Time", DATOS3!$1:$1,0)))</f>
        <v>#N/A</v>
      </c>
    </row>
    <row r="522" spans="1:11" hidden="1" x14ac:dyDescent="0.25">
      <c r="A522">
        <v>522</v>
      </c>
      <c r="B522" t="e">
        <f t="shared" si="16"/>
        <v>#N/A</v>
      </c>
      <c r="C522" t="e">
        <f t="shared" si="17"/>
        <v>#N/A</v>
      </c>
      <c r="D522" t="e">
        <f>IF(INDEX( DATOS3!$1:$19996,A522,MATCH("PatientID", DATOS3!$1:$1,0))=0,"",INDEX( DATOS3!$1:$19996,A522,MATCH("PatientID", DATOS3!$1:$1,0)))</f>
        <v>#N/A</v>
      </c>
      <c r="F522" t="e">
        <f>IF(INDEX( DATOS3!$1:$19996,A522,MATCH("SeriesDate", DATOS3!$1:$1,0))=0,"",INDEX( DATOS3!$1:$19996,A522,MATCH("SeriesDate", DATOS3!$1:$1,0)))</f>
        <v>#N/A</v>
      </c>
      <c r="G522" t="e">
        <f>IF(INDEX( DATOS3!$1:$19996,A522,MATCH("SeriesTime", DATOS3!$1:$1,0))=0,"",INDEX( DATOS3!$1:$19996,A522,MATCH("SeriesTime", DATOS3!$1:$1,0)))</f>
        <v>#N/A</v>
      </c>
      <c r="H522" t="e">
        <f>IF(INDEX( DATOS3!$1:$19996,A522,MATCH("StudyDescription", DATOS3!$1:$1,0))=0,"",INDEX( DATOS3!$1:$19996,A522,MATCH("StudyDescription", DATOS3!$1:$1,0)))</f>
        <v>#N/A</v>
      </c>
      <c r="I522" t="e">
        <f>IF(INDEX( DATOS3!$1:$19996,A522,MATCH("Dose_Area_Product_Total", DATOS3!$1:$1,0))=0,0,INDEX( DATOS3!$1:$19996,A522,MATCH("Dose_Area_Product", DATOS3!$1:$1,0)))</f>
        <v>#N/A</v>
      </c>
      <c r="J522" t="e">
        <f>IF(INDEX( DATOS3!$1:$19996,A522,MATCH("Dose_RP_Total", DATOS3!$1:$1,0))=0,0,INDEX( DATOS3!$1:$19996,A522,MATCH("Dose_RP", DATOS3!$1:$1,0)))</f>
        <v>#N/A</v>
      </c>
      <c r="K522" t="e">
        <f>IF(INDEX( DATOS3!$1:$19996,A522,MATCH("Total_Fluoro_Time", DATOS3!$1:$1,0))=0,0,INDEX( DATOS3!$1:$19996,A522,MATCH("Total_Fluoro_Time", DATOS3!$1:$1,0)))</f>
        <v>#N/A</v>
      </c>
    </row>
    <row r="523" spans="1:11" hidden="1" x14ac:dyDescent="0.25">
      <c r="A523">
        <v>523</v>
      </c>
      <c r="B523" t="e">
        <f t="shared" si="16"/>
        <v>#N/A</v>
      </c>
      <c r="C523" t="e">
        <f t="shared" si="17"/>
        <v>#N/A</v>
      </c>
      <c r="D523" t="e">
        <f>IF(INDEX( DATOS3!$1:$19996,A523,MATCH("PatientID", DATOS3!$1:$1,0))=0,"",INDEX( DATOS3!$1:$19996,A523,MATCH("PatientID", DATOS3!$1:$1,0)))</f>
        <v>#N/A</v>
      </c>
      <c r="F523" t="e">
        <f>IF(INDEX( DATOS3!$1:$19996,A523,MATCH("SeriesDate", DATOS3!$1:$1,0))=0,"",INDEX( DATOS3!$1:$19996,A523,MATCH("SeriesDate", DATOS3!$1:$1,0)))</f>
        <v>#N/A</v>
      </c>
      <c r="G523" t="e">
        <f>IF(INDEX( DATOS3!$1:$19996,A523,MATCH("SeriesTime", DATOS3!$1:$1,0))=0,"",INDEX( DATOS3!$1:$19996,A523,MATCH("SeriesTime", DATOS3!$1:$1,0)))</f>
        <v>#N/A</v>
      </c>
      <c r="H523" t="e">
        <f>IF(INDEX( DATOS3!$1:$19996,A523,MATCH("StudyDescription", DATOS3!$1:$1,0))=0,"",INDEX( DATOS3!$1:$19996,A523,MATCH("StudyDescription", DATOS3!$1:$1,0)))</f>
        <v>#N/A</v>
      </c>
      <c r="I523" t="e">
        <f>IF(INDEX( DATOS3!$1:$19996,A523,MATCH("Dose_Area_Product_Total", DATOS3!$1:$1,0))=0,0,INDEX( DATOS3!$1:$19996,A523,MATCH("Dose_Area_Product", DATOS3!$1:$1,0)))</f>
        <v>#N/A</v>
      </c>
      <c r="J523" t="e">
        <f>IF(INDEX( DATOS3!$1:$19996,A523,MATCH("Dose_RP_Total", DATOS3!$1:$1,0))=0,0,INDEX( DATOS3!$1:$19996,A523,MATCH("Dose_RP", DATOS3!$1:$1,0)))</f>
        <v>#N/A</v>
      </c>
      <c r="K523" t="e">
        <f>IF(INDEX( DATOS3!$1:$19996,A523,MATCH("Total_Fluoro_Time", DATOS3!$1:$1,0))=0,0,INDEX( DATOS3!$1:$19996,A523,MATCH("Total_Fluoro_Time", DATOS3!$1:$1,0)))</f>
        <v>#N/A</v>
      </c>
    </row>
    <row r="524" spans="1:11" hidden="1" x14ac:dyDescent="0.25">
      <c r="A524">
        <v>524</v>
      </c>
      <c r="B524" t="e">
        <f t="shared" si="16"/>
        <v>#N/A</v>
      </c>
      <c r="C524" t="e">
        <f t="shared" si="17"/>
        <v>#N/A</v>
      </c>
      <c r="D524" t="e">
        <f>IF(INDEX( DATOS3!$1:$19996,A524,MATCH("PatientID", DATOS3!$1:$1,0))=0,"",INDEX( DATOS3!$1:$19996,A524,MATCH("PatientID", DATOS3!$1:$1,0)))</f>
        <v>#N/A</v>
      </c>
      <c r="F524" t="e">
        <f>IF(INDEX( DATOS3!$1:$19996,A524,MATCH("SeriesDate", DATOS3!$1:$1,0))=0,"",INDEX( DATOS3!$1:$19996,A524,MATCH("SeriesDate", DATOS3!$1:$1,0)))</f>
        <v>#N/A</v>
      </c>
      <c r="G524" t="e">
        <f>IF(INDEX( DATOS3!$1:$19996,A524,MATCH("SeriesTime", DATOS3!$1:$1,0))=0,"",INDEX( DATOS3!$1:$19996,A524,MATCH("SeriesTime", DATOS3!$1:$1,0)))</f>
        <v>#N/A</v>
      </c>
      <c r="H524" t="e">
        <f>IF(INDEX( DATOS3!$1:$19996,A524,MATCH("StudyDescription", DATOS3!$1:$1,0))=0,"",INDEX( DATOS3!$1:$19996,A524,MATCH("StudyDescription", DATOS3!$1:$1,0)))</f>
        <v>#N/A</v>
      </c>
      <c r="I524" t="e">
        <f>IF(INDEX( DATOS3!$1:$19996,A524,MATCH("Dose_Area_Product_Total", DATOS3!$1:$1,0))=0,0,INDEX( DATOS3!$1:$19996,A524,MATCH("Dose_Area_Product", DATOS3!$1:$1,0)))</f>
        <v>#N/A</v>
      </c>
      <c r="J524" t="e">
        <f>IF(INDEX( DATOS3!$1:$19996,A524,MATCH("Dose_RP_Total", DATOS3!$1:$1,0))=0,0,INDEX( DATOS3!$1:$19996,A524,MATCH("Dose_RP", DATOS3!$1:$1,0)))</f>
        <v>#N/A</v>
      </c>
      <c r="K524" t="e">
        <f>IF(INDEX( DATOS3!$1:$19996,A524,MATCH("Total_Fluoro_Time", DATOS3!$1:$1,0))=0,0,INDEX( DATOS3!$1:$19996,A524,MATCH("Total_Fluoro_Time", DATOS3!$1:$1,0)))</f>
        <v>#N/A</v>
      </c>
    </row>
    <row r="525" spans="1:11" hidden="1" x14ac:dyDescent="0.25">
      <c r="A525">
        <v>525</v>
      </c>
      <c r="B525" t="e">
        <f t="shared" si="16"/>
        <v>#N/A</v>
      </c>
      <c r="C525" t="e">
        <f t="shared" si="17"/>
        <v>#N/A</v>
      </c>
      <c r="D525" t="e">
        <f>IF(INDEX( DATOS3!$1:$19996,A525,MATCH("PatientID", DATOS3!$1:$1,0))=0,"",INDEX( DATOS3!$1:$19996,A525,MATCH("PatientID", DATOS3!$1:$1,0)))</f>
        <v>#N/A</v>
      </c>
      <c r="F525" t="e">
        <f>IF(INDEX( DATOS3!$1:$19996,A525,MATCH("SeriesDate", DATOS3!$1:$1,0))=0,"",INDEX( DATOS3!$1:$19996,A525,MATCH("SeriesDate", DATOS3!$1:$1,0)))</f>
        <v>#N/A</v>
      </c>
      <c r="G525" t="e">
        <f>IF(INDEX( DATOS3!$1:$19996,A525,MATCH("SeriesTime", DATOS3!$1:$1,0))=0,"",INDEX( DATOS3!$1:$19996,A525,MATCH("SeriesTime", DATOS3!$1:$1,0)))</f>
        <v>#N/A</v>
      </c>
      <c r="H525" t="e">
        <f>IF(INDEX( DATOS3!$1:$19996,A525,MATCH("StudyDescription", DATOS3!$1:$1,0))=0,"",INDEX( DATOS3!$1:$19996,A525,MATCH("StudyDescription", DATOS3!$1:$1,0)))</f>
        <v>#N/A</v>
      </c>
      <c r="I525" t="e">
        <f>IF(INDEX( DATOS3!$1:$19996,A525,MATCH("Dose_Area_Product_Total", DATOS3!$1:$1,0))=0,0,INDEX( DATOS3!$1:$19996,A525,MATCH("Dose_Area_Product", DATOS3!$1:$1,0)))</f>
        <v>#N/A</v>
      </c>
      <c r="J525" t="e">
        <f>IF(INDEX( DATOS3!$1:$19996,A525,MATCH("Dose_RP_Total", DATOS3!$1:$1,0))=0,0,INDEX( DATOS3!$1:$19996,A525,MATCH("Dose_RP", DATOS3!$1:$1,0)))</f>
        <v>#N/A</v>
      </c>
      <c r="K525" t="e">
        <f>IF(INDEX( DATOS3!$1:$19996,A525,MATCH("Total_Fluoro_Time", DATOS3!$1:$1,0))=0,0,INDEX( DATOS3!$1:$19996,A525,MATCH("Total_Fluoro_Time", DATOS3!$1:$1,0)))</f>
        <v>#N/A</v>
      </c>
    </row>
    <row r="526" spans="1:11" hidden="1" x14ac:dyDescent="0.25">
      <c r="A526">
        <v>526</v>
      </c>
      <c r="B526" t="e">
        <f t="shared" si="16"/>
        <v>#N/A</v>
      </c>
      <c r="C526" t="e">
        <f t="shared" si="17"/>
        <v>#N/A</v>
      </c>
      <c r="D526" t="e">
        <f>IF(INDEX( DATOS3!$1:$19996,A526,MATCH("PatientID", DATOS3!$1:$1,0))=0,"",INDEX( DATOS3!$1:$19996,A526,MATCH("PatientID", DATOS3!$1:$1,0)))</f>
        <v>#N/A</v>
      </c>
      <c r="F526" t="e">
        <f>IF(INDEX( DATOS3!$1:$19996,A526,MATCH("SeriesDate", DATOS3!$1:$1,0))=0,"",INDEX( DATOS3!$1:$19996,A526,MATCH("SeriesDate", DATOS3!$1:$1,0)))</f>
        <v>#N/A</v>
      </c>
      <c r="G526" t="e">
        <f>IF(INDEX( DATOS3!$1:$19996,A526,MATCH("SeriesTime", DATOS3!$1:$1,0))=0,"",INDEX( DATOS3!$1:$19996,A526,MATCH("SeriesTime", DATOS3!$1:$1,0)))</f>
        <v>#N/A</v>
      </c>
      <c r="H526" t="e">
        <f>IF(INDEX( DATOS3!$1:$19996,A526,MATCH("StudyDescription", DATOS3!$1:$1,0))=0,"",INDEX( DATOS3!$1:$19996,A526,MATCH("StudyDescription", DATOS3!$1:$1,0)))</f>
        <v>#N/A</v>
      </c>
      <c r="I526" t="e">
        <f>IF(INDEX( DATOS3!$1:$19996,A526,MATCH("Dose_Area_Product_Total", DATOS3!$1:$1,0))=0,0,INDEX( DATOS3!$1:$19996,A526,MATCH("Dose_Area_Product", DATOS3!$1:$1,0)))</f>
        <v>#N/A</v>
      </c>
      <c r="J526" t="e">
        <f>IF(INDEX( DATOS3!$1:$19996,A526,MATCH("Dose_RP_Total", DATOS3!$1:$1,0))=0,0,INDEX( DATOS3!$1:$19996,A526,MATCH("Dose_RP", DATOS3!$1:$1,0)))</f>
        <v>#N/A</v>
      </c>
      <c r="K526" t="e">
        <f>IF(INDEX( DATOS3!$1:$19996,A526,MATCH("Total_Fluoro_Time", DATOS3!$1:$1,0))=0,0,INDEX( DATOS3!$1:$19996,A526,MATCH("Total_Fluoro_Time", DATOS3!$1:$1,0)))</f>
        <v>#N/A</v>
      </c>
    </row>
    <row r="527" spans="1:11" hidden="1" x14ac:dyDescent="0.25">
      <c r="A527">
        <v>527</v>
      </c>
      <c r="B527" t="e">
        <f t="shared" si="16"/>
        <v>#N/A</v>
      </c>
      <c r="C527" t="e">
        <f t="shared" si="17"/>
        <v>#N/A</v>
      </c>
      <c r="D527" t="e">
        <f>IF(INDEX( DATOS3!$1:$19996,A527,MATCH("PatientID", DATOS3!$1:$1,0))=0,"",INDEX( DATOS3!$1:$19996,A527,MATCH("PatientID", DATOS3!$1:$1,0)))</f>
        <v>#N/A</v>
      </c>
      <c r="F527" t="e">
        <f>IF(INDEX( DATOS3!$1:$19996,A527,MATCH("SeriesDate", DATOS3!$1:$1,0))=0,"",INDEX( DATOS3!$1:$19996,A527,MATCH("SeriesDate", DATOS3!$1:$1,0)))</f>
        <v>#N/A</v>
      </c>
      <c r="G527" t="e">
        <f>IF(INDEX( DATOS3!$1:$19996,A527,MATCH("SeriesTime", DATOS3!$1:$1,0))=0,"",INDEX( DATOS3!$1:$19996,A527,MATCH("SeriesTime", DATOS3!$1:$1,0)))</f>
        <v>#N/A</v>
      </c>
      <c r="H527" t="e">
        <f>IF(INDEX( DATOS3!$1:$19996,A527,MATCH("StudyDescription", DATOS3!$1:$1,0))=0,"",INDEX( DATOS3!$1:$19996,A527,MATCH("StudyDescription", DATOS3!$1:$1,0)))</f>
        <v>#N/A</v>
      </c>
      <c r="I527" t="e">
        <f>IF(INDEX( DATOS3!$1:$19996,A527,MATCH("Dose_Area_Product_Total", DATOS3!$1:$1,0))=0,0,INDEX( DATOS3!$1:$19996,A527,MATCH("Dose_Area_Product", DATOS3!$1:$1,0)))</f>
        <v>#N/A</v>
      </c>
      <c r="J527" t="e">
        <f>IF(INDEX( DATOS3!$1:$19996,A527,MATCH("Dose_RP_Total", DATOS3!$1:$1,0))=0,0,INDEX( DATOS3!$1:$19996,A527,MATCH("Dose_RP", DATOS3!$1:$1,0)))</f>
        <v>#N/A</v>
      </c>
      <c r="K527" t="e">
        <f>IF(INDEX( DATOS3!$1:$19996,A527,MATCH("Total_Fluoro_Time", DATOS3!$1:$1,0))=0,0,INDEX( DATOS3!$1:$19996,A527,MATCH("Total_Fluoro_Time", DATOS3!$1:$1,0)))</f>
        <v>#N/A</v>
      </c>
    </row>
    <row r="528" spans="1:11" hidden="1" x14ac:dyDescent="0.25">
      <c r="A528">
        <v>528</v>
      </c>
      <c r="B528" t="e">
        <f t="shared" si="16"/>
        <v>#N/A</v>
      </c>
      <c r="C528" t="e">
        <f t="shared" si="17"/>
        <v>#N/A</v>
      </c>
      <c r="D528" t="e">
        <f>IF(INDEX( DATOS3!$1:$19996,A528,MATCH("PatientID", DATOS3!$1:$1,0))=0,"",INDEX( DATOS3!$1:$19996,A528,MATCH("PatientID", DATOS3!$1:$1,0)))</f>
        <v>#N/A</v>
      </c>
      <c r="F528" t="e">
        <f>IF(INDEX( DATOS3!$1:$19996,A528,MATCH("SeriesDate", DATOS3!$1:$1,0))=0,"",INDEX( DATOS3!$1:$19996,A528,MATCH("SeriesDate", DATOS3!$1:$1,0)))</f>
        <v>#N/A</v>
      </c>
      <c r="G528" t="e">
        <f>IF(INDEX( DATOS3!$1:$19996,A528,MATCH("SeriesTime", DATOS3!$1:$1,0))=0,"",INDEX( DATOS3!$1:$19996,A528,MATCH("SeriesTime", DATOS3!$1:$1,0)))</f>
        <v>#N/A</v>
      </c>
      <c r="H528" t="e">
        <f>IF(INDEX( DATOS3!$1:$19996,A528,MATCH("StudyDescription", DATOS3!$1:$1,0))=0,"",INDEX( DATOS3!$1:$19996,A528,MATCH("StudyDescription", DATOS3!$1:$1,0)))</f>
        <v>#N/A</v>
      </c>
      <c r="I528" t="e">
        <f>IF(INDEX( DATOS3!$1:$19996,A528,MATCH("Dose_Area_Product_Total", DATOS3!$1:$1,0))=0,0,INDEX( DATOS3!$1:$19996,A528,MATCH("Dose_Area_Product", DATOS3!$1:$1,0)))</f>
        <v>#N/A</v>
      </c>
      <c r="J528" t="e">
        <f>IF(INDEX( DATOS3!$1:$19996,A528,MATCH("Dose_RP_Total", DATOS3!$1:$1,0))=0,0,INDEX( DATOS3!$1:$19996,A528,MATCH("Dose_RP", DATOS3!$1:$1,0)))</f>
        <v>#N/A</v>
      </c>
      <c r="K528" t="e">
        <f>IF(INDEX( DATOS3!$1:$19996,A528,MATCH("Total_Fluoro_Time", DATOS3!$1:$1,0))=0,0,INDEX( DATOS3!$1:$19996,A528,MATCH("Total_Fluoro_Time", DATOS3!$1:$1,0)))</f>
        <v>#N/A</v>
      </c>
    </row>
    <row r="529" spans="1:11" hidden="1" x14ac:dyDescent="0.25">
      <c r="A529">
        <v>529</v>
      </c>
      <c r="B529" t="e">
        <f t="shared" si="16"/>
        <v>#N/A</v>
      </c>
      <c r="C529" t="e">
        <f t="shared" si="17"/>
        <v>#N/A</v>
      </c>
      <c r="D529" t="e">
        <f>IF(INDEX( DATOS3!$1:$19996,A529,MATCH("PatientID", DATOS3!$1:$1,0))=0,"",INDEX( DATOS3!$1:$19996,A529,MATCH("PatientID", DATOS3!$1:$1,0)))</f>
        <v>#N/A</v>
      </c>
      <c r="F529" t="e">
        <f>IF(INDEX( DATOS3!$1:$19996,A529,MATCH("SeriesDate", DATOS3!$1:$1,0))=0,"",INDEX( DATOS3!$1:$19996,A529,MATCH("SeriesDate", DATOS3!$1:$1,0)))</f>
        <v>#N/A</v>
      </c>
      <c r="G529" t="e">
        <f>IF(INDEX( DATOS3!$1:$19996,A529,MATCH("SeriesTime", DATOS3!$1:$1,0))=0,"",INDEX( DATOS3!$1:$19996,A529,MATCH("SeriesTime", DATOS3!$1:$1,0)))</f>
        <v>#N/A</v>
      </c>
      <c r="H529" t="e">
        <f>IF(INDEX( DATOS3!$1:$19996,A529,MATCH("StudyDescription", DATOS3!$1:$1,0))=0,"",INDEX( DATOS3!$1:$19996,A529,MATCH("StudyDescription", DATOS3!$1:$1,0)))</f>
        <v>#N/A</v>
      </c>
      <c r="I529" t="e">
        <f>IF(INDEX( DATOS3!$1:$19996,A529,MATCH("Dose_Area_Product_Total", DATOS3!$1:$1,0))=0,0,INDEX( DATOS3!$1:$19996,A529,MATCH("Dose_Area_Product", DATOS3!$1:$1,0)))</f>
        <v>#N/A</v>
      </c>
      <c r="J529" t="e">
        <f>IF(INDEX( DATOS3!$1:$19996,A529,MATCH("Dose_RP_Total", DATOS3!$1:$1,0))=0,0,INDEX( DATOS3!$1:$19996,A529,MATCH("Dose_RP", DATOS3!$1:$1,0)))</f>
        <v>#N/A</v>
      </c>
      <c r="K529" t="e">
        <f>IF(INDEX( DATOS3!$1:$19996,A529,MATCH("Total_Fluoro_Time", DATOS3!$1:$1,0))=0,0,INDEX( DATOS3!$1:$19996,A529,MATCH("Total_Fluoro_Time", DATOS3!$1:$1,0)))</f>
        <v>#N/A</v>
      </c>
    </row>
    <row r="530" spans="1:11" hidden="1" x14ac:dyDescent="0.25">
      <c r="A530">
        <v>530</v>
      </c>
      <c r="B530" t="e">
        <f t="shared" si="16"/>
        <v>#N/A</v>
      </c>
      <c r="C530" t="e">
        <f t="shared" si="17"/>
        <v>#N/A</v>
      </c>
      <c r="D530" t="e">
        <f>IF(INDEX( DATOS3!$1:$19996,A530,MATCH("PatientID", DATOS3!$1:$1,0))=0,"",INDEX( DATOS3!$1:$19996,A530,MATCH("PatientID", DATOS3!$1:$1,0)))</f>
        <v>#N/A</v>
      </c>
      <c r="F530" t="e">
        <f>IF(INDEX( DATOS3!$1:$19996,A530,MATCH("SeriesDate", DATOS3!$1:$1,0))=0,"",INDEX( DATOS3!$1:$19996,A530,MATCH("SeriesDate", DATOS3!$1:$1,0)))</f>
        <v>#N/A</v>
      </c>
      <c r="G530" t="e">
        <f>IF(INDEX( DATOS3!$1:$19996,A530,MATCH("SeriesTime", DATOS3!$1:$1,0))=0,"",INDEX( DATOS3!$1:$19996,A530,MATCH("SeriesTime", DATOS3!$1:$1,0)))</f>
        <v>#N/A</v>
      </c>
      <c r="H530" t="e">
        <f>IF(INDEX( DATOS3!$1:$19996,A530,MATCH("StudyDescription", DATOS3!$1:$1,0))=0,"",INDEX( DATOS3!$1:$19996,A530,MATCH("StudyDescription", DATOS3!$1:$1,0)))</f>
        <v>#N/A</v>
      </c>
      <c r="I530" t="e">
        <f>IF(INDEX( DATOS3!$1:$19996,A530,MATCH("Dose_Area_Product_Total", DATOS3!$1:$1,0))=0,0,INDEX( DATOS3!$1:$19996,A530,MATCH("Dose_Area_Product", DATOS3!$1:$1,0)))</f>
        <v>#N/A</v>
      </c>
      <c r="J530" t="e">
        <f>IF(INDEX( DATOS3!$1:$19996,A530,MATCH("Dose_RP_Total", DATOS3!$1:$1,0))=0,0,INDEX( DATOS3!$1:$19996,A530,MATCH("Dose_RP", DATOS3!$1:$1,0)))</f>
        <v>#N/A</v>
      </c>
      <c r="K530" t="e">
        <f>IF(INDEX( DATOS3!$1:$19996,A530,MATCH("Total_Fluoro_Time", DATOS3!$1:$1,0))=0,0,INDEX( DATOS3!$1:$19996,A530,MATCH("Total_Fluoro_Time", DATOS3!$1:$1,0)))</f>
        <v>#N/A</v>
      </c>
    </row>
    <row r="531" spans="1:11" hidden="1" x14ac:dyDescent="0.25">
      <c r="A531">
        <v>531</v>
      </c>
      <c r="B531" t="e">
        <f t="shared" si="16"/>
        <v>#N/A</v>
      </c>
      <c r="C531" t="e">
        <f t="shared" si="17"/>
        <v>#N/A</v>
      </c>
      <c r="D531" t="e">
        <f>IF(INDEX( DATOS3!$1:$19996,A531,MATCH("PatientID", DATOS3!$1:$1,0))=0,"",INDEX( DATOS3!$1:$19996,A531,MATCH("PatientID", DATOS3!$1:$1,0)))</f>
        <v>#N/A</v>
      </c>
      <c r="F531" t="e">
        <f>IF(INDEX( DATOS3!$1:$19996,A531,MATCH("SeriesDate", DATOS3!$1:$1,0))=0,"",INDEX( DATOS3!$1:$19996,A531,MATCH("SeriesDate", DATOS3!$1:$1,0)))</f>
        <v>#N/A</v>
      </c>
      <c r="G531" t="e">
        <f>IF(INDEX( DATOS3!$1:$19996,A531,MATCH("SeriesTime", DATOS3!$1:$1,0))=0,"",INDEX( DATOS3!$1:$19996,A531,MATCH("SeriesTime", DATOS3!$1:$1,0)))</f>
        <v>#N/A</v>
      </c>
      <c r="H531" t="e">
        <f>IF(INDEX( DATOS3!$1:$19996,A531,MATCH("StudyDescription", DATOS3!$1:$1,0))=0,"",INDEX( DATOS3!$1:$19996,A531,MATCH("StudyDescription", DATOS3!$1:$1,0)))</f>
        <v>#N/A</v>
      </c>
      <c r="I531" t="e">
        <f>IF(INDEX( DATOS3!$1:$19996,A531,MATCH("Dose_Area_Product_Total", DATOS3!$1:$1,0))=0,0,INDEX( DATOS3!$1:$19996,A531,MATCH("Dose_Area_Product", DATOS3!$1:$1,0)))</f>
        <v>#N/A</v>
      </c>
      <c r="J531" t="e">
        <f>IF(INDEX( DATOS3!$1:$19996,A531,MATCH("Dose_RP_Total", DATOS3!$1:$1,0))=0,0,INDEX( DATOS3!$1:$19996,A531,MATCH("Dose_RP", DATOS3!$1:$1,0)))</f>
        <v>#N/A</v>
      </c>
      <c r="K531" t="e">
        <f>IF(INDEX( DATOS3!$1:$19996,A531,MATCH("Total_Fluoro_Time", DATOS3!$1:$1,0))=0,0,INDEX( DATOS3!$1:$19996,A531,MATCH("Total_Fluoro_Time", DATOS3!$1:$1,0)))</f>
        <v>#N/A</v>
      </c>
    </row>
    <row r="532" spans="1:11" hidden="1" x14ac:dyDescent="0.25">
      <c r="A532">
        <v>532</v>
      </c>
      <c r="B532" t="e">
        <f t="shared" si="16"/>
        <v>#N/A</v>
      </c>
      <c r="C532" t="e">
        <f t="shared" si="17"/>
        <v>#N/A</v>
      </c>
      <c r="D532" t="e">
        <f>IF(INDEX( DATOS3!$1:$19996,A532,MATCH("PatientID", DATOS3!$1:$1,0))=0,"",INDEX( DATOS3!$1:$19996,A532,MATCH("PatientID", DATOS3!$1:$1,0)))</f>
        <v>#N/A</v>
      </c>
      <c r="F532" t="e">
        <f>IF(INDEX( DATOS3!$1:$19996,A532,MATCH("SeriesDate", DATOS3!$1:$1,0))=0,"",INDEX( DATOS3!$1:$19996,A532,MATCH("SeriesDate", DATOS3!$1:$1,0)))</f>
        <v>#N/A</v>
      </c>
      <c r="G532" t="e">
        <f>IF(INDEX( DATOS3!$1:$19996,A532,MATCH("SeriesTime", DATOS3!$1:$1,0))=0,"",INDEX( DATOS3!$1:$19996,A532,MATCH("SeriesTime", DATOS3!$1:$1,0)))</f>
        <v>#N/A</v>
      </c>
      <c r="H532" t="e">
        <f>IF(INDEX( DATOS3!$1:$19996,A532,MATCH("StudyDescription", DATOS3!$1:$1,0))=0,"",INDEX( DATOS3!$1:$19996,A532,MATCH("StudyDescription", DATOS3!$1:$1,0)))</f>
        <v>#N/A</v>
      </c>
      <c r="I532" t="e">
        <f>IF(INDEX( DATOS3!$1:$19996,A532,MATCH("Dose_Area_Product_Total", DATOS3!$1:$1,0))=0,0,INDEX( DATOS3!$1:$19996,A532,MATCH("Dose_Area_Product", DATOS3!$1:$1,0)))</f>
        <v>#N/A</v>
      </c>
      <c r="J532" t="e">
        <f>IF(INDEX( DATOS3!$1:$19996,A532,MATCH("Dose_RP_Total", DATOS3!$1:$1,0))=0,0,INDEX( DATOS3!$1:$19996,A532,MATCH("Dose_RP", DATOS3!$1:$1,0)))</f>
        <v>#N/A</v>
      </c>
      <c r="K532" t="e">
        <f>IF(INDEX( DATOS3!$1:$19996,A532,MATCH("Total_Fluoro_Time", DATOS3!$1:$1,0))=0,0,INDEX( DATOS3!$1:$19996,A532,MATCH("Total_Fluoro_Time", DATOS3!$1:$1,0)))</f>
        <v>#N/A</v>
      </c>
    </row>
    <row r="533" spans="1:11" hidden="1" x14ac:dyDescent="0.25">
      <c r="A533">
        <v>533</v>
      </c>
      <c r="B533" t="e">
        <f t="shared" si="16"/>
        <v>#N/A</v>
      </c>
      <c r="C533" t="e">
        <f t="shared" si="17"/>
        <v>#N/A</v>
      </c>
      <c r="D533" t="e">
        <f>IF(INDEX( DATOS3!$1:$19996,A533,MATCH("PatientID", DATOS3!$1:$1,0))=0,"",INDEX( DATOS3!$1:$19996,A533,MATCH("PatientID", DATOS3!$1:$1,0)))</f>
        <v>#N/A</v>
      </c>
      <c r="F533" t="e">
        <f>IF(INDEX( DATOS3!$1:$19996,A533,MATCH("SeriesDate", DATOS3!$1:$1,0))=0,"",INDEX( DATOS3!$1:$19996,A533,MATCH("SeriesDate", DATOS3!$1:$1,0)))</f>
        <v>#N/A</v>
      </c>
      <c r="G533" t="e">
        <f>IF(INDEX( DATOS3!$1:$19996,A533,MATCH("SeriesTime", DATOS3!$1:$1,0))=0,"",INDEX( DATOS3!$1:$19996,A533,MATCH("SeriesTime", DATOS3!$1:$1,0)))</f>
        <v>#N/A</v>
      </c>
      <c r="H533" t="e">
        <f>IF(INDEX( DATOS3!$1:$19996,A533,MATCH("StudyDescription", DATOS3!$1:$1,0))=0,"",INDEX( DATOS3!$1:$19996,A533,MATCH("StudyDescription", DATOS3!$1:$1,0)))</f>
        <v>#N/A</v>
      </c>
      <c r="I533" t="e">
        <f>IF(INDEX( DATOS3!$1:$19996,A533,MATCH("Dose_Area_Product_Total", DATOS3!$1:$1,0))=0,0,INDEX( DATOS3!$1:$19996,A533,MATCH("Dose_Area_Product", DATOS3!$1:$1,0)))</f>
        <v>#N/A</v>
      </c>
      <c r="J533" t="e">
        <f>IF(INDEX( DATOS3!$1:$19996,A533,MATCH("Dose_RP_Total", DATOS3!$1:$1,0))=0,0,INDEX( DATOS3!$1:$19996,A533,MATCH("Dose_RP", DATOS3!$1:$1,0)))</f>
        <v>#N/A</v>
      </c>
      <c r="K533" t="e">
        <f>IF(INDEX( DATOS3!$1:$19996,A533,MATCH("Total_Fluoro_Time", DATOS3!$1:$1,0))=0,0,INDEX( DATOS3!$1:$19996,A533,MATCH("Total_Fluoro_Time", DATOS3!$1:$1,0)))</f>
        <v>#N/A</v>
      </c>
    </row>
    <row r="534" spans="1:11" hidden="1" x14ac:dyDescent="0.25">
      <c r="A534">
        <v>534</v>
      </c>
      <c r="B534" t="e">
        <f t="shared" si="16"/>
        <v>#N/A</v>
      </c>
      <c r="C534" t="e">
        <f t="shared" si="17"/>
        <v>#N/A</v>
      </c>
      <c r="D534" t="e">
        <f>IF(INDEX( DATOS3!$1:$19996,A534,MATCH("PatientID", DATOS3!$1:$1,0))=0,"",INDEX( DATOS3!$1:$19996,A534,MATCH("PatientID", DATOS3!$1:$1,0)))</f>
        <v>#N/A</v>
      </c>
      <c r="F534" t="e">
        <f>IF(INDEX( DATOS3!$1:$19996,A534,MATCH("SeriesDate", DATOS3!$1:$1,0))=0,"",INDEX( DATOS3!$1:$19996,A534,MATCH("SeriesDate", DATOS3!$1:$1,0)))</f>
        <v>#N/A</v>
      </c>
      <c r="G534" t="e">
        <f>IF(INDEX( DATOS3!$1:$19996,A534,MATCH("SeriesTime", DATOS3!$1:$1,0))=0,"",INDEX( DATOS3!$1:$19996,A534,MATCH("SeriesTime", DATOS3!$1:$1,0)))</f>
        <v>#N/A</v>
      </c>
      <c r="H534" t="e">
        <f>IF(INDEX( DATOS3!$1:$19996,A534,MATCH("StudyDescription", DATOS3!$1:$1,0))=0,"",INDEX( DATOS3!$1:$19996,A534,MATCH("StudyDescription", DATOS3!$1:$1,0)))</f>
        <v>#N/A</v>
      </c>
      <c r="I534" t="e">
        <f>IF(INDEX( DATOS3!$1:$19996,A534,MATCH("Dose_Area_Product_Total", DATOS3!$1:$1,0))=0,0,INDEX( DATOS3!$1:$19996,A534,MATCH("Dose_Area_Product", DATOS3!$1:$1,0)))</f>
        <v>#N/A</v>
      </c>
      <c r="J534" t="e">
        <f>IF(INDEX( DATOS3!$1:$19996,A534,MATCH("Dose_RP_Total", DATOS3!$1:$1,0))=0,0,INDEX( DATOS3!$1:$19996,A534,MATCH("Dose_RP", DATOS3!$1:$1,0)))</f>
        <v>#N/A</v>
      </c>
      <c r="K534" t="e">
        <f>IF(INDEX( DATOS3!$1:$19996,A534,MATCH("Total_Fluoro_Time", DATOS3!$1:$1,0))=0,0,INDEX( DATOS3!$1:$19996,A534,MATCH("Total_Fluoro_Time", DATOS3!$1:$1,0)))</f>
        <v>#N/A</v>
      </c>
    </row>
    <row r="535" spans="1:11" hidden="1" x14ac:dyDescent="0.25">
      <c r="A535">
        <v>535</v>
      </c>
      <c r="B535" t="e">
        <f t="shared" si="16"/>
        <v>#N/A</v>
      </c>
      <c r="C535" t="e">
        <f t="shared" si="17"/>
        <v>#N/A</v>
      </c>
      <c r="D535" t="e">
        <f>IF(INDEX( DATOS3!$1:$19996,A535,MATCH("PatientID", DATOS3!$1:$1,0))=0,"",INDEX( DATOS3!$1:$19996,A535,MATCH("PatientID", DATOS3!$1:$1,0)))</f>
        <v>#N/A</v>
      </c>
      <c r="F535" t="e">
        <f>IF(INDEX( DATOS3!$1:$19996,A535,MATCH("SeriesDate", DATOS3!$1:$1,0))=0,"",INDEX( DATOS3!$1:$19996,A535,MATCH("SeriesDate", DATOS3!$1:$1,0)))</f>
        <v>#N/A</v>
      </c>
      <c r="G535" t="e">
        <f>IF(INDEX( DATOS3!$1:$19996,A535,MATCH("SeriesTime", DATOS3!$1:$1,0))=0,"",INDEX( DATOS3!$1:$19996,A535,MATCH("SeriesTime", DATOS3!$1:$1,0)))</f>
        <v>#N/A</v>
      </c>
      <c r="H535" t="e">
        <f>IF(INDEX( DATOS3!$1:$19996,A535,MATCH("StudyDescription", DATOS3!$1:$1,0))=0,"",INDEX( DATOS3!$1:$19996,A535,MATCH("StudyDescription", DATOS3!$1:$1,0)))</f>
        <v>#N/A</v>
      </c>
      <c r="I535" t="e">
        <f>IF(INDEX( DATOS3!$1:$19996,A535,MATCH("Dose_Area_Product_Total", DATOS3!$1:$1,0))=0,0,INDEX( DATOS3!$1:$19996,A535,MATCH("Dose_Area_Product", DATOS3!$1:$1,0)))</f>
        <v>#N/A</v>
      </c>
      <c r="J535" t="e">
        <f>IF(INDEX( DATOS3!$1:$19996,A535,MATCH("Dose_RP_Total", DATOS3!$1:$1,0))=0,0,INDEX( DATOS3!$1:$19996,A535,MATCH("Dose_RP", DATOS3!$1:$1,0)))</f>
        <v>#N/A</v>
      </c>
      <c r="K535" t="e">
        <f>IF(INDEX( DATOS3!$1:$19996,A535,MATCH("Total_Fluoro_Time", DATOS3!$1:$1,0))=0,0,INDEX( DATOS3!$1:$19996,A535,MATCH("Total_Fluoro_Time", DATOS3!$1:$1,0)))</f>
        <v>#N/A</v>
      </c>
    </row>
    <row r="536" spans="1:11" hidden="1" x14ac:dyDescent="0.25">
      <c r="A536">
        <v>536</v>
      </c>
      <c r="B536" t="e">
        <f t="shared" si="16"/>
        <v>#N/A</v>
      </c>
      <c r="C536" t="e">
        <f t="shared" si="17"/>
        <v>#N/A</v>
      </c>
      <c r="D536" t="e">
        <f>IF(INDEX( DATOS3!$1:$19996,A536,MATCH("PatientID", DATOS3!$1:$1,0))=0,"",INDEX( DATOS3!$1:$19996,A536,MATCH("PatientID", DATOS3!$1:$1,0)))</f>
        <v>#N/A</v>
      </c>
      <c r="F536" t="e">
        <f>IF(INDEX( DATOS3!$1:$19996,A536,MATCH("SeriesDate", DATOS3!$1:$1,0))=0,"",INDEX( DATOS3!$1:$19996,A536,MATCH("SeriesDate", DATOS3!$1:$1,0)))</f>
        <v>#N/A</v>
      </c>
      <c r="G536" t="e">
        <f>IF(INDEX( DATOS3!$1:$19996,A536,MATCH("SeriesTime", DATOS3!$1:$1,0))=0,"",INDEX( DATOS3!$1:$19996,A536,MATCH("SeriesTime", DATOS3!$1:$1,0)))</f>
        <v>#N/A</v>
      </c>
      <c r="H536" t="e">
        <f>IF(INDEX( DATOS3!$1:$19996,A536,MATCH("StudyDescription", DATOS3!$1:$1,0))=0,"",INDEX( DATOS3!$1:$19996,A536,MATCH("StudyDescription", DATOS3!$1:$1,0)))</f>
        <v>#N/A</v>
      </c>
      <c r="I536" t="e">
        <f>IF(INDEX( DATOS3!$1:$19996,A536,MATCH("Dose_Area_Product_Total", DATOS3!$1:$1,0))=0,0,INDEX( DATOS3!$1:$19996,A536,MATCH("Dose_Area_Product", DATOS3!$1:$1,0)))</f>
        <v>#N/A</v>
      </c>
      <c r="J536" t="e">
        <f>IF(INDEX( DATOS3!$1:$19996,A536,MATCH("Dose_RP_Total", DATOS3!$1:$1,0))=0,0,INDEX( DATOS3!$1:$19996,A536,MATCH("Dose_RP", DATOS3!$1:$1,0)))</f>
        <v>#N/A</v>
      </c>
      <c r="K536" t="e">
        <f>IF(INDEX( DATOS3!$1:$19996,A536,MATCH("Total_Fluoro_Time", DATOS3!$1:$1,0))=0,0,INDEX( DATOS3!$1:$19996,A536,MATCH("Total_Fluoro_Time", DATOS3!$1:$1,0)))</f>
        <v>#N/A</v>
      </c>
    </row>
    <row r="537" spans="1:11" hidden="1" x14ac:dyDescent="0.25">
      <c r="A537">
        <v>537</v>
      </c>
      <c r="B537" t="e">
        <f t="shared" si="16"/>
        <v>#N/A</v>
      </c>
      <c r="C537" t="e">
        <f t="shared" si="17"/>
        <v>#N/A</v>
      </c>
      <c r="D537" t="e">
        <f>IF(INDEX( DATOS3!$1:$19996,A537,MATCH("PatientID", DATOS3!$1:$1,0))=0,"",INDEX( DATOS3!$1:$19996,A537,MATCH("PatientID", DATOS3!$1:$1,0)))</f>
        <v>#N/A</v>
      </c>
      <c r="F537" t="e">
        <f>IF(INDEX( DATOS3!$1:$19996,A537,MATCH("SeriesDate", DATOS3!$1:$1,0))=0,"",INDEX( DATOS3!$1:$19996,A537,MATCH("SeriesDate", DATOS3!$1:$1,0)))</f>
        <v>#N/A</v>
      </c>
      <c r="G537" t="e">
        <f>IF(INDEX( DATOS3!$1:$19996,A537,MATCH("SeriesTime", DATOS3!$1:$1,0))=0,"",INDEX( DATOS3!$1:$19996,A537,MATCH("SeriesTime", DATOS3!$1:$1,0)))</f>
        <v>#N/A</v>
      </c>
      <c r="H537" t="e">
        <f>IF(INDEX( DATOS3!$1:$19996,A537,MATCH("StudyDescription", DATOS3!$1:$1,0))=0,"",INDEX( DATOS3!$1:$19996,A537,MATCH("StudyDescription", DATOS3!$1:$1,0)))</f>
        <v>#N/A</v>
      </c>
      <c r="I537" t="e">
        <f>IF(INDEX( DATOS3!$1:$19996,A537,MATCH("Dose_Area_Product_Total", DATOS3!$1:$1,0))=0,0,INDEX( DATOS3!$1:$19996,A537,MATCH("Dose_Area_Product", DATOS3!$1:$1,0)))</f>
        <v>#N/A</v>
      </c>
      <c r="J537" t="e">
        <f>IF(INDEX( DATOS3!$1:$19996,A537,MATCH("Dose_RP_Total", DATOS3!$1:$1,0))=0,0,INDEX( DATOS3!$1:$19996,A537,MATCH("Dose_RP", DATOS3!$1:$1,0)))</f>
        <v>#N/A</v>
      </c>
      <c r="K537" t="e">
        <f>IF(INDEX( DATOS3!$1:$19996,A537,MATCH("Total_Fluoro_Time", DATOS3!$1:$1,0))=0,0,INDEX( DATOS3!$1:$19996,A537,MATCH("Total_Fluoro_Time", DATOS3!$1:$1,0)))</f>
        <v>#N/A</v>
      </c>
    </row>
    <row r="538" spans="1:11" hidden="1" x14ac:dyDescent="0.25">
      <c r="A538">
        <v>538</v>
      </c>
      <c r="B538" t="e">
        <f t="shared" si="16"/>
        <v>#N/A</v>
      </c>
      <c r="C538" t="e">
        <f t="shared" si="17"/>
        <v>#N/A</v>
      </c>
      <c r="D538" t="e">
        <f>IF(INDEX( DATOS3!$1:$19996,A538,MATCH("PatientID", DATOS3!$1:$1,0))=0,"",INDEX( DATOS3!$1:$19996,A538,MATCH("PatientID", DATOS3!$1:$1,0)))</f>
        <v>#N/A</v>
      </c>
      <c r="F538" t="e">
        <f>IF(INDEX( DATOS3!$1:$19996,A538,MATCH("SeriesDate", DATOS3!$1:$1,0))=0,"",INDEX( DATOS3!$1:$19996,A538,MATCH("SeriesDate", DATOS3!$1:$1,0)))</f>
        <v>#N/A</v>
      </c>
      <c r="G538" t="e">
        <f>IF(INDEX( DATOS3!$1:$19996,A538,MATCH("SeriesTime", DATOS3!$1:$1,0))=0,"",INDEX( DATOS3!$1:$19996,A538,MATCH("SeriesTime", DATOS3!$1:$1,0)))</f>
        <v>#N/A</v>
      </c>
      <c r="H538" t="e">
        <f>IF(INDEX( DATOS3!$1:$19996,A538,MATCH("StudyDescription", DATOS3!$1:$1,0))=0,"",INDEX( DATOS3!$1:$19996,A538,MATCH("StudyDescription", DATOS3!$1:$1,0)))</f>
        <v>#N/A</v>
      </c>
      <c r="I538" t="e">
        <f>IF(INDEX( DATOS3!$1:$19996,A538,MATCH("Dose_Area_Product_Total", DATOS3!$1:$1,0))=0,0,INDEX( DATOS3!$1:$19996,A538,MATCH("Dose_Area_Product", DATOS3!$1:$1,0)))</f>
        <v>#N/A</v>
      </c>
      <c r="J538" t="e">
        <f>IF(INDEX( DATOS3!$1:$19996,A538,MATCH("Dose_RP_Total", DATOS3!$1:$1,0))=0,0,INDEX( DATOS3!$1:$19996,A538,MATCH("Dose_RP", DATOS3!$1:$1,0)))</f>
        <v>#N/A</v>
      </c>
      <c r="K538" t="e">
        <f>IF(INDEX( DATOS3!$1:$19996,A538,MATCH("Total_Fluoro_Time", DATOS3!$1:$1,0))=0,0,INDEX( DATOS3!$1:$19996,A538,MATCH("Total_Fluoro_Time", DATOS3!$1:$1,0)))</f>
        <v>#N/A</v>
      </c>
    </row>
    <row r="539" spans="1:11" hidden="1" x14ac:dyDescent="0.25">
      <c r="A539">
        <v>539</v>
      </c>
      <c r="B539" t="e">
        <f t="shared" si="16"/>
        <v>#N/A</v>
      </c>
      <c r="C539" t="e">
        <f t="shared" si="17"/>
        <v>#N/A</v>
      </c>
      <c r="D539" t="e">
        <f>IF(INDEX( DATOS3!$1:$19996,A539,MATCH("PatientID", DATOS3!$1:$1,0))=0,"",INDEX( DATOS3!$1:$19996,A539,MATCH("PatientID", DATOS3!$1:$1,0)))</f>
        <v>#N/A</v>
      </c>
      <c r="F539" t="e">
        <f>IF(INDEX( DATOS3!$1:$19996,A539,MATCH("SeriesDate", DATOS3!$1:$1,0))=0,"",INDEX( DATOS3!$1:$19996,A539,MATCH("SeriesDate", DATOS3!$1:$1,0)))</f>
        <v>#N/A</v>
      </c>
      <c r="G539" t="e">
        <f>IF(INDEX( DATOS3!$1:$19996,A539,MATCH("SeriesTime", DATOS3!$1:$1,0))=0,"",INDEX( DATOS3!$1:$19996,A539,MATCH("SeriesTime", DATOS3!$1:$1,0)))</f>
        <v>#N/A</v>
      </c>
      <c r="H539" t="e">
        <f>IF(INDEX( DATOS3!$1:$19996,A539,MATCH("StudyDescription", DATOS3!$1:$1,0))=0,"",INDEX( DATOS3!$1:$19996,A539,MATCH("StudyDescription", DATOS3!$1:$1,0)))</f>
        <v>#N/A</v>
      </c>
      <c r="I539" t="e">
        <f>IF(INDEX( DATOS3!$1:$19996,A539,MATCH("Dose_Area_Product_Total", DATOS3!$1:$1,0))=0,0,INDEX( DATOS3!$1:$19996,A539,MATCH("Dose_Area_Product", DATOS3!$1:$1,0)))</f>
        <v>#N/A</v>
      </c>
      <c r="J539" t="e">
        <f>IF(INDEX( DATOS3!$1:$19996,A539,MATCH("Dose_RP_Total", DATOS3!$1:$1,0))=0,0,INDEX( DATOS3!$1:$19996,A539,MATCH("Dose_RP", DATOS3!$1:$1,0)))</f>
        <v>#N/A</v>
      </c>
      <c r="K539" t="e">
        <f>IF(INDEX( DATOS3!$1:$19996,A539,MATCH("Total_Fluoro_Time", DATOS3!$1:$1,0))=0,0,INDEX( DATOS3!$1:$19996,A539,MATCH("Total_Fluoro_Time", DATOS3!$1:$1,0)))</f>
        <v>#N/A</v>
      </c>
    </row>
    <row r="540" spans="1:11" hidden="1" x14ac:dyDescent="0.25">
      <c r="A540">
        <v>540</v>
      </c>
      <c r="B540" t="e">
        <f t="shared" si="16"/>
        <v>#N/A</v>
      </c>
      <c r="C540" t="e">
        <f t="shared" si="17"/>
        <v>#N/A</v>
      </c>
      <c r="D540" t="e">
        <f>IF(INDEX( DATOS3!$1:$19996,A540,MATCH("PatientID", DATOS3!$1:$1,0))=0,"",INDEX( DATOS3!$1:$19996,A540,MATCH("PatientID", DATOS3!$1:$1,0)))</f>
        <v>#N/A</v>
      </c>
      <c r="F540" t="e">
        <f>IF(INDEX( DATOS3!$1:$19996,A540,MATCH("SeriesDate", DATOS3!$1:$1,0))=0,"",INDEX( DATOS3!$1:$19996,A540,MATCH("SeriesDate", DATOS3!$1:$1,0)))</f>
        <v>#N/A</v>
      </c>
      <c r="G540" t="e">
        <f>IF(INDEX( DATOS3!$1:$19996,A540,MATCH("SeriesTime", DATOS3!$1:$1,0))=0,"",INDEX( DATOS3!$1:$19996,A540,MATCH("SeriesTime", DATOS3!$1:$1,0)))</f>
        <v>#N/A</v>
      </c>
      <c r="H540" t="e">
        <f>IF(INDEX( DATOS3!$1:$19996,A540,MATCH("StudyDescription", DATOS3!$1:$1,0))=0,"",INDEX( DATOS3!$1:$19996,A540,MATCH("StudyDescription", DATOS3!$1:$1,0)))</f>
        <v>#N/A</v>
      </c>
      <c r="I540" t="e">
        <f>IF(INDEX( DATOS3!$1:$19996,A540,MATCH("Dose_Area_Product_Total", DATOS3!$1:$1,0))=0,0,INDEX( DATOS3!$1:$19996,A540,MATCH("Dose_Area_Product", DATOS3!$1:$1,0)))</f>
        <v>#N/A</v>
      </c>
      <c r="J540" t="e">
        <f>IF(INDEX( DATOS3!$1:$19996,A540,MATCH("Dose_RP_Total", DATOS3!$1:$1,0))=0,0,INDEX( DATOS3!$1:$19996,A540,MATCH("Dose_RP", DATOS3!$1:$1,0)))</f>
        <v>#N/A</v>
      </c>
      <c r="K540" t="e">
        <f>IF(INDEX( DATOS3!$1:$19996,A540,MATCH("Total_Fluoro_Time", DATOS3!$1:$1,0))=0,0,INDEX( DATOS3!$1:$19996,A540,MATCH("Total_Fluoro_Time", DATOS3!$1:$1,0)))</f>
        <v>#N/A</v>
      </c>
    </row>
    <row r="541" spans="1:11" hidden="1" x14ac:dyDescent="0.25">
      <c r="A541">
        <v>541</v>
      </c>
      <c r="B541" t="e">
        <f t="shared" si="16"/>
        <v>#N/A</v>
      </c>
      <c r="C541" t="e">
        <f t="shared" si="17"/>
        <v>#N/A</v>
      </c>
      <c r="D541" t="e">
        <f>IF(INDEX( DATOS3!$1:$19996,A541,MATCH("PatientID", DATOS3!$1:$1,0))=0,"",INDEX( DATOS3!$1:$19996,A541,MATCH("PatientID", DATOS3!$1:$1,0)))</f>
        <v>#N/A</v>
      </c>
      <c r="F541" t="e">
        <f>IF(INDEX( DATOS3!$1:$19996,A541,MATCH("SeriesDate", DATOS3!$1:$1,0))=0,"",INDEX( DATOS3!$1:$19996,A541,MATCH("SeriesDate", DATOS3!$1:$1,0)))</f>
        <v>#N/A</v>
      </c>
      <c r="G541" t="e">
        <f>IF(INDEX( DATOS3!$1:$19996,A541,MATCH("SeriesTime", DATOS3!$1:$1,0))=0,"",INDEX( DATOS3!$1:$19996,A541,MATCH("SeriesTime", DATOS3!$1:$1,0)))</f>
        <v>#N/A</v>
      </c>
      <c r="H541" t="e">
        <f>IF(INDEX( DATOS3!$1:$19996,A541,MATCH("StudyDescription", DATOS3!$1:$1,0))=0,"",INDEX( DATOS3!$1:$19996,A541,MATCH("StudyDescription", DATOS3!$1:$1,0)))</f>
        <v>#N/A</v>
      </c>
      <c r="I541" t="e">
        <f>IF(INDEX( DATOS3!$1:$19996,A541,MATCH("Dose_Area_Product_Total", DATOS3!$1:$1,0))=0,0,INDEX( DATOS3!$1:$19996,A541,MATCH("Dose_Area_Product", DATOS3!$1:$1,0)))</f>
        <v>#N/A</v>
      </c>
      <c r="J541" t="e">
        <f>IF(INDEX( DATOS3!$1:$19996,A541,MATCH("Dose_RP_Total", DATOS3!$1:$1,0))=0,0,INDEX( DATOS3!$1:$19996,A541,MATCH("Dose_RP", DATOS3!$1:$1,0)))</f>
        <v>#N/A</v>
      </c>
      <c r="K541" t="e">
        <f>IF(INDEX( DATOS3!$1:$19996,A541,MATCH("Total_Fluoro_Time", DATOS3!$1:$1,0))=0,0,INDEX( DATOS3!$1:$19996,A541,MATCH("Total_Fluoro_Time", DATOS3!$1:$1,0)))</f>
        <v>#N/A</v>
      </c>
    </row>
    <row r="542" spans="1:11" hidden="1" x14ac:dyDescent="0.25">
      <c r="A542">
        <v>542</v>
      </c>
      <c r="B542" t="e">
        <f t="shared" si="16"/>
        <v>#N/A</v>
      </c>
      <c r="C542" t="e">
        <f t="shared" si="17"/>
        <v>#N/A</v>
      </c>
      <c r="D542" t="e">
        <f>IF(INDEX( DATOS3!$1:$19996,A542,MATCH("PatientID", DATOS3!$1:$1,0))=0,"",INDEX( DATOS3!$1:$19996,A542,MATCH("PatientID", DATOS3!$1:$1,0)))</f>
        <v>#N/A</v>
      </c>
      <c r="F542" t="e">
        <f>IF(INDEX( DATOS3!$1:$19996,A542,MATCH("SeriesDate", DATOS3!$1:$1,0))=0,"",INDEX( DATOS3!$1:$19996,A542,MATCH("SeriesDate", DATOS3!$1:$1,0)))</f>
        <v>#N/A</v>
      </c>
      <c r="G542" t="e">
        <f>IF(INDEX( DATOS3!$1:$19996,A542,MATCH("SeriesTime", DATOS3!$1:$1,0))=0,"",INDEX( DATOS3!$1:$19996,A542,MATCH("SeriesTime", DATOS3!$1:$1,0)))</f>
        <v>#N/A</v>
      </c>
      <c r="H542" t="e">
        <f>IF(INDEX( DATOS3!$1:$19996,A542,MATCH("StudyDescription", DATOS3!$1:$1,0))=0,"",INDEX( DATOS3!$1:$19996,A542,MATCH("StudyDescription", DATOS3!$1:$1,0)))</f>
        <v>#N/A</v>
      </c>
      <c r="I542" t="e">
        <f>IF(INDEX( DATOS3!$1:$19996,A542,MATCH("Dose_Area_Product_Total", DATOS3!$1:$1,0))=0,0,INDEX( DATOS3!$1:$19996,A542,MATCH("Dose_Area_Product", DATOS3!$1:$1,0)))</f>
        <v>#N/A</v>
      </c>
      <c r="J542" t="e">
        <f>IF(INDEX( DATOS3!$1:$19996,A542,MATCH("Dose_RP_Total", DATOS3!$1:$1,0))=0,0,INDEX( DATOS3!$1:$19996,A542,MATCH("Dose_RP", DATOS3!$1:$1,0)))</f>
        <v>#N/A</v>
      </c>
      <c r="K542" t="e">
        <f>IF(INDEX( DATOS3!$1:$19996,A542,MATCH("Total_Fluoro_Time", DATOS3!$1:$1,0))=0,0,INDEX( DATOS3!$1:$19996,A542,MATCH("Total_Fluoro_Time", DATOS3!$1:$1,0)))</f>
        <v>#N/A</v>
      </c>
    </row>
    <row r="543" spans="1:11" hidden="1" x14ac:dyDescent="0.25">
      <c r="A543">
        <v>543</v>
      </c>
      <c r="B543" t="e">
        <f t="shared" si="16"/>
        <v>#N/A</v>
      </c>
      <c r="C543" t="e">
        <f t="shared" si="17"/>
        <v>#N/A</v>
      </c>
      <c r="D543" t="e">
        <f>IF(INDEX( DATOS3!$1:$19996,A543,MATCH("PatientID", DATOS3!$1:$1,0))=0,"",INDEX( DATOS3!$1:$19996,A543,MATCH("PatientID", DATOS3!$1:$1,0)))</f>
        <v>#N/A</v>
      </c>
      <c r="F543" t="e">
        <f>IF(INDEX( DATOS3!$1:$19996,A543,MATCH("SeriesDate", DATOS3!$1:$1,0))=0,"",INDEX( DATOS3!$1:$19996,A543,MATCH("SeriesDate", DATOS3!$1:$1,0)))</f>
        <v>#N/A</v>
      </c>
      <c r="G543" t="e">
        <f>IF(INDEX( DATOS3!$1:$19996,A543,MATCH("SeriesTime", DATOS3!$1:$1,0))=0,"",INDEX( DATOS3!$1:$19996,A543,MATCH("SeriesTime", DATOS3!$1:$1,0)))</f>
        <v>#N/A</v>
      </c>
      <c r="H543" t="e">
        <f>IF(INDEX( DATOS3!$1:$19996,A543,MATCH("StudyDescription", DATOS3!$1:$1,0))=0,"",INDEX( DATOS3!$1:$19996,A543,MATCH("StudyDescription", DATOS3!$1:$1,0)))</f>
        <v>#N/A</v>
      </c>
      <c r="I543" t="e">
        <f>IF(INDEX( DATOS3!$1:$19996,A543,MATCH("Dose_Area_Product_Total", DATOS3!$1:$1,0))=0,0,INDEX( DATOS3!$1:$19996,A543,MATCH("Dose_Area_Product", DATOS3!$1:$1,0)))</f>
        <v>#N/A</v>
      </c>
      <c r="J543" t="e">
        <f>IF(INDEX( DATOS3!$1:$19996,A543,MATCH("Dose_RP_Total", DATOS3!$1:$1,0))=0,0,INDEX( DATOS3!$1:$19996,A543,MATCH("Dose_RP", DATOS3!$1:$1,0)))</f>
        <v>#N/A</v>
      </c>
      <c r="K543" t="e">
        <f>IF(INDEX( DATOS3!$1:$19996,A543,MATCH("Total_Fluoro_Time", DATOS3!$1:$1,0))=0,0,INDEX( DATOS3!$1:$19996,A543,MATCH("Total_Fluoro_Time", DATOS3!$1:$1,0)))</f>
        <v>#N/A</v>
      </c>
    </row>
    <row r="544" spans="1:11" hidden="1" x14ac:dyDescent="0.25">
      <c r="A544">
        <v>544</v>
      </c>
      <c r="B544" t="e">
        <f t="shared" si="16"/>
        <v>#N/A</v>
      </c>
      <c r="C544" t="e">
        <f t="shared" si="17"/>
        <v>#N/A</v>
      </c>
      <c r="D544" t="e">
        <f>IF(INDEX( DATOS3!$1:$19996,A544,MATCH("PatientID", DATOS3!$1:$1,0))=0,"",INDEX( DATOS3!$1:$19996,A544,MATCH("PatientID", DATOS3!$1:$1,0)))</f>
        <v>#N/A</v>
      </c>
      <c r="F544" t="e">
        <f>IF(INDEX( DATOS3!$1:$19996,A544,MATCH("SeriesDate", DATOS3!$1:$1,0))=0,"",INDEX( DATOS3!$1:$19996,A544,MATCH("SeriesDate", DATOS3!$1:$1,0)))</f>
        <v>#N/A</v>
      </c>
      <c r="G544" t="e">
        <f>IF(INDEX( DATOS3!$1:$19996,A544,MATCH("SeriesTime", DATOS3!$1:$1,0))=0,"",INDEX( DATOS3!$1:$19996,A544,MATCH("SeriesTime", DATOS3!$1:$1,0)))</f>
        <v>#N/A</v>
      </c>
      <c r="H544" t="e">
        <f>IF(INDEX( DATOS3!$1:$19996,A544,MATCH("StudyDescription", DATOS3!$1:$1,0))=0,"",INDEX( DATOS3!$1:$19996,A544,MATCH("StudyDescription", DATOS3!$1:$1,0)))</f>
        <v>#N/A</v>
      </c>
      <c r="I544" t="e">
        <f>IF(INDEX( DATOS3!$1:$19996,A544,MATCH("Dose_Area_Product_Total", DATOS3!$1:$1,0))=0,0,INDEX( DATOS3!$1:$19996,A544,MATCH("Dose_Area_Product", DATOS3!$1:$1,0)))</f>
        <v>#N/A</v>
      </c>
      <c r="J544" t="e">
        <f>IF(INDEX( DATOS3!$1:$19996,A544,MATCH("Dose_RP_Total", DATOS3!$1:$1,0))=0,0,INDEX( DATOS3!$1:$19996,A544,MATCH("Dose_RP", DATOS3!$1:$1,0)))</f>
        <v>#N/A</v>
      </c>
      <c r="K544" t="e">
        <f>IF(INDEX( DATOS3!$1:$19996,A544,MATCH("Total_Fluoro_Time", DATOS3!$1:$1,0))=0,0,INDEX( DATOS3!$1:$19996,A544,MATCH("Total_Fluoro_Time", DATOS3!$1:$1,0)))</f>
        <v>#N/A</v>
      </c>
    </row>
    <row r="545" spans="1:11" hidden="1" x14ac:dyDescent="0.25">
      <c r="A545">
        <v>545</v>
      </c>
      <c r="B545" t="e">
        <f t="shared" si="16"/>
        <v>#N/A</v>
      </c>
      <c r="C545" t="e">
        <f t="shared" si="17"/>
        <v>#N/A</v>
      </c>
      <c r="D545" t="e">
        <f>IF(INDEX( DATOS3!$1:$19996,A545,MATCH("PatientID", DATOS3!$1:$1,0))=0,"",INDEX( DATOS3!$1:$19996,A545,MATCH("PatientID", DATOS3!$1:$1,0)))</f>
        <v>#N/A</v>
      </c>
      <c r="F545" t="e">
        <f>IF(INDEX( DATOS3!$1:$19996,A545,MATCH("SeriesDate", DATOS3!$1:$1,0))=0,"",INDEX( DATOS3!$1:$19996,A545,MATCH("SeriesDate", DATOS3!$1:$1,0)))</f>
        <v>#N/A</v>
      </c>
      <c r="G545" t="e">
        <f>IF(INDEX( DATOS3!$1:$19996,A545,MATCH("SeriesTime", DATOS3!$1:$1,0))=0,"",INDEX( DATOS3!$1:$19996,A545,MATCH("SeriesTime", DATOS3!$1:$1,0)))</f>
        <v>#N/A</v>
      </c>
      <c r="H545" t="e">
        <f>IF(INDEX( DATOS3!$1:$19996,A545,MATCH("StudyDescription", DATOS3!$1:$1,0))=0,"",INDEX( DATOS3!$1:$19996,A545,MATCH("StudyDescription", DATOS3!$1:$1,0)))</f>
        <v>#N/A</v>
      </c>
      <c r="I545" t="e">
        <f>IF(INDEX( DATOS3!$1:$19996,A545,MATCH("Dose_Area_Product_Total", DATOS3!$1:$1,0))=0,0,INDEX( DATOS3!$1:$19996,A545,MATCH("Dose_Area_Product", DATOS3!$1:$1,0)))</f>
        <v>#N/A</v>
      </c>
      <c r="J545" t="e">
        <f>IF(INDEX( DATOS3!$1:$19996,A545,MATCH("Dose_RP_Total", DATOS3!$1:$1,0))=0,0,INDEX( DATOS3!$1:$19996,A545,MATCH("Dose_RP", DATOS3!$1:$1,0)))</f>
        <v>#N/A</v>
      </c>
      <c r="K545" t="e">
        <f>IF(INDEX( DATOS3!$1:$19996,A545,MATCH("Total_Fluoro_Time", DATOS3!$1:$1,0))=0,0,INDEX( DATOS3!$1:$19996,A545,MATCH("Total_Fluoro_Time", DATOS3!$1:$1,0)))</f>
        <v>#N/A</v>
      </c>
    </row>
    <row r="546" spans="1:11" hidden="1" x14ac:dyDescent="0.25">
      <c r="A546">
        <v>546</v>
      </c>
      <c r="B546" t="e">
        <f t="shared" si="16"/>
        <v>#N/A</v>
      </c>
      <c r="C546" t="e">
        <f t="shared" si="17"/>
        <v>#N/A</v>
      </c>
      <c r="D546" t="e">
        <f>IF(INDEX( DATOS3!$1:$19996,A546,MATCH("PatientID", DATOS3!$1:$1,0))=0,"",INDEX( DATOS3!$1:$19996,A546,MATCH("PatientID", DATOS3!$1:$1,0)))</f>
        <v>#N/A</v>
      </c>
      <c r="F546" t="e">
        <f>IF(INDEX( DATOS3!$1:$19996,A546,MATCH("SeriesDate", DATOS3!$1:$1,0))=0,"",INDEX( DATOS3!$1:$19996,A546,MATCH("SeriesDate", DATOS3!$1:$1,0)))</f>
        <v>#N/A</v>
      </c>
      <c r="G546" t="e">
        <f>IF(INDEX( DATOS3!$1:$19996,A546,MATCH("SeriesTime", DATOS3!$1:$1,0))=0,"",INDEX( DATOS3!$1:$19996,A546,MATCH("SeriesTime", DATOS3!$1:$1,0)))</f>
        <v>#N/A</v>
      </c>
      <c r="H546" t="e">
        <f>IF(INDEX( DATOS3!$1:$19996,A546,MATCH("StudyDescription", DATOS3!$1:$1,0))=0,"",INDEX( DATOS3!$1:$19996,A546,MATCH("StudyDescription", DATOS3!$1:$1,0)))</f>
        <v>#N/A</v>
      </c>
      <c r="I546" t="e">
        <f>IF(INDEX( DATOS3!$1:$19996,A546,MATCH("Dose_Area_Product_Total", DATOS3!$1:$1,0))=0,0,INDEX( DATOS3!$1:$19996,A546,MATCH("Dose_Area_Product", DATOS3!$1:$1,0)))</f>
        <v>#N/A</v>
      </c>
      <c r="J546" t="e">
        <f>IF(INDEX( DATOS3!$1:$19996,A546,MATCH("Dose_RP_Total", DATOS3!$1:$1,0))=0,0,INDEX( DATOS3!$1:$19996,A546,MATCH("Dose_RP", DATOS3!$1:$1,0)))</f>
        <v>#N/A</v>
      </c>
      <c r="K546" t="e">
        <f>IF(INDEX( DATOS3!$1:$19996,A546,MATCH("Total_Fluoro_Time", DATOS3!$1:$1,0))=0,0,INDEX( DATOS3!$1:$19996,A546,MATCH("Total_Fluoro_Time", DATOS3!$1:$1,0)))</f>
        <v>#N/A</v>
      </c>
    </row>
    <row r="547" spans="1:11" hidden="1" x14ac:dyDescent="0.25">
      <c r="A547">
        <v>547</v>
      </c>
      <c r="B547" t="e">
        <f t="shared" si="16"/>
        <v>#N/A</v>
      </c>
      <c r="C547" t="e">
        <f t="shared" si="17"/>
        <v>#N/A</v>
      </c>
      <c r="D547" t="e">
        <f>IF(INDEX( DATOS3!$1:$19996,A547,MATCH("PatientID", DATOS3!$1:$1,0))=0,"",INDEX( DATOS3!$1:$19996,A547,MATCH("PatientID", DATOS3!$1:$1,0)))</f>
        <v>#N/A</v>
      </c>
      <c r="F547" t="e">
        <f>IF(INDEX( DATOS3!$1:$19996,A547,MATCH("SeriesDate", DATOS3!$1:$1,0))=0,"",INDEX( DATOS3!$1:$19996,A547,MATCH("SeriesDate", DATOS3!$1:$1,0)))</f>
        <v>#N/A</v>
      </c>
      <c r="G547" t="e">
        <f>IF(INDEX( DATOS3!$1:$19996,A547,MATCH("SeriesTime", DATOS3!$1:$1,0))=0,"",INDEX( DATOS3!$1:$19996,A547,MATCH("SeriesTime", DATOS3!$1:$1,0)))</f>
        <v>#N/A</v>
      </c>
      <c r="H547" t="e">
        <f>IF(INDEX( DATOS3!$1:$19996,A547,MATCH("StudyDescription", DATOS3!$1:$1,0))=0,"",INDEX( DATOS3!$1:$19996,A547,MATCH("StudyDescription", DATOS3!$1:$1,0)))</f>
        <v>#N/A</v>
      </c>
      <c r="I547" t="e">
        <f>IF(INDEX( DATOS3!$1:$19996,A547,MATCH("Dose_Area_Product_Total", DATOS3!$1:$1,0))=0,0,INDEX( DATOS3!$1:$19996,A547,MATCH("Dose_Area_Product", DATOS3!$1:$1,0)))</f>
        <v>#N/A</v>
      </c>
      <c r="J547" t="e">
        <f>IF(INDEX( DATOS3!$1:$19996,A547,MATCH("Dose_RP_Total", DATOS3!$1:$1,0))=0,0,INDEX( DATOS3!$1:$19996,A547,MATCH("Dose_RP", DATOS3!$1:$1,0)))</f>
        <v>#N/A</v>
      </c>
      <c r="K547" t="e">
        <f>IF(INDEX( DATOS3!$1:$19996,A547,MATCH("Total_Fluoro_Time", DATOS3!$1:$1,0))=0,0,INDEX( DATOS3!$1:$19996,A547,MATCH("Total_Fluoro_Time", DATOS3!$1:$1,0)))</f>
        <v>#N/A</v>
      </c>
    </row>
    <row r="548" spans="1:11" hidden="1" x14ac:dyDescent="0.25">
      <c r="A548">
        <v>548</v>
      </c>
      <c r="B548" t="e">
        <f t="shared" si="16"/>
        <v>#N/A</v>
      </c>
      <c r="C548" t="e">
        <f t="shared" si="17"/>
        <v>#N/A</v>
      </c>
      <c r="D548" t="e">
        <f>IF(INDEX( DATOS3!$1:$19996,A548,MATCH("PatientID", DATOS3!$1:$1,0))=0,"",INDEX( DATOS3!$1:$19996,A548,MATCH("PatientID", DATOS3!$1:$1,0)))</f>
        <v>#N/A</v>
      </c>
      <c r="F548" t="e">
        <f>IF(INDEX( DATOS3!$1:$19996,A548,MATCH("SeriesDate", DATOS3!$1:$1,0))=0,"",INDEX( DATOS3!$1:$19996,A548,MATCH("SeriesDate", DATOS3!$1:$1,0)))</f>
        <v>#N/A</v>
      </c>
      <c r="G548" t="e">
        <f>IF(INDEX( DATOS3!$1:$19996,A548,MATCH("SeriesTime", DATOS3!$1:$1,0))=0,"",INDEX( DATOS3!$1:$19996,A548,MATCH("SeriesTime", DATOS3!$1:$1,0)))</f>
        <v>#N/A</v>
      </c>
      <c r="H548" t="e">
        <f>IF(INDEX( DATOS3!$1:$19996,A548,MATCH("StudyDescription", DATOS3!$1:$1,0))=0,"",INDEX( DATOS3!$1:$19996,A548,MATCH("StudyDescription", DATOS3!$1:$1,0)))</f>
        <v>#N/A</v>
      </c>
      <c r="I548" t="e">
        <f>IF(INDEX( DATOS3!$1:$19996,A548,MATCH("Dose_Area_Product_Total", DATOS3!$1:$1,0))=0,0,INDEX( DATOS3!$1:$19996,A548,MATCH("Dose_Area_Product", DATOS3!$1:$1,0)))</f>
        <v>#N/A</v>
      </c>
      <c r="J548" t="e">
        <f>IF(INDEX( DATOS3!$1:$19996,A548,MATCH("Dose_RP_Total", DATOS3!$1:$1,0))=0,0,INDEX( DATOS3!$1:$19996,A548,MATCH("Dose_RP", DATOS3!$1:$1,0)))</f>
        <v>#N/A</v>
      </c>
      <c r="K548" t="e">
        <f>IF(INDEX( DATOS3!$1:$19996,A548,MATCH("Total_Fluoro_Time", DATOS3!$1:$1,0))=0,0,INDEX( DATOS3!$1:$19996,A548,MATCH("Total_Fluoro_Time", DATOS3!$1:$1,0)))</f>
        <v>#N/A</v>
      </c>
    </row>
    <row r="549" spans="1:11" hidden="1" x14ac:dyDescent="0.25">
      <c r="A549">
        <v>549</v>
      </c>
      <c r="B549" t="e">
        <f t="shared" si="16"/>
        <v>#N/A</v>
      </c>
      <c r="C549" t="e">
        <f t="shared" si="17"/>
        <v>#N/A</v>
      </c>
      <c r="D549" t="e">
        <f>IF(INDEX( DATOS3!$1:$19996,A549,MATCH("PatientID", DATOS3!$1:$1,0))=0,"",INDEX( DATOS3!$1:$19996,A549,MATCH("PatientID", DATOS3!$1:$1,0)))</f>
        <v>#N/A</v>
      </c>
      <c r="F549" t="e">
        <f>IF(INDEX( DATOS3!$1:$19996,A549,MATCH("SeriesDate", DATOS3!$1:$1,0))=0,"",INDEX( DATOS3!$1:$19996,A549,MATCH("SeriesDate", DATOS3!$1:$1,0)))</f>
        <v>#N/A</v>
      </c>
      <c r="G549" t="e">
        <f>IF(INDEX( DATOS3!$1:$19996,A549,MATCH("SeriesTime", DATOS3!$1:$1,0))=0,"",INDEX( DATOS3!$1:$19996,A549,MATCH("SeriesTime", DATOS3!$1:$1,0)))</f>
        <v>#N/A</v>
      </c>
      <c r="H549" t="e">
        <f>IF(INDEX( DATOS3!$1:$19996,A549,MATCH("StudyDescription", DATOS3!$1:$1,0))=0,"",INDEX( DATOS3!$1:$19996,A549,MATCH("StudyDescription", DATOS3!$1:$1,0)))</f>
        <v>#N/A</v>
      </c>
      <c r="I549" t="e">
        <f>IF(INDEX( DATOS3!$1:$19996,A549,MATCH("Dose_Area_Product_Total", DATOS3!$1:$1,0))=0,0,INDEX( DATOS3!$1:$19996,A549,MATCH("Dose_Area_Product", DATOS3!$1:$1,0)))</f>
        <v>#N/A</v>
      </c>
      <c r="J549" t="e">
        <f>IF(INDEX( DATOS3!$1:$19996,A549,MATCH("Dose_RP_Total", DATOS3!$1:$1,0))=0,0,INDEX( DATOS3!$1:$19996,A549,MATCH("Dose_RP", DATOS3!$1:$1,0)))</f>
        <v>#N/A</v>
      </c>
      <c r="K549" t="e">
        <f>IF(INDEX( DATOS3!$1:$19996,A549,MATCH("Total_Fluoro_Time", DATOS3!$1:$1,0))=0,0,INDEX( DATOS3!$1:$19996,A549,MATCH("Total_Fluoro_Time", DATOS3!$1:$1,0)))</f>
        <v>#N/A</v>
      </c>
    </row>
    <row r="550" spans="1:11" hidden="1" x14ac:dyDescent="0.25">
      <c r="A550">
        <v>550</v>
      </c>
      <c r="B550" t="e">
        <f t="shared" si="16"/>
        <v>#N/A</v>
      </c>
      <c r="C550" t="e">
        <f t="shared" si="17"/>
        <v>#N/A</v>
      </c>
      <c r="D550" t="e">
        <f>IF(INDEX( DATOS3!$1:$19996,A550,MATCH("PatientID", DATOS3!$1:$1,0))=0,"",INDEX( DATOS3!$1:$19996,A550,MATCH("PatientID", DATOS3!$1:$1,0)))</f>
        <v>#N/A</v>
      </c>
      <c r="F550" t="e">
        <f>IF(INDEX( DATOS3!$1:$19996,A550,MATCH("SeriesDate", DATOS3!$1:$1,0))=0,"",INDEX( DATOS3!$1:$19996,A550,MATCH("SeriesDate", DATOS3!$1:$1,0)))</f>
        <v>#N/A</v>
      </c>
      <c r="G550" t="e">
        <f>IF(INDEX( DATOS3!$1:$19996,A550,MATCH("SeriesTime", DATOS3!$1:$1,0))=0,"",INDEX( DATOS3!$1:$19996,A550,MATCH("SeriesTime", DATOS3!$1:$1,0)))</f>
        <v>#N/A</v>
      </c>
      <c r="H550" t="e">
        <f>IF(INDEX( DATOS3!$1:$19996,A550,MATCH("StudyDescription", DATOS3!$1:$1,0))=0,"",INDEX( DATOS3!$1:$19996,A550,MATCH("StudyDescription", DATOS3!$1:$1,0)))</f>
        <v>#N/A</v>
      </c>
      <c r="I550" t="e">
        <f>IF(INDEX( DATOS3!$1:$19996,A550,MATCH("Dose_Area_Product_Total", DATOS3!$1:$1,0))=0,0,INDEX( DATOS3!$1:$19996,A550,MATCH("Dose_Area_Product", DATOS3!$1:$1,0)))</f>
        <v>#N/A</v>
      </c>
      <c r="J550" t="e">
        <f>IF(INDEX( DATOS3!$1:$19996,A550,MATCH("Dose_RP_Total", DATOS3!$1:$1,0))=0,0,INDEX( DATOS3!$1:$19996,A550,MATCH("Dose_RP", DATOS3!$1:$1,0)))</f>
        <v>#N/A</v>
      </c>
      <c r="K550" t="e">
        <f>IF(INDEX( DATOS3!$1:$19996,A550,MATCH("Total_Fluoro_Time", DATOS3!$1:$1,0))=0,0,INDEX( DATOS3!$1:$19996,A550,MATCH("Total_Fluoro_Time", DATOS3!$1:$1,0)))</f>
        <v>#N/A</v>
      </c>
    </row>
    <row r="551" spans="1:11" hidden="1" x14ac:dyDescent="0.25">
      <c r="A551">
        <v>551</v>
      </c>
      <c r="B551" t="e">
        <f t="shared" si="16"/>
        <v>#N/A</v>
      </c>
      <c r="C551" t="e">
        <f t="shared" si="17"/>
        <v>#N/A</v>
      </c>
      <c r="D551" t="e">
        <f>IF(INDEX( DATOS3!$1:$19996,A551,MATCH("PatientID", DATOS3!$1:$1,0))=0,"",INDEX( DATOS3!$1:$19996,A551,MATCH("PatientID", DATOS3!$1:$1,0)))</f>
        <v>#N/A</v>
      </c>
      <c r="F551" t="e">
        <f>IF(INDEX( DATOS3!$1:$19996,A551,MATCH("SeriesDate", DATOS3!$1:$1,0))=0,"",INDEX( DATOS3!$1:$19996,A551,MATCH("SeriesDate", DATOS3!$1:$1,0)))</f>
        <v>#N/A</v>
      </c>
      <c r="G551" t="e">
        <f>IF(INDEX( DATOS3!$1:$19996,A551,MATCH("SeriesTime", DATOS3!$1:$1,0))=0,"",INDEX( DATOS3!$1:$19996,A551,MATCH("SeriesTime", DATOS3!$1:$1,0)))</f>
        <v>#N/A</v>
      </c>
      <c r="H551" t="e">
        <f>IF(INDEX( DATOS3!$1:$19996,A551,MATCH("StudyDescription", DATOS3!$1:$1,0))=0,"",INDEX( DATOS3!$1:$19996,A551,MATCH("StudyDescription", DATOS3!$1:$1,0)))</f>
        <v>#N/A</v>
      </c>
      <c r="I551" t="e">
        <f>IF(INDEX( DATOS3!$1:$19996,A551,MATCH("Dose_Area_Product_Total", DATOS3!$1:$1,0))=0,0,INDEX( DATOS3!$1:$19996,A551,MATCH("Dose_Area_Product", DATOS3!$1:$1,0)))</f>
        <v>#N/A</v>
      </c>
      <c r="J551" t="e">
        <f>IF(INDEX( DATOS3!$1:$19996,A551,MATCH("Dose_RP_Total", DATOS3!$1:$1,0))=0,0,INDEX( DATOS3!$1:$19996,A551,MATCH("Dose_RP", DATOS3!$1:$1,0)))</f>
        <v>#N/A</v>
      </c>
      <c r="K551" t="e">
        <f>IF(INDEX( DATOS3!$1:$19996,A551,MATCH("Total_Fluoro_Time", DATOS3!$1:$1,0))=0,0,INDEX( DATOS3!$1:$19996,A551,MATCH("Total_Fluoro_Time", DATOS3!$1:$1,0)))</f>
        <v>#N/A</v>
      </c>
    </row>
    <row r="552" spans="1:11" hidden="1" x14ac:dyDescent="0.25">
      <c r="A552">
        <v>552</v>
      </c>
      <c r="B552" t="e">
        <f t="shared" si="16"/>
        <v>#N/A</v>
      </c>
      <c r="C552" t="e">
        <f t="shared" si="17"/>
        <v>#N/A</v>
      </c>
      <c r="D552" t="e">
        <f>IF(INDEX( DATOS3!$1:$19996,A552,MATCH("PatientID", DATOS3!$1:$1,0))=0,"",INDEX( DATOS3!$1:$19996,A552,MATCH("PatientID", DATOS3!$1:$1,0)))</f>
        <v>#N/A</v>
      </c>
      <c r="F552" t="e">
        <f>IF(INDEX( DATOS3!$1:$19996,A552,MATCH("SeriesDate", DATOS3!$1:$1,0))=0,"",INDEX( DATOS3!$1:$19996,A552,MATCH("SeriesDate", DATOS3!$1:$1,0)))</f>
        <v>#N/A</v>
      </c>
      <c r="G552" t="e">
        <f>IF(INDEX( DATOS3!$1:$19996,A552,MATCH("SeriesTime", DATOS3!$1:$1,0))=0,"",INDEX( DATOS3!$1:$19996,A552,MATCH("SeriesTime", DATOS3!$1:$1,0)))</f>
        <v>#N/A</v>
      </c>
      <c r="H552" t="e">
        <f>IF(INDEX( DATOS3!$1:$19996,A552,MATCH("StudyDescription", DATOS3!$1:$1,0))=0,"",INDEX( DATOS3!$1:$19996,A552,MATCH("StudyDescription", DATOS3!$1:$1,0)))</f>
        <v>#N/A</v>
      </c>
      <c r="I552" t="e">
        <f>IF(INDEX( DATOS3!$1:$19996,A552,MATCH("Dose_Area_Product_Total", DATOS3!$1:$1,0))=0,0,INDEX( DATOS3!$1:$19996,A552,MATCH("Dose_Area_Product", DATOS3!$1:$1,0)))</f>
        <v>#N/A</v>
      </c>
      <c r="J552" t="e">
        <f>IF(INDEX( DATOS3!$1:$19996,A552,MATCH("Dose_RP_Total", DATOS3!$1:$1,0))=0,0,INDEX( DATOS3!$1:$19996,A552,MATCH("Dose_RP", DATOS3!$1:$1,0)))</f>
        <v>#N/A</v>
      </c>
      <c r="K552" t="e">
        <f>IF(INDEX( DATOS3!$1:$19996,A552,MATCH("Total_Fluoro_Time", DATOS3!$1:$1,0))=0,0,INDEX( DATOS3!$1:$19996,A552,MATCH("Total_Fluoro_Time", DATOS3!$1:$1,0)))</f>
        <v>#N/A</v>
      </c>
    </row>
    <row r="553" spans="1:11" hidden="1" x14ac:dyDescent="0.25">
      <c r="A553">
        <v>553</v>
      </c>
      <c r="B553" t="e">
        <f t="shared" si="16"/>
        <v>#N/A</v>
      </c>
      <c r="C553" t="e">
        <f t="shared" si="17"/>
        <v>#N/A</v>
      </c>
      <c r="D553" t="e">
        <f>IF(INDEX( DATOS3!$1:$19996,A553,MATCH("PatientID", DATOS3!$1:$1,0))=0,"",INDEX( DATOS3!$1:$19996,A553,MATCH("PatientID", DATOS3!$1:$1,0)))</f>
        <v>#N/A</v>
      </c>
      <c r="F553" t="e">
        <f>IF(INDEX( DATOS3!$1:$19996,A553,MATCH("SeriesDate", DATOS3!$1:$1,0))=0,"",INDEX( DATOS3!$1:$19996,A553,MATCH("SeriesDate", DATOS3!$1:$1,0)))</f>
        <v>#N/A</v>
      </c>
      <c r="G553" t="e">
        <f>IF(INDEX( DATOS3!$1:$19996,A553,MATCH("SeriesTime", DATOS3!$1:$1,0))=0,"",INDEX( DATOS3!$1:$19996,A553,MATCH("SeriesTime", DATOS3!$1:$1,0)))</f>
        <v>#N/A</v>
      </c>
      <c r="H553" t="e">
        <f>IF(INDEX( DATOS3!$1:$19996,A553,MATCH("StudyDescription", DATOS3!$1:$1,0))=0,"",INDEX( DATOS3!$1:$19996,A553,MATCH("StudyDescription", DATOS3!$1:$1,0)))</f>
        <v>#N/A</v>
      </c>
      <c r="I553" t="e">
        <f>IF(INDEX( DATOS3!$1:$19996,A553,MATCH("Dose_Area_Product_Total", DATOS3!$1:$1,0))=0,0,INDEX( DATOS3!$1:$19996,A553,MATCH("Dose_Area_Product", DATOS3!$1:$1,0)))</f>
        <v>#N/A</v>
      </c>
      <c r="J553" t="e">
        <f>IF(INDEX( DATOS3!$1:$19996,A553,MATCH("Dose_RP_Total", DATOS3!$1:$1,0))=0,0,INDEX( DATOS3!$1:$19996,A553,MATCH("Dose_RP", DATOS3!$1:$1,0)))</f>
        <v>#N/A</v>
      </c>
      <c r="K553" t="e">
        <f>IF(INDEX( DATOS3!$1:$19996,A553,MATCH("Total_Fluoro_Time", DATOS3!$1:$1,0))=0,0,INDEX( DATOS3!$1:$19996,A553,MATCH("Total_Fluoro_Time", DATOS3!$1:$1,0)))</f>
        <v>#N/A</v>
      </c>
    </row>
    <row r="554" spans="1:11" hidden="1" x14ac:dyDescent="0.25">
      <c r="A554">
        <v>554</v>
      </c>
      <c r="B554" t="e">
        <f t="shared" si="16"/>
        <v>#N/A</v>
      </c>
      <c r="C554" t="e">
        <f t="shared" si="17"/>
        <v>#N/A</v>
      </c>
      <c r="D554" t="e">
        <f>IF(INDEX( DATOS3!$1:$19996,A554,MATCH("PatientID", DATOS3!$1:$1,0))=0,"",INDEX( DATOS3!$1:$19996,A554,MATCH("PatientID", DATOS3!$1:$1,0)))</f>
        <v>#N/A</v>
      </c>
      <c r="F554" t="e">
        <f>IF(INDEX( DATOS3!$1:$19996,A554,MATCH("SeriesDate", DATOS3!$1:$1,0))=0,"",INDEX( DATOS3!$1:$19996,A554,MATCH("SeriesDate", DATOS3!$1:$1,0)))</f>
        <v>#N/A</v>
      </c>
      <c r="G554" t="e">
        <f>IF(INDEX( DATOS3!$1:$19996,A554,MATCH("SeriesTime", DATOS3!$1:$1,0))=0,"",INDEX( DATOS3!$1:$19996,A554,MATCH("SeriesTime", DATOS3!$1:$1,0)))</f>
        <v>#N/A</v>
      </c>
      <c r="H554" t="e">
        <f>IF(INDEX( DATOS3!$1:$19996,A554,MATCH("StudyDescription", DATOS3!$1:$1,0))=0,"",INDEX( DATOS3!$1:$19996,A554,MATCH("StudyDescription", DATOS3!$1:$1,0)))</f>
        <v>#N/A</v>
      </c>
      <c r="I554" t="e">
        <f>IF(INDEX( DATOS3!$1:$19996,A554,MATCH("Dose_Area_Product_Total", DATOS3!$1:$1,0))=0,0,INDEX( DATOS3!$1:$19996,A554,MATCH("Dose_Area_Product", DATOS3!$1:$1,0)))</f>
        <v>#N/A</v>
      </c>
      <c r="J554" t="e">
        <f>IF(INDEX( DATOS3!$1:$19996,A554,MATCH("Dose_RP_Total", DATOS3!$1:$1,0))=0,0,INDEX( DATOS3!$1:$19996,A554,MATCH("Dose_RP", DATOS3!$1:$1,0)))</f>
        <v>#N/A</v>
      </c>
      <c r="K554" t="e">
        <f>IF(INDEX( DATOS3!$1:$19996,A554,MATCH("Total_Fluoro_Time", DATOS3!$1:$1,0))=0,0,INDEX( DATOS3!$1:$19996,A554,MATCH("Total_Fluoro_Time", DATOS3!$1:$1,0)))</f>
        <v>#N/A</v>
      </c>
    </row>
    <row r="555" spans="1:11" hidden="1" x14ac:dyDescent="0.25">
      <c r="A555">
        <v>555</v>
      </c>
      <c r="B555" t="e">
        <f t="shared" si="16"/>
        <v>#N/A</v>
      </c>
      <c r="C555" t="e">
        <f t="shared" si="17"/>
        <v>#N/A</v>
      </c>
      <c r="D555" t="e">
        <f>IF(INDEX( DATOS3!$1:$19996,A555,MATCH("PatientID", DATOS3!$1:$1,0))=0,"",INDEX( DATOS3!$1:$19996,A555,MATCH("PatientID", DATOS3!$1:$1,0)))</f>
        <v>#N/A</v>
      </c>
      <c r="F555" t="e">
        <f>IF(INDEX( DATOS3!$1:$19996,A555,MATCH("SeriesDate", DATOS3!$1:$1,0))=0,"",INDEX( DATOS3!$1:$19996,A555,MATCH("SeriesDate", DATOS3!$1:$1,0)))</f>
        <v>#N/A</v>
      </c>
      <c r="G555" t="e">
        <f>IF(INDEX( DATOS3!$1:$19996,A555,MATCH("SeriesTime", DATOS3!$1:$1,0))=0,"",INDEX( DATOS3!$1:$19996,A555,MATCH("SeriesTime", DATOS3!$1:$1,0)))</f>
        <v>#N/A</v>
      </c>
      <c r="H555" t="e">
        <f>IF(INDEX( DATOS3!$1:$19996,A555,MATCH("StudyDescription", DATOS3!$1:$1,0))=0,"",INDEX( DATOS3!$1:$19996,A555,MATCH("StudyDescription", DATOS3!$1:$1,0)))</f>
        <v>#N/A</v>
      </c>
      <c r="I555" t="e">
        <f>IF(INDEX( DATOS3!$1:$19996,A555,MATCH("Dose_Area_Product_Total", DATOS3!$1:$1,0))=0,0,INDEX( DATOS3!$1:$19996,A555,MATCH("Dose_Area_Product", DATOS3!$1:$1,0)))</f>
        <v>#N/A</v>
      </c>
      <c r="J555" t="e">
        <f>IF(INDEX( DATOS3!$1:$19996,A555,MATCH("Dose_RP_Total", DATOS3!$1:$1,0))=0,0,INDEX( DATOS3!$1:$19996,A555,MATCH("Dose_RP", DATOS3!$1:$1,0)))</f>
        <v>#N/A</v>
      </c>
      <c r="K555" t="e">
        <f>IF(INDEX( DATOS3!$1:$19996,A555,MATCH("Total_Fluoro_Time", DATOS3!$1:$1,0))=0,0,INDEX( DATOS3!$1:$19996,A555,MATCH("Total_Fluoro_Time", DATOS3!$1:$1,0)))</f>
        <v>#N/A</v>
      </c>
    </row>
    <row r="556" spans="1:11" hidden="1" x14ac:dyDescent="0.25">
      <c r="A556">
        <v>556</v>
      </c>
      <c r="B556" t="e">
        <f t="shared" si="16"/>
        <v>#N/A</v>
      </c>
      <c r="C556" t="e">
        <f t="shared" si="17"/>
        <v>#N/A</v>
      </c>
      <c r="D556" t="e">
        <f>IF(INDEX( DATOS3!$1:$19996,A556,MATCH("PatientID", DATOS3!$1:$1,0))=0,"",INDEX( DATOS3!$1:$19996,A556,MATCH("PatientID", DATOS3!$1:$1,0)))</f>
        <v>#N/A</v>
      </c>
      <c r="F556" t="e">
        <f>IF(INDEX( DATOS3!$1:$19996,A556,MATCH("SeriesDate", DATOS3!$1:$1,0))=0,"",INDEX( DATOS3!$1:$19996,A556,MATCH("SeriesDate", DATOS3!$1:$1,0)))</f>
        <v>#N/A</v>
      </c>
      <c r="G556" t="e">
        <f>IF(INDEX( DATOS3!$1:$19996,A556,MATCH("SeriesTime", DATOS3!$1:$1,0))=0,"",INDEX( DATOS3!$1:$19996,A556,MATCH("SeriesTime", DATOS3!$1:$1,0)))</f>
        <v>#N/A</v>
      </c>
      <c r="H556" t="e">
        <f>IF(INDEX( DATOS3!$1:$19996,A556,MATCH("StudyDescription", DATOS3!$1:$1,0))=0,"",INDEX( DATOS3!$1:$19996,A556,MATCH("StudyDescription", DATOS3!$1:$1,0)))</f>
        <v>#N/A</v>
      </c>
      <c r="I556" t="e">
        <f>IF(INDEX( DATOS3!$1:$19996,A556,MATCH("Dose_Area_Product_Total", DATOS3!$1:$1,0))=0,0,INDEX( DATOS3!$1:$19996,A556,MATCH("Dose_Area_Product", DATOS3!$1:$1,0)))</f>
        <v>#N/A</v>
      </c>
      <c r="J556" t="e">
        <f>IF(INDEX( DATOS3!$1:$19996,A556,MATCH("Dose_RP_Total", DATOS3!$1:$1,0))=0,0,INDEX( DATOS3!$1:$19996,A556,MATCH("Dose_RP", DATOS3!$1:$1,0)))</f>
        <v>#N/A</v>
      </c>
      <c r="K556" t="e">
        <f>IF(INDEX( DATOS3!$1:$19996,A556,MATCH("Total_Fluoro_Time", DATOS3!$1:$1,0))=0,0,INDEX( DATOS3!$1:$19996,A556,MATCH("Total_Fluoro_Time", DATOS3!$1:$1,0)))</f>
        <v>#N/A</v>
      </c>
    </row>
    <row r="557" spans="1:11" hidden="1" x14ac:dyDescent="0.25">
      <c r="A557">
        <v>557</v>
      </c>
      <c r="B557" t="e">
        <f t="shared" si="16"/>
        <v>#N/A</v>
      </c>
      <c r="C557" t="e">
        <f t="shared" si="17"/>
        <v>#N/A</v>
      </c>
      <c r="D557" t="e">
        <f>IF(INDEX( DATOS3!$1:$19996,A557,MATCH("PatientID", DATOS3!$1:$1,0))=0,"",INDEX( DATOS3!$1:$19996,A557,MATCH("PatientID", DATOS3!$1:$1,0)))</f>
        <v>#N/A</v>
      </c>
      <c r="F557" t="e">
        <f>IF(INDEX( DATOS3!$1:$19996,A557,MATCH("SeriesDate", DATOS3!$1:$1,0))=0,"",INDEX( DATOS3!$1:$19996,A557,MATCH("SeriesDate", DATOS3!$1:$1,0)))</f>
        <v>#N/A</v>
      </c>
      <c r="G557" t="e">
        <f>IF(INDEX( DATOS3!$1:$19996,A557,MATCH("SeriesTime", DATOS3!$1:$1,0))=0,"",INDEX( DATOS3!$1:$19996,A557,MATCH("SeriesTime", DATOS3!$1:$1,0)))</f>
        <v>#N/A</v>
      </c>
      <c r="H557" t="e">
        <f>IF(INDEX( DATOS3!$1:$19996,A557,MATCH("StudyDescription", DATOS3!$1:$1,0))=0,"",INDEX( DATOS3!$1:$19996,A557,MATCH("StudyDescription", DATOS3!$1:$1,0)))</f>
        <v>#N/A</v>
      </c>
      <c r="I557" t="e">
        <f>IF(INDEX( DATOS3!$1:$19996,A557,MATCH("Dose_Area_Product_Total", DATOS3!$1:$1,0))=0,0,INDEX( DATOS3!$1:$19996,A557,MATCH("Dose_Area_Product", DATOS3!$1:$1,0)))</f>
        <v>#N/A</v>
      </c>
      <c r="J557" t="e">
        <f>IF(INDEX( DATOS3!$1:$19996,A557,MATCH("Dose_RP_Total", DATOS3!$1:$1,0))=0,0,INDEX( DATOS3!$1:$19996,A557,MATCH("Dose_RP", DATOS3!$1:$1,0)))</f>
        <v>#N/A</v>
      </c>
      <c r="K557" t="e">
        <f>IF(INDEX( DATOS3!$1:$19996,A557,MATCH("Total_Fluoro_Time", DATOS3!$1:$1,0))=0,0,INDEX( DATOS3!$1:$19996,A557,MATCH("Total_Fluoro_Time", DATOS3!$1:$1,0)))</f>
        <v>#N/A</v>
      </c>
    </row>
    <row r="558" spans="1:11" hidden="1" x14ac:dyDescent="0.25">
      <c r="A558">
        <v>558</v>
      </c>
      <c r="B558" t="e">
        <f t="shared" si="16"/>
        <v>#N/A</v>
      </c>
      <c r="C558" t="e">
        <f t="shared" si="17"/>
        <v>#N/A</v>
      </c>
      <c r="D558" t="e">
        <f>IF(INDEX( DATOS3!$1:$19996,A558,MATCH("PatientID", DATOS3!$1:$1,0))=0,"",INDEX( DATOS3!$1:$19996,A558,MATCH("PatientID", DATOS3!$1:$1,0)))</f>
        <v>#N/A</v>
      </c>
      <c r="F558" t="e">
        <f>IF(INDEX( DATOS3!$1:$19996,A558,MATCH("SeriesDate", DATOS3!$1:$1,0))=0,"",INDEX( DATOS3!$1:$19996,A558,MATCH("SeriesDate", DATOS3!$1:$1,0)))</f>
        <v>#N/A</v>
      </c>
      <c r="G558" t="e">
        <f>IF(INDEX( DATOS3!$1:$19996,A558,MATCH("SeriesTime", DATOS3!$1:$1,0))=0,"",INDEX( DATOS3!$1:$19996,A558,MATCH("SeriesTime", DATOS3!$1:$1,0)))</f>
        <v>#N/A</v>
      </c>
      <c r="H558" t="e">
        <f>IF(INDEX( DATOS3!$1:$19996,A558,MATCH("StudyDescription", DATOS3!$1:$1,0))=0,"",INDEX( DATOS3!$1:$19996,A558,MATCH("StudyDescription", DATOS3!$1:$1,0)))</f>
        <v>#N/A</v>
      </c>
      <c r="I558" t="e">
        <f>IF(INDEX( DATOS3!$1:$19996,A558,MATCH("Dose_Area_Product_Total", DATOS3!$1:$1,0))=0,0,INDEX( DATOS3!$1:$19996,A558,MATCH("Dose_Area_Product", DATOS3!$1:$1,0)))</f>
        <v>#N/A</v>
      </c>
      <c r="J558" t="e">
        <f>IF(INDEX( DATOS3!$1:$19996,A558,MATCH("Dose_RP_Total", DATOS3!$1:$1,0))=0,0,INDEX( DATOS3!$1:$19996,A558,MATCH("Dose_RP", DATOS3!$1:$1,0)))</f>
        <v>#N/A</v>
      </c>
      <c r="K558" t="e">
        <f>IF(INDEX( DATOS3!$1:$19996,A558,MATCH("Total_Fluoro_Time", DATOS3!$1:$1,0))=0,0,INDEX( DATOS3!$1:$19996,A558,MATCH("Total_Fluoro_Time", DATOS3!$1:$1,0)))</f>
        <v>#N/A</v>
      </c>
    </row>
    <row r="559" spans="1:11" hidden="1" x14ac:dyDescent="0.25">
      <c r="A559">
        <v>559</v>
      </c>
      <c r="B559" t="e">
        <f t="shared" si="16"/>
        <v>#N/A</v>
      </c>
      <c r="C559" t="e">
        <f t="shared" si="17"/>
        <v>#N/A</v>
      </c>
      <c r="D559" t="e">
        <f>IF(INDEX( DATOS3!$1:$19996,A559,MATCH("PatientID", DATOS3!$1:$1,0))=0,"",INDEX( DATOS3!$1:$19996,A559,MATCH("PatientID", DATOS3!$1:$1,0)))</f>
        <v>#N/A</v>
      </c>
      <c r="F559" t="e">
        <f>IF(INDEX( DATOS3!$1:$19996,A559,MATCH("SeriesDate", DATOS3!$1:$1,0))=0,"",INDEX( DATOS3!$1:$19996,A559,MATCH("SeriesDate", DATOS3!$1:$1,0)))</f>
        <v>#N/A</v>
      </c>
      <c r="G559" t="e">
        <f>IF(INDEX( DATOS3!$1:$19996,A559,MATCH("SeriesTime", DATOS3!$1:$1,0))=0,"",INDEX( DATOS3!$1:$19996,A559,MATCH("SeriesTime", DATOS3!$1:$1,0)))</f>
        <v>#N/A</v>
      </c>
      <c r="H559" t="e">
        <f>IF(INDEX( DATOS3!$1:$19996,A559,MATCH("StudyDescription", DATOS3!$1:$1,0))=0,"",INDEX( DATOS3!$1:$19996,A559,MATCH("StudyDescription", DATOS3!$1:$1,0)))</f>
        <v>#N/A</v>
      </c>
      <c r="I559" t="e">
        <f>IF(INDEX( DATOS3!$1:$19996,A559,MATCH("Dose_Area_Product_Total", DATOS3!$1:$1,0))=0,0,INDEX( DATOS3!$1:$19996,A559,MATCH("Dose_Area_Product", DATOS3!$1:$1,0)))</f>
        <v>#N/A</v>
      </c>
      <c r="J559" t="e">
        <f>IF(INDEX( DATOS3!$1:$19996,A559,MATCH("Dose_RP_Total", DATOS3!$1:$1,0))=0,0,INDEX( DATOS3!$1:$19996,A559,MATCH("Dose_RP", DATOS3!$1:$1,0)))</f>
        <v>#N/A</v>
      </c>
      <c r="K559" t="e">
        <f>IF(INDEX( DATOS3!$1:$19996,A559,MATCH("Total_Fluoro_Time", DATOS3!$1:$1,0))=0,0,INDEX( DATOS3!$1:$19996,A559,MATCH("Total_Fluoro_Time", DATOS3!$1:$1,0)))</f>
        <v>#N/A</v>
      </c>
    </row>
    <row r="560" spans="1:11" hidden="1" x14ac:dyDescent="0.25">
      <c r="A560">
        <v>560</v>
      </c>
      <c r="B560" t="e">
        <f t="shared" si="16"/>
        <v>#N/A</v>
      </c>
      <c r="C560" t="e">
        <f t="shared" si="17"/>
        <v>#N/A</v>
      </c>
      <c r="D560" t="e">
        <f>IF(INDEX( DATOS3!$1:$19996,A560,MATCH("PatientID", DATOS3!$1:$1,0))=0,"",INDEX( DATOS3!$1:$19996,A560,MATCH("PatientID", DATOS3!$1:$1,0)))</f>
        <v>#N/A</v>
      </c>
      <c r="F560" t="e">
        <f>IF(INDEX( DATOS3!$1:$19996,A560,MATCH("SeriesDate", DATOS3!$1:$1,0))=0,"",INDEX( DATOS3!$1:$19996,A560,MATCH("SeriesDate", DATOS3!$1:$1,0)))</f>
        <v>#N/A</v>
      </c>
      <c r="G560" t="e">
        <f>IF(INDEX( DATOS3!$1:$19996,A560,MATCH("SeriesTime", DATOS3!$1:$1,0))=0,"",INDEX( DATOS3!$1:$19996,A560,MATCH("SeriesTime", DATOS3!$1:$1,0)))</f>
        <v>#N/A</v>
      </c>
      <c r="H560" t="e">
        <f>IF(INDEX( DATOS3!$1:$19996,A560,MATCH("StudyDescription", DATOS3!$1:$1,0))=0,"",INDEX( DATOS3!$1:$19996,A560,MATCH("StudyDescription", DATOS3!$1:$1,0)))</f>
        <v>#N/A</v>
      </c>
      <c r="I560" t="e">
        <f>IF(INDEX( DATOS3!$1:$19996,A560,MATCH("Dose_Area_Product_Total", DATOS3!$1:$1,0))=0,0,INDEX( DATOS3!$1:$19996,A560,MATCH("Dose_Area_Product", DATOS3!$1:$1,0)))</f>
        <v>#N/A</v>
      </c>
      <c r="J560" t="e">
        <f>IF(INDEX( DATOS3!$1:$19996,A560,MATCH("Dose_RP_Total", DATOS3!$1:$1,0))=0,0,INDEX( DATOS3!$1:$19996,A560,MATCH("Dose_RP", DATOS3!$1:$1,0)))</f>
        <v>#N/A</v>
      </c>
      <c r="K560" t="e">
        <f>IF(INDEX( DATOS3!$1:$19996,A560,MATCH("Total_Fluoro_Time", DATOS3!$1:$1,0))=0,0,INDEX( DATOS3!$1:$19996,A560,MATCH("Total_Fluoro_Time", DATOS3!$1:$1,0)))</f>
        <v>#N/A</v>
      </c>
    </row>
    <row r="561" spans="1:11" hidden="1" x14ac:dyDescent="0.25">
      <c r="A561">
        <v>561</v>
      </c>
      <c r="B561" t="e">
        <f t="shared" si="16"/>
        <v>#N/A</v>
      </c>
      <c r="C561" t="e">
        <f t="shared" si="17"/>
        <v>#N/A</v>
      </c>
      <c r="D561" t="e">
        <f>IF(INDEX( DATOS3!$1:$19996,A561,MATCH("PatientID", DATOS3!$1:$1,0))=0,"",INDEX( DATOS3!$1:$19996,A561,MATCH("PatientID", DATOS3!$1:$1,0)))</f>
        <v>#N/A</v>
      </c>
      <c r="F561" t="e">
        <f>IF(INDEX( DATOS3!$1:$19996,A561,MATCH("SeriesDate", DATOS3!$1:$1,0))=0,"",INDEX( DATOS3!$1:$19996,A561,MATCH("SeriesDate", DATOS3!$1:$1,0)))</f>
        <v>#N/A</v>
      </c>
      <c r="G561" t="e">
        <f>IF(INDEX( DATOS3!$1:$19996,A561,MATCH("SeriesTime", DATOS3!$1:$1,0))=0,"",INDEX( DATOS3!$1:$19996,A561,MATCH("SeriesTime", DATOS3!$1:$1,0)))</f>
        <v>#N/A</v>
      </c>
      <c r="H561" t="e">
        <f>IF(INDEX( DATOS3!$1:$19996,A561,MATCH("StudyDescription", DATOS3!$1:$1,0))=0,"",INDEX( DATOS3!$1:$19996,A561,MATCH("StudyDescription", DATOS3!$1:$1,0)))</f>
        <v>#N/A</v>
      </c>
      <c r="I561" t="e">
        <f>IF(INDEX( DATOS3!$1:$19996,A561,MATCH("Dose_Area_Product_Total", DATOS3!$1:$1,0))=0,0,INDEX( DATOS3!$1:$19996,A561,MATCH("Dose_Area_Product", DATOS3!$1:$1,0)))</f>
        <v>#N/A</v>
      </c>
      <c r="J561" t="e">
        <f>IF(INDEX( DATOS3!$1:$19996,A561,MATCH("Dose_RP_Total", DATOS3!$1:$1,0))=0,0,INDEX( DATOS3!$1:$19996,A561,MATCH("Dose_RP", DATOS3!$1:$1,0)))</f>
        <v>#N/A</v>
      </c>
      <c r="K561" t="e">
        <f>IF(INDEX( DATOS3!$1:$19996,A561,MATCH("Total_Fluoro_Time", DATOS3!$1:$1,0))=0,0,INDEX( DATOS3!$1:$19996,A561,MATCH("Total_Fluoro_Time", DATOS3!$1:$1,0)))</f>
        <v>#N/A</v>
      </c>
    </row>
    <row r="562" spans="1:11" hidden="1" x14ac:dyDescent="0.25">
      <c r="A562">
        <v>562</v>
      </c>
      <c r="B562" t="e">
        <f t="shared" si="16"/>
        <v>#N/A</v>
      </c>
      <c r="C562" t="e">
        <f t="shared" si="17"/>
        <v>#N/A</v>
      </c>
      <c r="D562" t="e">
        <f>IF(INDEX( DATOS3!$1:$19996,A562,MATCH("PatientID", DATOS3!$1:$1,0))=0,"",INDEX( DATOS3!$1:$19996,A562,MATCH("PatientID", DATOS3!$1:$1,0)))</f>
        <v>#N/A</v>
      </c>
      <c r="F562" t="e">
        <f>IF(INDEX( DATOS3!$1:$19996,A562,MATCH("SeriesDate", DATOS3!$1:$1,0))=0,"",INDEX( DATOS3!$1:$19996,A562,MATCH("SeriesDate", DATOS3!$1:$1,0)))</f>
        <v>#N/A</v>
      </c>
      <c r="G562" t="e">
        <f>IF(INDEX( DATOS3!$1:$19996,A562,MATCH("SeriesTime", DATOS3!$1:$1,0))=0,"",INDEX( DATOS3!$1:$19996,A562,MATCH("SeriesTime", DATOS3!$1:$1,0)))</f>
        <v>#N/A</v>
      </c>
      <c r="H562" t="e">
        <f>IF(INDEX( DATOS3!$1:$19996,A562,MATCH("StudyDescription", DATOS3!$1:$1,0))=0,"",INDEX( DATOS3!$1:$19996,A562,MATCH("StudyDescription", DATOS3!$1:$1,0)))</f>
        <v>#N/A</v>
      </c>
      <c r="I562" t="e">
        <f>IF(INDEX( DATOS3!$1:$19996,A562,MATCH("Dose_Area_Product_Total", DATOS3!$1:$1,0))=0,0,INDEX( DATOS3!$1:$19996,A562,MATCH("Dose_Area_Product", DATOS3!$1:$1,0)))</f>
        <v>#N/A</v>
      </c>
      <c r="J562" t="e">
        <f>IF(INDEX( DATOS3!$1:$19996,A562,MATCH("Dose_RP_Total", DATOS3!$1:$1,0))=0,0,INDEX( DATOS3!$1:$19996,A562,MATCH("Dose_RP", DATOS3!$1:$1,0)))</f>
        <v>#N/A</v>
      </c>
      <c r="K562" t="e">
        <f>IF(INDEX( DATOS3!$1:$19996,A562,MATCH("Total_Fluoro_Time", DATOS3!$1:$1,0))=0,0,INDEX( DATOS3!$1:$19996,A562,MATCH("Total_Fluoro_Time", DATOS3!$1:$1,0)))</f>
        <v>#N/A</v>
      </c>
    </row>
    <row r="563" spans="1:11" hidden="1" x14ac:dyDescent="0.25">
      <c r="A563">
        <v>563</v>
      </c>
      <c r="B563" t="e">
        <f t="shared" si="16"/>
        <v>#N/A</v>
      </c>
      <c r="C563" t="e">
        <f t="shared" si="17"/>
        <v>#N/A</v>
      </c>
      <c r="D563" t="e">
        <f>IF(INDEX( DATOS3!$1:$19996,A563,MATCH("PatientID", DATOS3!$1:$1,0))=0,"",INDEX( DATOS3!$1:$19996,A563,MATCH("PatientID", DATOS3!$1:$1,0)))</f>
        <v>#N/A</v>
      </c>
      <c r="F563" t="e">
        <f>IF(INDEX( DATOS3!$1:$19996,A563,MATCH("SeriesDate", DATOS3!$1:$1,0))=0,"",INDEX( DATOS3!$1:$19996,A563,MATCH("SeriesDate", DATOS3!$1:$1,0)))</f>
        <v>#N/A</v>
      </c>
      <c r="G563" t="e">
        <f>IF(INDEX( DATOS3!$1:$19996,A563,MATCH("SeriesTime", DATOS3!$1:$1,0))=0,"",INDEX( DATOS3!$1:$19996,A563,MATCH("SeriesTime", DATOS3!$1:$1,0)))</f>
        <v>#N/A</v>
      </c>
      <c r="H563" t="e">
        <f>IF(INDEX( DATOS3!$1:$19996,A563,MATCH("StudyDescription", DATOS3!$1:$1,0))=0,"",INDEX( DATOS3!$1:$19996,A563,MATCH("StudyDescription", DATOS3!$1:$1,0)))</f>
        <v>#N/A</v>
      </c>
      <c r="I563" t="e">
        <f>IF(INDEX( DATOS3!$1:$19996,A563,MATCH("Dose_Area_Product_Total", DATOS3!$1:$1,0))=0,0,INDEX( DATOS3!$1:$19996,A563,MATCH("Dose_Area_Product", DATOS3!$1:$1,0)))</f>
        <v>#N/A</v>
      </c>
      <c r="J563" t="e">
        <f>IF(INDEX( DATOS3!$1:$19996,A563,MATCH("Dose_RP_Total", DATOS3!$1:$1,0))=0,0,INDEX( DATOS3!$1:$19996,A563,MATCH("Dose_RP", DATOS3!$1:$1,0)))</f>
        <v>#N/A</v>
      </c>
      <c r="K563" t="e">
        <f>IF(INDEX( DATOS3!$1:$19996,A563,MATCH("Total_Fluoro_Time", DATOS3!$1:$1,0))=0,0,INDEX( DATOS3!$1:$19996,A563,MATCH("Total_Fluoro_Time", DATOS3!$1:$1,0)))</f>
        <v>#N/A</v>
      </c>
    </row>
    <row r="564" spans="1:11" hidden="1" x14ac:dyDescent="0.25">
      <c r="A564">
        <v>564</v>
      </c>
      <c r="B564" t="e">
        <f t="shared" si="16"/>
        <v>#N/A</v>
      </c>
      <c r="C564" t="e">
        <f t="shared" si="17"/>
        <v>#N/A</v>
      </c>
      <c r="D564" t="e">
        <f>IF(INDEX( DATOS3!$1:$19996,A564,MATCH("PatientID", DATOS3!$1:$1,0))=0,"",INDEX( DATOS3!$1:$19996,A564,MATCH("PatientID", DATOS3!$1:$1,0)))</f>
        <v>#N/A</v>
      </c>
      <c r="F564" t="e">
        <f>IF(INDEX( DATOS3!$1:$19996,A564,MATCH("SeriesDate", DATOS3!$1:$1,0))=0,"",INDEX( DATOS3!$1:$19996,A564,MATCH("SeriesDate", DATOS3!$1:$1,0)))</f>
        <v>#N/A</v>
      </c>
      <c r="G564" t="e">
        <f>IF(INDEX( DATOS3!$1:$19996,A564,MATCH("SeriesTime", DATOS3!$1:$1,0))=0,"",INDEX( DATOS3!$1:$19996,A564,MATCH("SeriesTime", DATOS3!$1:$1,0)))</f>
        <v>#N/A</v>
      </c>
      <c r="H564" t="e">
        <f>IF(INDEX( DATOS3!$1:$19996,A564,MATCH("StudyDescription", DATOS3!$1:$1,0))=0,"",INDEX( DATOS3!$1:$19996,A564,MATCH("StudyDescription", DATOS3!$1:$1,0)))</f>
        <v>#N/A</v>
      </c>
      <c r="I564" t="e">
        <f>IF(INDEX( DATOS3!$1:$19996,A564,MATCH("Dose_Area_Product_Total", DATOS3!$1:$1,0))=0,0,INDEX( DATOS3!$1:$19996,A564,MATCH("Dose_Area_Product", DATOS3!$1:$1,0)))</f>
        <v>#N/A</v>
      </c>
      <c r="J564" t="e">
        <f>IF(INDEX( DATOS3!$1:$19996,A564,MATCH("Dose_RP_Total", DATOS3!$1:$1,0))=0,0,INDEX( DATOS3!$1:$19996,A564,MATCH("Dose_RP", DATOS3!$1:$1,0)))</f>
        <v>#N/A</v>
      </c>
      <c r="K564" t="e">
        <f>IF(INDEX( DATOS3!$1:$19996,A564,MATCH("Total_Fluoro_Time", DATOS3!$1:$1,0))=0,0,INDEX( DATOS3!$1:$19996,A564,MATCH("Total_Fluoro_Time", DATOS3!$1:$1,0)))</f>
        <v>#N/A</v>
      </c>
    </row>
    <row r="565" spans="1:11" hidden="1" x14ac:dyDescent="0.25">
      <c r="A565">
        <v>565</v>
      </c>
      <c r="B565" t="e">
        <f t="shared" si="16"/>
        <v>#N/A</v>
      </c>
      <c r="C565" t="e">
        <f t="shared" si="17"/>
        <v>#N/A</v>
      </c>
      <c r="D565" t="e">
        <f>IF(INDEX( DATOS3!$1:$19996,A565,MATCH("PatientID", DATOS3!$1:$1,0))=0,"",INDEX( DATOS3!$1:$19996,A565,MATCH("PatientID", DATOS3!$1:$1,0)))</f>
        <v>#N/A</v>
      </c>
      <c r="F565" t="e">
        <f>IF(INDEX( DATOS3!$1:$19996,A565,MATCH("SeriesDate", DATOS3!$1:$1,0))=0,"",INDEX( DATOS3!$1:$19996,A565,MATCH("SeriesDate", DATOS3!$1:$1,0)))</f>
        <v>#N/A</v>
      </c>
      <c r="G565" t="e">
        <f>IF(INDEX( DATOS3!$1:$19996,A565,MATCH("SeriesTime", DATOS3!$1:$1,0))=0,"",INDEX( DATOS3!$1:$19996,A565,MATCH("SeriesTime", DATOS3!$1:$1,0)))</f>
        <v>#N/A</v>
      </c>
      <c r="H565" t="e">
        <f>IF(INDEX( DATOS3!$1:$19996,A565,MATCH("StudyDescription", DATOS3!$1:$1,0))=0,"",INDEX( DATOS3!$1:$19996,A565,MATCH("StudyDescription", DATOS3!$1:$1,0)))</f>
        <v>#N/A</v>
      </c>
      <c r="I565" t="e">
        <f>IF(INDEX( DATOS3!$1:$19996,A565,MATCH("Dose_Area_Product_Total", DATOS3!$1:$1,0))=0,0,INDEX( DATOS3!$1:$19996,A565,MATCH("Dose_Area_Product", DATOS3!$1:$1,0)))</f>
        <v>#N/A</v>
      </c>
      <c r="J565" t="e">
        <f>IF(INDEX( DATOS3!$1:$19996,A565,MATCH("Dose_RP_Total", DATOS3!$1:$1,0))=0,0,INDEX( DATOS3!$1:$19996,A565,MATCH("Dose_RP", DATOS3!$1:$1,0)))</f>
        <v>#N/A</v>
      </c>
      <c r="K565" t="e">
        <f>IF(INDEX( DATOS3!$1:$19996,A565,MATCH("Total_Fluoro_Time", DATOS3!$1:$1,0))=0,0,INDEX( DATOS3!$1:$19996,A565,MATCH("Total_Fluoro_Time", DATOS3!$1:$1,0)))</f>
        <v>#N/A</v>
      </c>
    </row>
    <row r="566" spans="1:11" hidden="1" x14ac:dyDescent="0.25">
      <c r="A566">
        <v>566</v>
      </c>
      <c r="B566" t="e">
        <f t="shared" si="16"/>
        <v>#N/A</v>
      </c>
      <c r="C566" t="e">
        <f t="shared" si="17"/>
        <v>#N/A</v>
      </c>
      <c r="D566" t="e">
        <f>IF(INDEX( DATOS3!$1:$19996,A566,MATCH("PatientID", DATOS3!$1:$1,0))=0,"",INDEX( DATOS3!$1:$19996,A566,MATCH("PatientID", DATOS3!$1:$1,0)))</f>
        <v>#N/A</v>
      </c>
      <c r="F566" t="e">
        <f>IF(INDEX( DATOS3!$1:$19996,A566,MATCH("SeriesDate", DATOS3!$1:$1,0))=0,"",INDEX( DATOS3!$1:$19996,A566,MATCH("SeriesDate", DATOS3!$1:$1,0)))</f>
        <v>#N/A</v>
      </c>
      <c r="G566" t="e">
        <f>IF(INDEX( DATOS3!$1:$19996,A566,MATCH("SeriesTime", DATOS3!$1:$1,0))=0,"",INDEX( DATOS3!$1:$19996,A566,MATCH("SeriesTime", DATOS3!$1:$1,0)))</f>
        <v>#N/A</v>
      </c>
      <c r="H566" t="e">
        <f>IF(INDEX( DATOS3!$1:$19996,A566,MATCH("StudyDescription", DATOS3!$1:$1,0))=0,"",INDEX( DATOS3!$1:$19996,A566,MATCH("StudyDescription", DATOS3!$1:$1,0)))</f>
        <v>#N/A</v>
      </c>
      <c r="I566" t="e">
        <f>IF(INDEX( DATOS3!$1:$19996,A566,MATCH("Dose_Area_Product_Total", DATOS3!$1:$1,0))=0,0,INDEX( DATOS3!$1:$19996,A566,MATCH("Dose_Area_Product", DATOS3!$1:$1,0)))</f>
        <v>#N/A</v>
      </c>
      <c r="J566" t="e">
        <f>IF(INDEX( DATOS3!$1:$19996,A566,MATCH("Dose_RP_Total", DATOS3!$1:$1,0))=0,0,INDEX( DATOS3!$1:$19996,A566,MATCH("Dose_RP", DATOS3!$1:$1,0)))</f>
        <v>#N/A</v>
      </c>
      <c r="K566" t="e">
        <f>IF(INDEX( DATOS3!$1:$19996,A566,MATCH("Total_Fluoro_Time", DATOS3!$1:$1,0))=0,0,INDEX( DATOS3!$1:$19996,A566,MATCH("Total_Fluoro_Time", DATOS3!$1:$1,0)))</f>
        <v>#N/A</v>
      </c>
    </row>
    <row r="567" spans="1:11" hidden="1" x14ac:dyDescent="0.25">
      <c r="A567">
        <v>567</v>
      </c>
      <c r="B567" t="e">
        <f t="shared" si="16"/>
        <v>#N/A</v>
      </c>
      <c r="C567" t="e">
        <f t="shared" si="17"/>
        <v>#N/A</v>
      </c>
      <c r="D567" t="e">
        <f>IF(INDEX( DATOS3!$1:$19996,A567,MATCH("PatientID", DATOS3!$1:$1,0))=0,"",INDEX( DATOS3!$1:$19996,A567,MATCH("PatientID", DATOS3!$1:$1,0)))</f>
        <v>#N/A</v>
      </c>
      <c r="F567" t="e">
        <f>IF(INDEX( DATOS3!$1:$19996,A567,MATCH("SeriesDate", DATOS3!$1:$1,0))=0,"",INDEX( DATOS3!$1:$19996,A567,MATCH("SeriesDate", DATOS3!$1:$1,0)))</f>
        <v>#N/A</v>
      </c>
      <c r="G567" t="e">
        <f>IF(INDEX( DATOS3!$1:$19996,A567,MATCH("SeriesTime", DATOS3!$1:$1,0))=0,"",INDEX( DATOS3!$1:$19996,A567,MATCH("SeriesTime", DATOS3!$1:$1,0)))</f>
        <v>#N/A</v>
      </c>
      <c r="H567" t="e">
        <f>IF(INDEX( DATOS3!$1:$19996,A567,MATCH("StudyDescription", DATOS3!$1:$1,0))=0,"",INDEX( DATOS3!$1:$19996,A567,MATCH("StudyDescription", DATOS3!$1:$1,0)))</f>
        <v>#N/A</v>
      </c>
      <c r="I567" t="e">
        <f>IF(INDEX( DATOS3!$1:$19996,A567,MATCH("Dose_Area_Product_Total", DATOS3!$1:$1,0))=0,0,INDEX( DATOS3!$1:$19996,A567,MATCH("Dose_Area_Product", DATOS3!$1:$1,0)))</f>
        <v>#N/A</v>
      </c>
      <c r="J567" t="e">
        <f>IF(INDEX( DATOS3!$1:$19996,A567,MATCH("Dose_RP_Total", DATOS3!$1:$1,0))=0,0,INDEX( DATOS3!$1:$19996,A567,MATCH("Dose_RP", DATOS3!$1:$1,0)))</f>
        <v>#N/A</v>
      </c>
      <c r="K567" t="e">
        <f>IF(INDEX( DATOS3!$1:$19996,A567,MATCH("Total_Fluoro_Time", DATOS3!$1:$1,0))=0,0,INDEX( DATOS3!$1:$19996,A567,MATCH("Total_Fluoro_Time", DATOS3!$1:$1,0)))</f>
        <v>#N/A</v>
      </c>
    </row>
    <row r="568" spans="1:11" hidden="1" x14ac:dyDescent="0.25">
      <c r="A568">
        <v>568</v>
      </c>
      <c r="B568" t="e">
        <f t="shared" si="16"/>
        <v>#N/A</v>
      </c>
      <c r="C568" t="e">
        <f t="shared" si="17"/>
        <v>#N/A</v>
      </c>
      <c r="D568" t="e">
        <f>IF(INDEX( DATOS3!$1:$19996,A568,MATCH("PatientID", DATOS3!$1:$1,0))=0,"",INDEX( DATOS3!$1:$19996,A568,MATCH("PatientID", DATOS3!$1:$1,0)))</f>
        <v>#N/A</v>
      </c>
      <c r="F568" t="e">
        <f>IF(INDEX( DATOS3!$1:$19996,A568,MATCH("SeriesDate", DATOS3!$1:$1,0))=0,"",INDEX( DATOS3!$1:$19996,A568,MATCH("SeriesDate", DATOS3!$1:$1,0)))</f>
        <v>#N/A</v>
      </c>
      <c r="G568" t="e">
        <f>IF(INDEX( DATOS3!$1:$19996,A568,MATCH("SeriesTime", DATOS3!$1:$1,0))=0,"",INDEX( DATOS3!$1:$19996,A568,MATCH("SeriesTime", DATOS3!$1:$1,0)))</f>
        <v>#N/A</v>
      </c>
      <c r="H568" t="e">
        <f>IF(INDEX( DATOS3!$1:$19996,A568,MATCH("StudyDescription", DATOS3!$1:$1,0))=0,"",INDEX( DATOS3!$1:$19996,A568,MATCH("StudyDescription", DATOS3!$1:$1,0)))</f>
        <v>#N/A</v>
      </c>
      <c r="I568" t="e">
        <f>IF(INDEX( DATOS3!$1:$19996,A568,MATCH("Dose_Area_Product_Total", DATOS3!$1:$1,0))=0,0,INDEX( DATOS3!$1:$19996,A568,MATCH("Dose_Area_Product", DATOS3!$1:$1,0)))</f>
        <v>#N/A</v>
      </c>
      <c r="J568" t="e">
        <f>IF(INDEX( DATOS3!$1:$19996,A568,MATCH("Dose_RP_Total", DATOS3!$1:$1,0))=0,0,INDEX( DATOS3!$1:$19996,A568,MATCH("Dose_RP", DATOS3!$1:$1,0)))</f>
        <v>#N/A</v>
      </c>
      <c r="K568" t="e">
        <f>IF(INDEX( DATOS3!$1:$19996,A568,MATCH("Total_Fluoro_Time", DATOS3!$1:$1,0))=0,0,INDEX( DATOS3!$1:$19996,A568,MATCH("Total_Fluoro_Time", DATOS3!$1:$1,0)))</f>
        <v>#N/A</v>
      </c>
    </row>
    <row r="569" spans="1:11" hidden="1" x14ac:dyDescent="0.25">
      <c r="A569">
        <v>569</v>
      </c>
      <c r="B569" t="e">
        <f t="shared" si="16"/>
        <v>#N/A</v>
      </c>
      <c r="C569" t="e">
        <f t="shared" si="17"/>
        <v>#N/A</v>
      </c>
      <c r="D569" t="e">
        <f>IF(INDEX( DATOS3!$1:$19996,A569,MATCH("PatientID", DATOS3!$1:$1,0))=0,"",INDEX( DATOS3!$1:$19996,A569,MATCH("PatientID", DATOS3!$1:$1,0)))</f>
        <v>#N/A</v>
      </c>
      <c r="F569" t="e">
        <f>IF(INDEX( DATOS3!$1:$19996,A569,MATCH("SeriesDate", DATOS3!$1:$1,0))=0,"",INDEX( DATOS3!$1:$19996,A569,MATCH("SeriesDate", DATOS3!$1:$1,0)))</f>
        <v>#N/A</v>
      </c>
      <c r="G569" t="e">
        <f>IF(INDEX( DATOS3!$1:$19996,A569,MATCH("SeriesTime", DATOS3!$1:$1,0))=0,"",INDEX( DATOS3!$1:$19996,A569,MATCH("SeriesTime", DATOS3!$1:$1,0)))</f>
        <v>#N/A</v>
      </c>
      <c r="H569" t="e">
        <f>IF(INDEX( DATOS3!$1:$19996,A569,MATCH("StudyDescription", DATOS3!$1:$1,0))=0,"",INDEX( DATOS3!$1:$19996,A569,MATCH("StudyDescription", DATOS3!$1:$1,0)))</f>
        <v>#N/A</v>
      </c>
      <c r="I569" t="e">
        <f>IF(INDEX( DATOS3!$1:$19996,A569,MATCH("Dose_Area_Product_Total", DATOS3!$1:$1,0))=0,0,INDEX( DATOS3!$1:$19996,A569,MATCH("Dose_Area_Product", DATOS3!$1:$1,0)))</f>
        <v>#N/A</v>
      </c>
      <c r="J569" t="e">
        <f>IF(INDEX( DATOS3!$1:$19996,A569,MATCH("Dose_RP_Total", DATOS3!$1:$1,0))=0,0,INDEX( DATOS3!$1:$19996,A569,MATCH("Dose_RP", DATOS3!$1:$1,0)))</f>
        <v>#N/A</v>
      </c>
      <c r="K569" t="e">
        <f>IF(INDEX( DATOS3!$1:$19996,A569,MATCH("Total_Fluoro_Time", DATOS3!$1:$1,0))=0,0,INDEX( DATOS3!$1:$19996,A569,MATCH("Total_Fluoro_Time", DATOS3!$1:$1,0)))</f>
        <v>#N/A</v>
      </c>
    </row>
    <row r="570" spans="1:11" hidden="1" x14ac:dyDescent="0.25">
      <c r="A570">
        <v>570</v>
      </c>
      <c r="B570" t="e">
        <f t="shared" si="16"/>
        <v>#N/A</v>
      </c>
      <c r="C570" t="e">
        <f t="shared" si="17"/>
        <v>#N/A</v>
      </c>
      <c r="D570" t="e">
        <f>IF(INDEX( DATOS3!$1:$19996,A570,MATCH("PatientID", DATOS3!$1:$1,0))=0,"",INDEX( DATOS3!$1:$19996,A570,MATCH("PatientID", DATOS3!$1:$1,0)))</f>
        <v>#N/A</v>
      </c>
      <c r="F570" t="e">
        <f>IF(INDEX( DATOS3!$1:$19996,A570,MATCH("SeriesDate", DATOS3!$1:$1,0))=0,"",INDEX( DATOS3!$1:$19996,A570,MATCH("SeriesDate", DATOS3!$1:$1,0)))</f>
        <v>#N/A</v>
      </c>
      <c r="G570" t="e">
        <f>IF(INDEX( DATOS3!$1:$19996,A570,MATCH("SeriesTime", DATOS3!$1:$1,0))=0,"",INDEX( DATOS3!$1:$19996,A570,MATCH("SeriesTime", DATOS3!$1:$1,0)))</f>
        <v>#N/A</v>
      </c>
      <c r="H570" t="e">
        <f>IF(INDEX( DATOS3!$1:$19996,A570,MATCH("StudyDescription", DATOS3!$1:$1,0))=0,"",INDEX( DATOS3!$1:$19996,A570,MATCH("StudyDescription", DATOS3!$1:$1,0)))</f>
        <v>#N/A</v>
      </c>
      <c r="I570" t="e">
        <f>IF(INDEX( DATOS3!$1:$19996,A570,MATCH("Dose_Area_Product_Total", DATOS3!$1:$1,0))=0,0,INDEX( DATOS3!$1:$19996,A570,MATCH("Dose_Area_Product", DATOS3!$1:$1,0)))</f>
        <v>#N/A</v>
      </c>
      <c r="J570" t="e">
        <f>IF(INDEX( DATOS3!$1:$19996,A570,MATCH("Dose_RP_Total", DATOS3!$1:$1,0))=0,0,INDEX( DATOS3!$1:$19996,A570,MATCH("Dose_RP", DATOS3!$1:$1,0)))</f>
        <v>#N/A</v>
      </c>
      <c r="K570" t="e">
        <f>IF(INDEX( DATOS3!$1:$19996,A570,MATCH("Total_Fluoro_Time", DATOS3!$1:$1,0))=0,0,INDEX( DATOS3!$1:$19996,A570,MATCH("Total_Fluoro_Time", DATOS3!$1:$1,0)))</f>
        <v>#N/A</v>
      </c>
    </row>
    <row r="571" spans="1:11" hidden="1" x14ac:dyDescent="0.25">
      <c r="A571">
        <v>571</v>
      </c>
      <c r="B571" t="e">
        <f t="shared" si="16"/>
        <v>#N/A</v>
      </c>
      <c r="C571" t="e">
        <f t="shared" si="17"/>
        <v>#N/A</v>
      </c>
      <c r="D571" t="e">
        <f>IF(INDEX( DATOS3!$1:$19996,A571,MATCH("PatientID", DATOS3!$1:$1,0))=0,"",INDEX( DATOS3!$1:$19996,A571,MATCH("PatientID", DATOS3!$1:$1,0)))</f>
        <v>#N/A</v>
      </c>
      <c r="F571" t="e">
        <f>IF(INDEX( DATOS3!$1:$19996,A571,MATCH("SeriesDate", DATOS3!$1:$1,0))=0,"",INDEX( DATOS3!$1:$19996,A571,MATCH("SeriesDate", DATOS3!$1:$1,0)))</f>
        <v>#N/A</v>
      </c>
      <c r="G571" t="e">
        <f>IF(INDEX( DATOS3!$1:$19996,A571,MATCH("SeriesTime", DATOS3!$1:$1,0))=0,"",INDEX( DATOS3!$1:$19996,A571,MATCH("SeriesTime", DATOS3!$1:$1,0)))</f>
        <v>#N/A</v>
      </c>
      <c r="H571" t="e">
        <f>IF(INDEX( DATOS3!$1:$19996,A571,MATCH("StudyDescription", DATOS3!$1:$1,0))=0,"",INDEX( DATOS3!$1:$19996,A571,MATCH("StudyDescription", DATOS3!$1:$1,0)))</f>
        <v>#N/A</v>
      </c>
      <c r="I571" t="e">
        <f>IF(INDEX( DATOS3!$1:$19996,A571,MATCH("Dose_Area_Product_Total", DATOS3!$1:$1,0))=0,0,INDEX( DATOS3!$1:$19996,A571,MATCH("Dose_Area_Product", DATOS3!$1:$1,0)))</f>
        <v>#N/A</v>
      </c>
      <c r="J571" t="e">
        <f>IF(INDEX( DATOS3!$1:$19996,A571,MATCH("Dose_RP_Total", DATOS3!$1:$1,0))=0,0,INDEX( DATOS3!$1:$19996,A571,MATCH("Dose_RP", DATOS3!$1:$1,0)))</f>
        <v>#N/A</v>
      </c>
      <c r="K571" t="e">
        <f>IF(INDEX( DATOS3!$1:$19996,A571,MATCH("Total_Fluoro_Time", DATOS3!$1:$1,0))=0,0,INDEX( DATOS3!$1:$19996,A571,MATCH("Total_Fluoro_Time", DATOS3!$1:$1,0)))</f>
        <v>#N/A</v>
      </c>
    </row>
    <row r="572" spans="1:11" hidden="1" x14ac:dyDescent="0.25">
      <c r="A572">
        <v>572</v>
      </c>
      <c r="B572" t="e">
        <f t="shared" si="16"/>
        <v>#N/A</v>
      </c>
      <c r="C572" t="e">
        <f t="shared" si="17"/>
        <v>#N/A</v>
      </c>
      <c r="D572" t="e">
        <f>IF(INDEX( DATOS3!$1:$19996,A572,MATCH("PatientID", DATOS3!$1:$1,0))=0,"",INDEX( DATOS3!$1:$19996,A572,MATCH("PatientID", DATOS3!$1:$1,0)))</f>
        <v>#N/A</v>
      </c>
      <c r="F572" t="e">
        <f>IF(INDEX( DATOS3!$1:$19996,A572,MATCH("SeriesDate", DATOS3!$1:$1,0))=0,"",INDEX( DATOS3!$1:$19996,A572,MATCH("SeriesDate", DATOS3!$1:$1,0)))</f>
        <v>#N/A</v>
      </c>
      <c r="G572" t="e">
        <f>IF(INDEX( DATOS3!$1:$19996,A572,MATCH("SeriesTime", DATOS3!$1:$1,0))=0,"",INDEX( DATOS3!$1:$19996,A572,MATCH("SeriesTime", DATOS3!$1:$1,0)))</f>
        <v>#N/A</v>
      </c>
      <c r="H572" t="e">
        <f>IF(INDEX( DATOS3!$1:$19996,A572,MATCH("StudyDescription", DATOS3!$1:$1,0))=0,"",INDEX( DATOS3!$1:$19996,A572,MATCH("StudyDescription", DATOS3!$1:$1,0)))</f>
        <v>#N/A</v>
      </c>
      <c r="I572" t="e">
        <f>IF(INDEX( DATOS3!$1:$19996,A572,MATCH("Dose_Area_Product_Total", DATOS3!$1:$1,0))=0,0,INDEX( DATOS3!$1:$19996,A572,MATCH("Dose_Area_Product", DATOS3!$1:$1,0)))</f>
        <v>#N/A</v>
      </c>
      <c r="J572" t="e">
        <f>IF(INDEX( DATOS3!$1:$19996,A572,MATCH("Dose_RP_Total", DATOS3!$1:$1,0))=0,0,INDEX( DATOS3!$1:$19996,A572,MATCH("Dose_RP", DATOS3!$1:$1,0)))</f>
        <v>#N/A</v>
      </c>
      <c r="K572" t="e">
        <f>IF(INDEX( DATOS3!$1:$19996,A572,MATCH("Total_Fluoro_Time", DATOS3!$1:$1,0))=0,0,INDEX( DATOS3!$1:$19996,A572,MATCH("Total_Fluoro_Time", DATOS3!$1:$1,0)))</f>
        <v>#N/A</v>
      </c>
    </row>
    <row r="573" spans="1:11" hidden="1" x14ac:dyDescent="0.25">
      <c r="A573">
        <v>573</v>
      </c>
      <c r="B573" t="e">
        <f t="shared" si="16"/>
        <v>#N/A</v>
      </c>
      <c r="C573" t="e">
        <f t="shared" si="17"/>
        <v>#N/A</v>
      </c>
      <c r="D573" t="e">
        <f>IF(INDEX( DATOS3!$1:$19996,A573,MATCH("PatientID", DATOS3!$1:$1,0))=0,"",INDEX( DATOS3!$1:$19996,A573,MATCH("PatientID", DATOS3!$1:$1,0)))</f>
        <v>#N/A</v>
      </c>
      <c r="F573" t="e">
        <f>IF(INDEX( DATOS3!$1:$19996,A573,MATCH("SeriesDate", DATOS3!$1:$1,0))=0,"",INDEX( DATOS3!$1:$19996,A573,MATCH("SeriesDate", DATOS3!$1:$1,0)))</f>
        <v>#N/A</v>
      </c>
      <c r="G573" t="e">
        <f>IF(INDEX( DATOS3!$1:$19996,A573,MATCH("SeriesTime", DATOS3!$1:$1,0))=0,"",INDEX( DATOS3!$1:$19996,A573,MATCH("SeriesTime", DATOS3!$1:$1,0)))</f>
        <v>#N/A</v>
      </c>
      <c r="H573" t="e">
        <f>IF(INDEX( DATOS3!$1:$19996,A573,MATCH("StudyDescription", DATOS3!$1:$1,0))=0,"",INDEX( DATOS3!$1:$19996,A573,MATCH("StudyDescription", DATOS3!$1:$1,0)))</f>
        <v>#N/A</v>
      </c>
      <c r="I573" t="e">
        <f>IF(INDEX( DATOS3!$1:$19996,A573,MATCH("Dose_Area_Product_Total", DATOS3!$1:$1,0))=0,0,INDEX( DATOS3!$1:$19996,A573,MATCH("Dose_Area_Product", DATOS3!$1:$1,0)))</f>
        <v>#N/A</v>
      </c>
      <c r="J573" t="e">
        <f>IF(INDEX( DATOS3!$1:$19996,A573,MATCH("Dose_RP_Total", DATOS3!$1:$1,0))=0,0,INDEX( DATOS3!$1:$19996,A573,MATCH("Dose_RP", DATOS3!$1:$1,0)))</f>
        <v>#N/A</v>
      </c>
      <c r="K573" t="e">
        <f>IF(INDEX( DATOS3!$1:$19996,A573,MATCH("Total_Fluoro_Time", DATOS3!$1:$1,0))=0,0,INDEX( DATOS3!$1:$19996,A573,MATCH("Total_Fluoro_Time", DATOS3!$1:$1,0)))</f>
        <v>#N/A</v>
      </c>
    </row>
    <row r="574" spans="1:11" hidden="1" x14ac:dyDescent="0.25">
      <c r="A574">
        <v>574</v>
      </c>
      <c r="B574" t="e">
        <f t="shared" si="16"/>
        <v>#N/A</v>
      </c>
      <c r="C574" t="e">
        <f t="shared" si="17"/>
        <v>#N/A</v>
      </c>
      <c r="D574" t="e">
        <f>IF(INDEX( DATOS3!$1:$19996,A574,MATCH("PatientID", DATOS3!$1:$1,0))=0,"",INDEX( DATOS3!$1:$19996,A574,MATCH("PatientID", DATOS3!$1:$1,0)))</f>
        <v>#N/A</v>
      </c>
      <c r="F574" t="e">
        <f>IF(INDEX( DATOS3!$1:$19996,A574,MATCH("SeriesDate", DATOS3!$1:$1,0))=0,"",INDEX( DATOS3!$1:$19996,A574,MATCH("SeriesDate", DATOS3!$1:$1,0)))</f>
        <v>#N/A</v>
      </c>
      <c r="G574" t="e">
        <f>IF(INDEX( DATOS3!$1:$19996,A574,MATCH("SeriesTime", DATOS3!$1:$1,0))=0,"",INDEX( DATOS3!$1:$19996,A574,MATCH("SeriesTime", DATOS3!$1:$1,0)))</f>
        <v>#N/A</v>
      </c>
      <c r="H574" t="e">
        <f>IF(INDEX( DATOS3!$1:$19996,A574,MATCH("StudyDescription", DATOS3!$1:$1,0))=0,"",INDEX( DATOS3!$1:$19996,A574,MATCH("StudyDescription", DATOS3!$1:$1,0)))</f>
        <v>#N/A</v>
      </c>
      <c r="I574" t="e">
        <f>IF(INDEX( DATOS3!$1:$19996,A574,MATCH("Dose_Area_Product_Total", DATOS3!$1:$1,0))=0,0,INDEX( DATOS3!$1:$19996,A574,MATCH("Dose_Area_Product", DATOS3!$1:$1,0)))</f>
        <v>#N/A</v>
      </c>
      <c r="J574" t="e">
        <f>IF(INDEX( DATOS3!$1:$19996,A574,MATCH("Dose_RP_Total", DATOS3!$1:$1,0))=0,0,INDEX( DATOS3!$1:$19996,A574,MATCH("Dose_RP", DATOS3!$1:$1,0)))</f>
        <v>#N/A</v>
      </c>
      <c r="K574" t="e">
        <f>IF(INDEX( DATOS3!$1:$19996,A574,MATCH("Total_Fluoro_Time", DATOS3!$1:$1,0))=0,0,INDEX( DATOS3!$1:$19996,A574,MATCH("Total_Fluoro_Time", DATOS3!$1:$1,0)))</f>
        <v>#N/A</v>
      </c>
    </row>
    <row r="575" spans="1:11" hidden="1" x14ac:dyDescent="0.25">
      <c r="A575">
        <v>575</v>
      </c>
      <c r="B575" t="e">
        <f t="shared" si="16"/>
        <v>#N/A</v>
      </c>
      <c r="C575" t="e">
        <f t="shared" si="17"/>
        <v>#N/A</v>
      </c>
      <c r="D575" t="e">
        <f>IF(INDEX( DATOS3!$1:$19996,A575,MATCH("PatientID", DATOS3!$1:$1,0))=0,"",INDEX( DATOS3!$1:$19996,A575,MATCH("PatientID", DATOS3!$1:$1,0)))</f>
        <v>#N/A</v>
      </c>
      <c r="F575" t="e">
        <f>IF(INDEX( DATOS3!$1:$19996,A575,MATCH("SeriesDate", DATOS3!$1:$1,0))=0,"",INDEX( DATOS3!$1:$19996,A575,MATCH("SeriesDate", DATOS3!$1:$1,0)))</f>
        <v>#N/A</v>
      </c>
      <c r="G575" t="e">
        <f>IF(INDEX( DATOS3!$1:$19996,A575,MATCH("SeriesTime", DATOS3!$1:$1,0))=0,"",INDEX( DATOS3!$1:$19996,A575,MATCH("SeriesTime", DATOS3!$1:$1,0)))</f>
        <v>#N/A</v>
      </c>
      <c r="H575" t="e">
        <f>IF(INDEX( DATOS3!$1:$19996,A575,MATCH("StudyDescription", DATOS3!$1:$1,0))=0,"",INDEX( DATOS3!$1:$19996,A575,MATCH("StudyDescription", DATOS3!$1:$1,0)))</f>
        <v>#N/A</v>
      </c>
      <c r="I575" t="e">
        <f>IF(INDEX( DATOS3!$1:$19996,A575,MATCH("Dose_Area_Product_Total", DATOS3!$1:$1,0))=0,0,INDEX( DATOS3!$1:$19996,A575,MATCH("Dose_Area_Product", DATOS3!$1:$1,0)))</f>
        <v>#N/A</v>
      </c>
      <c r="J575" t="e">
        <f>IF(INDEX( DATOS3!$1:$19996,A575,MATCH("Dose_RP_Total", DATOS3!$1:$1,0))=0,0,INDEX( DATOS3!$1:$19996,A575,MATCH("Dose_RP", DATOS3!$1:$1,0)))</f>
        <v>#N/A</v>
      </c>
      <c r="K575" t="e">
        <f>IF(INDEX( DATOS3!$1:$19996,A575,MATCH("Total_Fluoro_Time", DATOS3!$1:$1,0))=0,0,INDEX( DATOS3!$1:$19996,A575,MATCH("Total_Fluoro_Time", DATOS3!$1:$1,0)))</f>
        <v>#N/A</v>
      </c>
    </row>
    <row r="576" spans="1:11" hidden="1" x14ac:dyDescent="0.25">
      <c r="A576">
        <v>576</v>
      </c>
      <c r="B576" t="e">
        <f t="shared" si="16"/>
        <v>#N/A</v>
      </c>
      <c r="C576" t="e">
        <f t="shared" si="17"/>
        <v>#N/A</v>
      </c>
      <c r="D576" t="e">
        <f>IF(INDEX( DATOS3!$1:$19996,A576,MATCH("PatientID", DATOS3!$1:$1,0))=0,"",INDEX( DATOS3!$1:$19996,A576,MATCH("PatientID", DATOS3!$1:$1,0)))</f>
        <v>#N/A</v>
      </c>
      <c r="F576" t="e">
        <f>IF(INDEX( DATOS3!$1:$19996,A576,MATCH("SeriesDate", DATOS3!$1:$1,0))=0,"",INDEX( DATOS3!$1:$19996,A576,MATCH("SeriesDate", DATOS3!$1:$1,0)))</f>
        <v>#N/A</v>
      </c>
      <c r="G576" t="e">
        <f>IF(INDEX( DATOS3!$1:$19996,A576,MATCH("SeriesTime", DATOS3!$1:$1,0))=0,"",INDEX( DATOS3!$1:$19996,A576,MATCH("SeriesTime", DATOS3!$1:$1,0)))</f>
        <v>#N/A</v>
      </c>
      <c r="H576" t="e">
        <f>IF(INDEX( DATOS3!$1:$19996,A576,MATCH("StudyDescription", DATOS3!$1:$1,0))=0,"",INDEX( DATOS3!$1:$19996,A576,MATCH("StudyDescription", DATOS3!$1:$1,0)))</f>
        <v>#N/A</v>
      </c>
      <c r="I576" t="e">
        <f>IF(INDEX( DATOS3!$1:$19996,A576,MATCH("Dose_Area_Product_Total", DATOS3!$1:$1,0))=0,0,INDEX( DATOS3!$1:$19996,A576,MATCH("Dose_Area_Product", DATOS3!$1:$1,0)))</f>
        <v>#N/A</v>
      </c>
      <c r="J576" t="e">
        <f>IF(INDEX( DATOS3!$1:$19996,A576,MATCH("Dose_RP_Total", DATOS3!$1:$1,0))=0,0,INDEX( DATOS3!$1:$19996,A576,MATCH("Dose_RP", DATOS3!$1:$1,0)))</f>
        <v>#N/A</v>
      </c>
      <c r="K576" t="e">
        <f>IF(INDEX( DATOS3!$1:$19996,A576,MATCH("Total_Fluoro_Time", DATOS3!$1:$1,0))=0,0,INDEX( DATOS3!$1:$19996,A576,MATCH("Total_Fluoro_Time", DATOS3!$1:$1,0)))</f>
        <v>#N/A</v>
      </c>
    </row>
    <row r="577" spans="1:11" hidden="1" x14ac:dyDescent="0.25">
      <c r="A577">
        <v>577</v>
      </c>
      <c r="B577" t="e">
        <f t="shared" si="16"/>
        <v>#N/A</v>
      </c>
      <c r="C577" t="e">
        <f t="shared" si="17"/>
        <v>#N/A</v>
      </c>
      <c r="D577" t="e">
        <f>IF(INDEX( DATOS3!$1:$19996,A577,MATCH("PatientID", DATOS3!$1:$1,0))=0,"",INDEX( DATOS3!$1:$19996,A577,MATCH("PatientID", DATOS3!$1:$1,0)))</f>
        <v>#N/A</v>
      </c>
      <c r="F577" t="e">
        <f>IF(INDEX( DATOS3!$1:$19996,A577,MATCH("SeriesDate", DATOS3!$1:$1,0))=0,"",INDEX( DATOS3!$1:$19996,A577,MATCH("SeriesDate", DATOS3!$1:$1,0)))</f>
        <v>#N/A</v>
      </c>
      <c r="G577" t="e">
        <f>IF(INDEX( DATOS3!$1:$19996,A577,MATCH("SeriesTime", DATOS3!$1:$1,0))=0,"",INDEX( DATOS3!$1:$19996,A577,MATCH("SeriesTime", DATOS3!$1:$1,0)))</f>
        <v>#N/A</v>
      </c>
      <c r="H577" t="e">
        <f>IF(INDEX( DATOS3!$1:$19996,A577,MATCH("StudyDescription", DATOS3!$1:$1,0))=0,"",INDEX( DATOS3!$1:$19996,A577,MATCH("StudyDescription", DATOS3!$1:$1,0)))</f>
        <v>#N/A</v>
      </c>
      <c r="I577" t="e">
        <f>IF(INDEX( DATOS3!$1:$19996,A577,MATCH("Dose_Area_Product_Total", DATOS3!$1:$1,0))=0,0,INDEX( DATOS3!$1:$19996,A577,MATCH("Dose_Area_Product", DATOS3!$1:$1,0)))</f>
        <v>#N/A</v>
      </c>
      <c r="J577" t="e">
        <f>IF(INDEX( DATOS3!$1:$19996,A577,MATCH("Dose_RP_Total", DATOS3!$1:$1,0))=0,0,INDEX( DATOS3!$1:$19996,A577,MATCH("Dose_RP", DATOS3!$1:$1,0)))</f>
        <v>#N/A</v>
      </c>
      <c r="K577" t="e">
        <f>IF(INDEX( DATOS3!$1:$19996,A577,MATCH("Total_Fluoro_Time", DATOS3!$1:$1,0))=0,0,INDEX( DATOS3!$1:$19996,A577,MATCH("Total_Fluoro_Time", DATOS3!$1:$1,0)))</f>
        <v>#N/A</v>
      </c>
    </row>
    <row r="578" spans="1:11" hidden="1" x14ac:dyDescent="0.25">
      <c r="A578">
        <v>578</v>
      </c>
      <c r="B578" t="e">
        <f t="shared" si="16"/>
        <v>#N/A</v>
      </c>
      <c r="C578" t="e">
        <f t="shared" si="17"/>
        <v>#N/A</v>
      </c>
      <c r="D578" t="e">
        <f>IF(INDEX( DATOS3!$1:$19996,A578,MATCH("PatientID", DATOS3!$1:$1,0))=0,"",INDEX( DATOS3!$1:$19996,A578,MATCH("PatientID", DATOS3!$1:$1,0)))</f>
        <v>#N/A</v>
      </c>
      <c r="F578" t="e">
        <f>IF(INDEX( DATOS3!$1:$19996,A578,MATCH("SeriesDate", DATOS3!$1:$1,0))=0,"",INDEX( DATOS3!$1:$19996,A578,MATCH("SeriesDate", DATOS3!$1:$1,0)))</f>
        <v>#N/A</v>
      </c>
      <c r="G578" t="e">
        <f>IF(INDEX( DATOS3!$1:$19996,A578,MATCH("SeriesTime", DATOS3!$1:$1,0))=0,"",INDEX( DATOS3!$1:$19996,A578,MATCH("SeriesTime", DATOS3!$1:$1,0)))</f>
        <v>#N/A</v>
      </c>
      <c r="H578" t="e">
        <f>IF(INDEX( DATOS3!$1:$19996,A578,MATCH("StudyDescription", DATOS3!$1:$1,0))=0,"",INDEX( DATOS3!$1:$19996,A578,MATCH("StudyDescription", DATOS3!$1:$1,0)))</f>
        <v>#N/A</v>
      </c>
      <c r="I578" t="e">
        <f>IF(INDEX( DATOS3!$1:$19996,A578,MATCH("Dose_Area_Product_Total", DATOS3!$1:$1,0))=0,0,INDEX( DATOS3!$1:$19996,A578,MATCH("Dose_Area_Product", DATOS3!$1:$1,0)))</f>
        <v>#N/A</v>
      </c>
      <c r="J578" t="e">
        <f>IF(INDEX( DATOS3!$1:$19996,A578,MATCH("Dose_RP_Total", DATOS3!$1:$1,0))=0,0,INDEX( DATOS3!$1:$19996,A578,MATCH("Dose_RP", DATOS3!$1:$1,0)))</f>
        <v>#N/A</v>
      </c>
      <c r="K578" t="e">
        <f>IF(INDEX( DATOS3!$1:$19996,A578,MATCH("Total_Fluoro_Time", DATOS3!$1:$1,0))=0,0,INDEX( DATOS3!$1:$19996,A578,MATCH("Total_Fluoro_Time", DATOS3!$1:$1,0)))</f>
        <v>#N/A</v>
      </c>
    </row>
    <row r="579" spans="1:11" hidden="1" x14ac:dyDescent="0.25">
      <c r="A579">
        <v>579</v>
      </c>
      <c r="B579" t="e">
        <f t="shared" ref="B579:B640" si="18">IF(D579="","","ARTISZEE")</f>
        <v>#N/A</v>
      </c>
      <c r="C579" t="e">
        <f t="shared" ref="C579:C642" si="19">IF(B579="ARTISZEE","Cardiología","")</f>
        <v>#N/A</v>
      </c>
      <c r="D579" t="e">
        <f>IF(INDEX( DATOS3!$1:$19996,A579,MATCH("PatientID", DATOS3!$1:$1,0))=0,"",INDEX( DATOS3!$1:$19996,A579,MATCH("PatientID", DATOS3!$1:$1,0)))</f>
        <v>#N/A</v>
      </c>
      <c r="F579" t="e">
        <f>IF(INDEX( DATOS3!$1:$19996,A579,MATCH("SeriesDate", DATOS3!$1:$1,0))=0,"",INDEX( DATOS3!$1:$19996,A579,MATCH("SeriesDate", DATOS3!$1:$1,0)))</f>
        <v>#N/A</v>
      </c>
      <c r="G579" t="e">
        <f>IF(INDEX( DATOS3!$1:$19996,A579,MATCH("SeriesTime", DATOS3!$1:$1,0))=0,"",INDEX( DATOS3!$1:$19996,A579,MATCH("SeriesTime", DATOS3!$1:$1,0)))</f>
        <v>#N/A</v>
      </c>
      <c r="H579" t="e">
        <f>IF(INDEX( DATOS3!$1:$19996,A579,MATCH("StudyDescription", DATOS3!$1:$1,0))=0,"",INDEX( DATOS3!$1:$19996,A579,MATCH("StudyDescription", DATOS3!$1:$1,0)))</f>
        <v>#N/A</v>
      </c>
      <c r="I579" t="e">
        <f>IF(INDEX( DATOS3!$1:$19996,A579,MATCH("Dose_Area_Product_Total", DATOS3!$1:$1,0))=0,0,INDEX( DATOS3!$1:$19996,A579,MATCH("Dose_Area_Product", DATOS3!$1:$1,0)))</f>
        <v>#N/A</v>
      </c>
      <c r="J579" t="e">
        <f>IF(INDEX( DATOS3!$1:$19996,A579,MATCH("Dose_RP_Total", DATOS3!$1:$1,0))=0,0,INDEX( DATOS3!$1:$19996,A579,MATCH("Dose_RP", DATOS3!$1:$1,0)))</f>
        <v>#N/A</v>
      </c>
      <c r="K579" t="e">
        <f>IF(INDEX( DATOS3!$1:$19996,A579,MATCH("Total_Fluoro_Time", DATOS3!$1:$1,0))=0,0,INDEX( DATOS3!$1:$19996,A579,MATCH("Total_Fluoro_Time", DATOS3!$1:$1,0)))</f>
        <v>#N/A</v>
      </c>
    </row>
    <row r="580" spans="1:11" hidden="1" x14ac:dyDescent="0.25">
      <c r="A580">
        <v>580</v>
      </c>
      <c r="B580" t="e">
        <f t="shared" si="18"/>
        <v>#N/A</v>
      </c>
      <c r="C580" t="e">
        <f t="shared" si="19"/>
        <v>#N/A</v>
      </c>
      <c r="D580" t="e">
        <f>IF(INDEX( DATOS3!$1:$19996,A580,MATCH("PatientID", DATOS3!$1:$1,0))=0,"",INDEX( DATOS3!$1:$19996,A580,MATCH("PatientID", DATOS3!$1:$1,0)))</f>
        <v>#N/A</v>
      </c>
      <c r="F580" t="e">
        <f>IF(INDEX( DATOS3!$1:$19996,A580,MATCH("SeriesDate", DATOS3!$1:$1,0))=0,"",INDEX( DATOS3!$1:$19996,A580,MATCH("SeriesDate", DATOS3!$1:$1,0)))</f>
        <v>#N/A</v>
      </c>
      <c r="G580" t="e">
        <f>IF(INDEX( DATOS3!$1:$19996,A580,MATCH("SeriesTime", DATOS3!$1:$1,0))=0,"",INDEX( DATOS3!$1:$19996,A580,MATCH("SeriesTime", DATOS3!$1:$1,0)))</f>
        <v>#N/A</v>
      </c>
      <c r="H580" t="e">
        <f>IF(INDEX( DATOS3!$1:$19996,A580,MATCH("StudyDescription", DATOS3!$1:$1,0))=0,"",INDEX( DATOS3!$1:$19996,A580,MATCH("StudyDescription", DATOS3!$1:$1,0)))</f>
        <v>#N/A</v>
      </c>
      <c r="I580" t="e">
        <f>IF(INDEX( DATOS3!$1:$19996,A580,MATCH("Dose_Area_Product_Total", DATOS3!$1:$1,0))=0,0,INDEX( DATOS3!$1:$19996,A580,MATCH("Dose_Area_Product", DATOS3!$1:$1,0)))</f>
        <v>#N/A</v>
      </c>
      <c r="J580" t="e">
        <f>IF(INDEX( DATOS3!$1:$19996,A580,MATCH("Dose_RP_Total", DATOS3!$1:$1,0))=0,0,INDEX( DATOS3!$1:$19996,A580,MATCH("Dose_RP", DATOS3!$1:$1,0)))</f>
        <v>#N/A</v>
      </c>
      <c r="K580" t="e">
        <f>IF(INDEX( DATOS3!$1:$19996,A580,MATCH("Total_Fluoro_Time", DATOS3!$1:$1,0))=0,0,INDEX( DATOS3!$1:$19996,A580,MATCH("Total_Fluoro_Time", DATOS3!$1:$1,0)))</f>
        <v>#N/A</v>
      </c>
    </row>
    <row r="581" spans="1:11" hidden="1" x14ac:dyDescent="0.25">
      <c r="A581">
        <v>581</v>
      </c>
      <c r="B581" t="e">
        <f t="shared" si="18"/>
        <v>#N/A</v>
      </c>
      <c r="C581" t="e">
        <f t="shared" si="19"/>
        <v>#N/A</v>
      </c>
      <c r="D581" t="e">
        <f>IF(INDEX( DATOS3!$1:$19996,A581,MATCH("PatientID", DATOS3!$1:$1,0))=0,"",INDEX( DATOS3!$1:$19996,A581,MATCH("PatientID", DATOS3!$1:$1,0)))</f>
        <v>#N/A</v>
      </c>
      <c r="F581" t="e">
        <f>IF(INDEX( DATOS3!$1:$19996,A581,MATCH("SeriesDate", DATOS3!$1:$1,0))=0,"",INDEX( DATOS3!$1:$19996,A581,MATCH("SeriesDate", DATOS3!$1:$1,0)))</f>
        <v>#N/A</v>
      </c>
      <c r="G581" t="e">
        <f>IF(INDEX( DATOS3!$1:$19996,A581,MATCH("SeriesTime", DATOS3!$1:$1,0))=0,"",INDEX( DATOS3!$1:$19996,A581,MATCH("SeriesTime", DATOS3!$1:$1,0)))</f>
        <v>#N/A</v>
      </c>
      <c r="H581" t="e">
        <f>IF(INDEX( DATOS3!$1:$19996,A581,MATCH("StudyDescription", DATOS3!$1:$1,0))=0,"",INDEX( DATOS3!$1:$19996,A581,MATCH("StudyDescription", DATOS3!$1:$1,0)))</f>
        <v>#N/A</v>
      </c>
      <c r="I581" t="e">
        <f>IF(INDEX( DATOS3!$1:$19996,A581,MATCH("Dose_Area_Product_Total", DATOS3!$1:$1,0))=0,0,INDEX( DATOS3!$1:$19996,A581,MATCH("Dose_Area_Product", DATOS3!$1:$1,0)))</f>
        <v>#N/A</v>
      </c>
      <c r="J581" t="e">
        <f>IF(INDEX( DATOS3!$1:$19996,A581,MATCH("Dose_RP_Total", DATOS3!$1:$1,0))=0,0,INDEX( DATOS3!$1:$19996,A581,MATCH("Dose_RP", DATOS3!$1:$1,0)))</f>
        <v>#N/A</v>
      </c>
      <c r="K581" t="e">
        <f>IF(INDEX( DATOS3!$1:$19996,A581,MATCH("Total_Fluoro_Time", DATOS3!$1:$1,0))=0,0,INDEX( DATOS3!$1:$19996,A581,MATCH("Total_Fluoro_Time", DATOS3!$1:$1,0)))</f>
        <v>#N/A</v>
      </c>
    </row>
    <row r="582" spans="1:11" hidden="1" x14ac:dyDescent="0.25">
      <c r="A582">
        <v>582</v>
      </c>
      <c r="B582" t="e">
        <f t="shared" si="18"/>
        <v>#N/A</v>
      </c>
      <c r="C582" t="e">
        <f t="shared" si="19"/>
        <v>#N/A</v>
      </c>
      <c r="D582" t="e">
        <f>IF(INDEX( DATOS3!$1:$19996,A582,MATCH("PatientID", DATOS3!$1:$1,0))=0,"",INDEX( DATOS3!$1:$19996,A582,MATCH("PatientID", DATOS3!$1:$1,0)))</f>
        <v>#N/A</v>
      </c>
      <c r="F582" t="e">
        <f>IF(INDEX( DATOS3!$1:$19996,A582,MATCH("SeriesDate", DATOS3!$1:$1,0))=0,"",INDEX( DATOS3!$1:$19996,A582,MATCH("SeriesDate", DATOS3!$1:$1,0)))</f>
        <v>#N/A</v>
      </c>
      <c r="G582" t="e">
        <f>IF(INDEX( DATOS3!$1:$19996,A582,MATCH("SeriesTime", DATOS3!$1:$1,0))=0,"",INDEX( DATOS3!$1:$19996,A582,MATCH("SeriesTime", DATOS3!$1:$1,0)))</f>
        <v>#N/A</v>
      </c>
      <c r="H582" t="e">
        <f>IF(INDEX( DATOS3!$1:$19996,A582,MATCH("StudyDescription", DATOS3!$1:$1,0))=0,"",INDEX( DATOS3!$1:$19996,A582,MATCH("StudyDescription", DATOS3!$1:$1,0)))</f>
        <v>#N/A</v>
      </c>
      <c r="I582" t="e">
        <f>IF(INDEX( DATOS3!$1:$19996,A582,MATCH("Dose_Area_Product_Total", DATOS3!$1:$1,0))=0,0,INDEX( DATOS3!$1:$19996,A582,MATCH("Dose_Area_Product", DATOS3!$1:$1,0)))</f>
        <v>#N/A</v>
      </c>
      <c r="J582" t="e">
        <f>IF(INDEX( DATOS3!$1:$19996,A582,MATCH("Dose_RP_Total", DATOS3!$1:$1,0))=0,0,INDEX( DATOS3!$1:$19996,A582,MATCH("Dose_RP", DATOS3!$1:$1,0)))</f>
        <v>#N/A</v>
      </c>
      <c r="K582" t="e">
        <f>IF(INDEX( DATOS3!$1:$19996,A582,MATCH("Total_Fluoro_Time", DATOS3!$1:$1,0))=0,0,INDEX( DATOS3!$1:$19996,A582,MATCH("Total_Fluoro_Time", DATOS3!$1:$1,0)))</f>
        <v>#N/A</v>
      </c>
    </row>
    <row r="583" spans="1:11" hidden="1" x14ac:dyDescent="0.25">
      <c r="A583">
        <v>583</v>
      </c>
      <c r="B583" t="e">
        <f t="shared" si="18"/>
        <v>#N/A</v>
      </c>
      <c r="C583" t="e">
        <f t="shared" si="19"/>
        <v>#N/A</v>
      </c>
      <c r="D583" t="e">
        <f>IF(INDEX( DATOS3!$1:$19996,A583,MATCH("PatientID", DATOS3!$1:$1,0))=0,"",INDEX( DATOS3!$1:$19996,A583,MATCH("PatientID", DATOS3!$1:$1,0)))</f>
        <v>#N/A</v>
      </c>
      <c r="F583" t="e">
        <f>IF(INDEX( DATOS3!$1:$19996,A583,MATCH("SeriesDate", DATOS3!$1:$1,0))=0,"",INDEX( DATOS3!$1:$19996,A583,MATCH("SeriesDate", DATOS3!$1:$1,0)))</f>
        <v>#N/A</v>
      </c>
      <c r="G583" t="e">
        <f>IF(INDEX( DATOS3!$1:$19996,A583,MATCH("SeriesTime", DATOS3!$1:$1,0))=0,"",INDEX( DATOS3!$1:$19996,A583,MATCH("SeriesTime", DATOS3!$1:$1,0)))</f>
        <v>#N/A</v>
      </c>
      <c r="H583" t="e">
        <f>IF(INDEX( DATOS3!$1:$19996,A583,MATCH("StudyDescription", DATOS3!$1:$1,0))=0,"",INDEX( DATOS3!$1:$19996,A583,MATCH("StudyDescription", DATOS3!$1:$1,0)))</f>
        <v>#N/A</v>
      </c>
      <c r="I583" t="e">
        <f>IF(INDEX( DATOS3!$1:$19996,A583,MATCH("Dose_Area_Product_Total", DATOS3!$1:$1,0))=0,0,INDEX( DATOS3!$1:$19996,A583,MATCH("Dose_Area_Product", DATOS3!$1:$1,0)))</f>
        <v>#N/A</v>
      </c>
      <c r="J583" t="e">
        <f>IF(INDEX( DATOS3!$1:$19996,A583,MATCH("Dose_RP_Total", DATOS3!$1:$1,0))=0,0,INDEX( DATOS3!$1:$19996,A583,MATCH("Dose_RP", DATOS3!$1:$1,0)))</f>
        <v>#N/A</v>
      </c>
      <c r="K583" t="e">
        <f>IF(INDEX( DATOS3!$1:$19996,A583,MATCH("Total_Fluoro_Time", DATOS3!$1:$1,0))=0,0,INDEX( DATOS3!$1:$19996,A583,MATCH("Total_Fluoro_Time", DATOS3!$1:$1,0)))</f>
        <v>#N/A</v>
      </c>
    </row>
    <row r="584" spans="1:11" hidden="1" x14ac:dyDescent="0.25">
      <c r="A584">
        <v>584</v>
      </c>
      <c r="B584" t="e">
        <f t="shared" si="18"/>
        <v>#N/A</v>
      </c>
      <c r="C584" t="e">
        <f t="shared" si="19"/>
        <v>#N/A</v>
      </c>
      <c r="D584" t="e">
        <f>IF(INDEX( DATOS3!$1:$19996,A584,MATCH("PatientID", DATOS3!$1:$1,0))=0,"",INDEX( DATOS3!$1:$19996,A584,MATCH("PatientID", DATOS3!$1:$1,0)))</f>
        <v>#N/A</v>
      </c>
      <c r="F584" t="e">
        <f>IF(INDEX( DATOS3!$1:$19996,A584,MATCH("SeriesDate", DATOS3!$1:$1,0))=0,"",INDEX( DATOS3!$1:$19996,A584,MATCH("SeriesDate", DATOS3!$1:$1,0)))</f>
        <v>#N/A</v>
      </c>
      <c r="G584" t="e">
        <f>IF(INDEX( DATOS3!$1:$19996,A584,MATCH("SeriesTime", DATOS3!$1:$1,0))=0,"",INDEX( DATOS3!$1:$19996,A584,MATCH("SeriesTime", DATOS3!$1:$1,0)))</f>
        <v>#N/A</v>
      </c>
      <c r="H584" t="e">
        <f>IF(INDEX( DATOS3!$1:$19996,A584,MATCH("StudyDescription", DATOS3!$1:$1,0))=0,"",INDEX( DATOS3!$1:$19996,A584,MATCH("StudyDescription", DATOS3!$1:$1,0)))</f>
        <v>#N/A</v>
      </c>
      <c r="I584" t="e">
        <f>IF(INDEX( DATOS3!$1:$19996,A584,MATCH("Dose_Area_Product_Total", DATOS3!$1:$1,0))=0,0,INDEX( DATOS3!$1:$19996,A584,MATCH("Dose_Area_Product", DATOS3!$1:$1,0)))</f>
        <v>#N/A</v>
      </c>
      <c r="J584" t="e">
        <f>IF(INDEX( DATOS3!$1:$19996,A584,MATCH("Dose_RP_Total", DATOS3!$1:$1,0))=0,0,INDEX( DATOS3!$1:$19996,A584,MATCH("Dose_RP", DATOS3!$1:$1,0)))</f>
        <v>#N/A</v>
      </c>
      <c r="K584" t="e">
        <f>IF(INDEX( DATOS3!$1:$19996,A584,MATCH("Total_Fluoro_Time", DATOS3!$1:$1,0))=0,0,INDEX( DATOS3!$1:$19996,A584,MATCH("Total_Fluoro_Time", DATOS3!$1:$1,0)))</f>
        <v>#N/A</v>
      </c>
    </row>
    <row r="585" spans="1:11" hidden="1" x14ac:dyDescent="0.25">
      <c r="A585">
        <v>585</v>
      </c>
      <c r="B585" t="e">
        <f t="shared" si="18"/>
        <v>#N/A</v>
      </c>
      <c r="C585" t="e">
        <f t="shared" si="19"/>
        <v>#N/A</v>
      </c>
      <c r="D585" t="e">
        <f>IF(INDEX( DATOS3!$1:$19996,A585,MATCH("PatientID", DATOS3!$1:$1,0))=0,"",INDEX( DATOS3!$1:$19996,A585,MATCH("PatientID", DATOS3!$1:$1,0)))</f>
        <v>#N/A</v>
      </c>
      <c r="F585" t="e">
        <f>IF(INDEX( DATOS3!$1:$19996,A585,MATCH("SeriesDate", DATOS3!$1:$1,0))=0,"",INDEX( DATOS3!$1:$19996,A585,MATCH("SeriesDate", DATOS3!$1:$1,0)))</f>
        <v>#N/A</v>
      </c>
      <c r="G585" t="e">
        <f>IF(INDEX( DATOS3!$1:$19996,A585,MATCH("SeriesTime", DATOS3!$1:$1,0))=0,"",INDEX( DATOS3!$1:$19996,A585,MATCH("SeriesTime", DATOS3!$1:$1,0)))</f>
        <v>#N/A</v>
      </c>
      <c r="H585" t="e">
        <f>IF(INDEX( DATOS3!$1:$19996,A585,MATCH("StudyDescription", DATOS3!$1:$1,0))=0,"",INDEX( DATOS3!$1:$19996,A585,MATCH("StudyDescription", DATOS3!$1:$1,0)))</f>
        <v>#N/A</v>
      </c>
      <c r="I585" t="e">
        <f>IF(INDEX( DATOS3!$1:$19996,A585,MATCH("Dose_Area_Product_Total", DATOS3!$1:$1,0))=0,0,INDEX( DATOS3!$1:$19996,A585,MATCH("Dose_Area_Product", DATOS3!$1:$1,0)))</f>
        <v>#N/A</v>
      </c>
      <c r="J585" t="e">
        <f>IF(INDEX( DATOS3!$1:$19996,A585,MATCH("Dose_RP_Total", DATOS3!$1:$1,0))=0,0,INDEX( DATOS3!$1:$19996,A585,MATCH("Dose_RP", DATOS3!$1:$1,0)))</f>
        <v>#N/A</v>
      </c>
      <c r="K585" t="e">
        <f>IF(INDEX( DATOS3!$1:$19996,A585,MATCH("Total_Fluoro_Time", DATOS3!$1:$1,0))=0,0,INDEX( DATOS3!$1:$19996,A585,MATCH("Total_Fluoro_Time", DATOS3!$1:$1,0)))</f>
        <v>#N/A</v>
      </c>
    </row>
    <row r="586" spans="1:11" hidden="1" x14ac:dyDescent="0.25">
      <c r="A586">
        <v>586</v>
      </c>
      <c r="B586" t="e">
        <f t="shared" si="18"/>
        <v>#N/A</v>
      </c>
      <c r="C586" t="e">
        <f t="shared" si="19"/>
        <v>#N/A</v>
      </c>
      <c r="D586" t="e">
        <f>IF(INDEX( DATOS3!$1:$19996,A586,MATCH("PatientID", DATOS3!$1:$1,0))=0,"",INDEX( DATOS3!$1:$19996,A586,MATCH("PatientID", DATOS3!$1:$1,0)))</f>
        <v>#N/A</v>
      </c>
      <c r="F586" t="e">
        <f>IF(INDEX( DATOS3!$1:$19996,A586,MATCH("SeriesDate", DATOS3!$1:$1,0))=0,"",INDEX( DATOS3!$1:$19996,A586,MATCH("SeriesDate", DATOS3!$1:$1,0)))</f>
        <v>#N/A</v>
      </c>
      <c r="G586" t="e">
        <f>IF(INDEX( DATOS3!$1:$19996,A586,MATCH("SeriesTime", DATOS3!$1:$1,0))=0,"",INDEX( DATOS3!$1:$19996,A586,MATCH("SeriesTime", DATOS3!$1:$1,0)))</f>
        <v>#N/A</v>
      </c>
      <c r="H586" t="e">
        <f>IF(INDEX( DATOS3!$1:$19996,A586,MATCH("StudyDescription", DATOS3!$1:$1,0))=0,"",INDEX( DATOS3!$1:$19996,A586,MATCH("StudyDescription", DATOS3!$1:$1,0)))</f>
        <v>#N/A</v>
      </c>
      <c r="I586" t="e">
        <f>IF(INDEX( DATOS3!$1:$19996,A586,MATCH("Dose_Area_Product_Total", DATOS3!$1:$1,0))=0,0,INDEX( DATOS3!$1:$19996,A586,MATCH("Dose_Area_Product", DATOS3!$1:$1,0)))</f>
        <v>#N/A</v>
      </c>
      <c r="J586" t="e">
        <f>IF(INDEX( DATOS3!$1:$19996,A586,MATCH("Dose_RP_Total", DATOS3!$1:$1,0))=0,0,INDEX( DATOS3!$1:$19996,A586,MATCH("Dose_RP", DATOS3!$1:$1,0)))</f>
        <v>#N/A</v>
      </c>
      <c r="K586" t="e">
        <f>IF(INDEX( DATOS3!$1:$19996,A586,MATCH("Total_Fluoro_Time", DATOS3!$1:$1,0))=0,0,INDEX( DATOS3!$1:$19996,A586,MATCH("Total_Fluoro_Time", DATOS3!$1:$1,0)))</f>
        <v>#N/A</v>
      </c>
    </row>
    <row r="587" spans="1:11" hidden="1" x14ac:dyDescent="0.25">
      <c r="A587">
        <v>587</v>
      </c>
      <c r="B587" t="e">
        <f t="shared" si="18"/>
        <v>#N/A</v>
      </c>
      <c r="C587" t="e">
        <f t="shared" si="19"/>
        <v>#N/A</v>
      </c>
      <c r="D587" t="e">
        <f>IF(INDEX( DATOS3!$1:$19996,A587,MATCH("PatientID", DATOS3!$1:$1,0))=0,"",INDEX( DATOS3!$1:$19996,A587,MATCH("PatientID", DATOS3!$1:$1,0)))</f>
        <v>#N/A</v>
      </c>
      <c r="F587" t="e">
        <f>IF(INDEX( DATOS3!$1:$19996,A587,MATCH("SeriesDate", DATOS3!$1:$1,0))=0,"",INDEX( DATOS3!$1:$19996,A587,MATCH("SeriesDate", DATOS3!$1:$1,0)))</f>
        <v>#N/A</v>
      </c>
      <c r="G587" t="e">
        <f>IF(INDEX( DATOS3!$1:$19996,A587,MATCH("SeriesTime", DATOS3!$1:$1,0))=0,"",INDEX( DATOS3!$1:$19996,A587,MATCH("SeriesTime", DATOS3!$1:$1,0)))</f>
        <v>#N/A</v>
      </c>
      <c r="H587" t="e">
        <f>IF(INDEX( DATOS3!$1:$19996,A587,MATCH("StudyDescription", DATOS3!$1:$1,0))=0,"",INDEX( DATOS3!$1:$19996,A587,MATCH("StudyDescription", DATOS3!$1:$1,0)))</f>
        <v>#N/A</v>
      </c>
      <c r="I587" t="e">
        <f>IF(INDEX( DATOS3!$1:$19996,A587,MATCH("Dose_Area_Product_Total", DATOS3!$1:$1,0))=0,0,INDEX( DATOS3!$1:$19996,A587,MATCH("Dose_Area_Product", DATOS3!$1:$1,0)))</f>
        <v>#N/A</v>
      </c>
      <c r="J587" t="e">
        <f>IF(INDEX( DATOS3!$1:$19996,A587,MATCH("Dose_RP_Total", DATOS3!$1:$1,0))=0,0,INDEX( DATOS3!$1:$19996,A587,MATCH("Dose_RP", DATOS3!$1:$1,0)))</f>
        <v>#N/A</v>
      </c>
      <c r="K587" t="e">
        <f>IF(INDEX( DATOS3!$1:$19996,A587,MATCH("Total_Fluoro_Time", DATOS3!$1:$1,0))=0,0,INDEX( DATOS3!$1:$19996,A587,MATCH("Total_Fluoro_Time", DATOS3!$1:$1,0)))</f>
        <v>#N/A</v>
      </c>
    </row>
    <row r="588" spans="1:11" hidden="1" x14ac:dyDescent="0.25">
      <c r="A588">
        <v>588</v>
      </c>
      <c r="B588" t="e">
        <f t="shared" si="18"/>
        <v>#N/A</v>
      </c>
      <c r="C588" t="e">
        <f t="shared" si="19"/>
        <v>#N/A</v>
      </c>
      <c r="D588" t="e">
        <f>IF(INDEX( DATOS3!$1:$19996,A588,MATCH("PatientID", DATOS3!$1:$1,0))=0,"",INDEX( DATOS3!$1:$19996,A588,MATCH("PatientID", DATOS3!$1:$1,0)))</f>
        <v>#N/A</v>
      </c>
      <c r="F588" t="e">
        <f>IF(INDEX( DATOS3!$1:$19996,A588,MATCH("SeriesDate", DATOS3!$1:$1,0))=0,"",INDEX( DATOS3!$1:$19996,A588,MATCH("SeriesDate", DATOS3!$1:$1,0)))</f>
        <v>#N/A</v>
      </c>
      <c r="G588" t="e">
        <f>IF(INDEX( DATOS3!$1:$19996,A588,MATCH("SeriesTime", DATOS3!$1:$1,0))=0,"",INDEX( DATOS3!$1:$19996,A588,MATCH("SeriesTime", DATOS3!$1:$1,0)))</f>
        <v>#N/A</v>
      </c>
      <c r="H588" t="e">
        <f>IF(INDEX( DATOS3!$1:$19996,A588,MATCH("StudyDescription", DATOS3!$1:$1,0))=0,"",INDEX( DATOS3!$1:$19996,A588,MATCH("StudyDescription", DATOS3!$1:$1,0)))</f>
        <v>#N/A</v>
      </c>
      <c r="I588" t="e">
        <f>IF(INDEX( DATOS3!$1:$19996,A588,MATCH("Dose_Area_Product_Total", DATOS3!$1:$1,0))=0,0,INDEX( DATOS3!$1:$19996,A588,MATCH("Dose_Area_Product", DATOS3!$1:$1,0)))</f>
        <v>#N/A</v>
      </c>
      <c r="J588" t="e">
        <f>IF(INDEX( DATOS3!$1:$19996,A588,MATCH("Dose_RP_Total", DATOS3!$1:$1,0))=0,0,INDEX( DATOS3!$1:$19996,A588,MATCH("Dose_RP", DATOS3!$1:$1,0)))</f>
        <v>#N/A</v>
      </c>
      <c r="K588" t="e">
        <f>IF(INDEX( DATOS3!$1:$19996,A588,MATCH("Total_Fluoro_Time", DATOS3!$1:$1,0))=0,0,INDEX( DATOS3!$1:$19996,A588,MATCH("Total_Fluoro_Time", DATOS3!$1:$1,0)))</f>
        <v>#N/A</v>
      </c>
    </row>
    <row r="589" spans="1:11" hidden="1" x14ac:dyDescent="0.25">
      <c r="A589">
        <v>589</v>
      </c>
      <c r="B589" t="e">
        <f t="shared" si="18"/>
        <v>#N/A</v>
      </c>
      <c r="C589" t="e">
        <f t="shared" si="19"/>
        <v>#N/A</v>
      </c>
      <c r="D589" t="e">
        <f>IF(INDEX( DATOS3!$1:$19996,A589,MATCH("PatientID", DATOS3!$1:$1,0))=0,"",INDEX( DATOS3!$1:$19996,A589,MATCH("PatientID", DATOS3!$1:$1,0)))</f>
        <v>#N/A</v>
      </c>
      <c r="F589" t="e">
        <f>IF(INDEX( DATOS3!$1:$19996,A589,MATCH("SeriesDate", DATOS3!$1:$1,0))=0,"",INDEX( DATOS3!$1:$19996,A589,MATCH("SeriesDate", DATOS3!$1:$1,0)))</f>
        <v>#N/A</v>
      </c>
      <c r="G589" t="e">
        <f>IF(INDEX( DATOS3!$1:$19996,A589,MATCH("SeriesTime", DATOS3!$1:$1,0))=0,"",INDEX( DATOS3!$1:$19996,A589,MATCH("SeriesTime", DATOS3!$1:$1,0)))</f>
        <v>#N/A</v>
      </c>
      <c r="H589" t="e">
        <f>IF(INDEX( DATOS3!$1:$19996,A589,MATCH("StudyDescription", DATOS3!$1:$1,0))=0,"",INDEX( DATOS3!$1:$19996,A589,MATCH("StudyDescription", DATOS3!$1:$1,0)))</f>
        <v>#N/A</v>
      </c>
      <c r="I589" t="e">
        <f>IF(INDEX( DATOS3!$1:$19996,A589,MATCH("Dose_Area_Product_Total", DATOS3!$1:$1,0))=0,0,INDEX( DATOS3!$1:$19996,A589,MATCH("Dose_Area_Product", DATOS3!$1:$1,0)))</f>
        <v>#N/A</v>
      </c>
      <c r="J589" t="e">
        <f>IF(INDEX( DATOS3!$1:$19996,A589,MATCH("Dose_RP_Total", DATOS3!$1:$1,0))=0,0,INDEX( DATOS3!$1:$19996,A589,MATCH("Dose_RP", DATOS3!$1:$1,0)))</f>
        <v>#N/A</v>
      </c>
      <c r="K589" t="e">
        <f>IF(INDEX( DATOS3!$1:$19996,A589,MATCH("Total_Fluoro_Time", DATOS3!$1:$1,0))=0,0,INDEX( DATOS3!$1:$19996,A589,MATCH("Total_Fluoro_Time", DATOS3!$1:$1,0)))</f>
        <v>#N/A</v>
      </c>
    </row>
    <row r="590" spans="1:11" hidden="1" x14ac:dyDescent="0.25">
      <c r="A590">
        <v>590</v>
      </c>
      <c r="B590" t="e">
        <f t="shared" si="18"/>
        <v>#N/A</v>
      </c>
      <c r="C590" t="e">
        <f t="shared" si="19"/>
        <v>#N/A</v>
      </c>
      <c r="D590" t="e">
        <f>IF(INDEX( DATOS3!$1:$19996,A590,MATCH("PatientID", DATOS3!$1:$1,0))=0,"",INDEX( DATOS3!$1:$19996,A590,MATCH("PatientID", DATOS3!$1:$1,0)))</f>
        <v>#N/A</v>
      </c>
      <c r="F590" t="e">
        <f>IF(INDEX( DATOS3!$1:$19996,A590,MATCH("SeriesDate", DATOS3!$1:$1,0))=0,"",INDEX( DATOS3!$1:$19996,A590,MATCH("SeriesDate", DATOS3!$1:$1,0)))</f>
        <v>#N/A</v>
      </c>
      <c r="G590" t="e">
        <f>IF(INDEX( DATOS3!$1:$19996,A590,MATCH("SeriesTime", DATOS3!$1:$1,0))=0,"",INDEX( DATOS3!$1:$19996,A590,MATCH("SeriesTime", DATOS3!$1:$1,0)))</f>
        <v>#N/A</v>
      </c>
      <c r="H590" t="e">
        <f>IF(INDEX( DATOS3!$1:$19996,A590,MATCH("StudyDescription", DATOS3!$1:$1,0))=0,"",INDEX( DATOS3!$1:$19996,A590,MATCH("StudyDescription", DATOS3!$1:$1,0)))</f>
        <v>#N/A</v>
      </c>
      <c r="I590" t="e">
        <f>IF(INDEX( DATOS3!$1:$19996,A590,MATCH("Dose_Area_Product_Total", DATOS3!$1:$1,0))=0,0,INDEX( DATOS3!$1:$19996,A590,MATCH("Dose_Area_Product", DATOS3!$1:$1,0)))</f>
        <v>#N/A</v>
      </c>
      <c r="J590" t="e">
        <f>IF(INDEX( DATOS3!$1:$19996,A590,MATCH("Dose_RP_Total", DATOS3!$1:$1,0))=0,0,INDEX( DATOS3!$1:$19996,A590,MATCH("Dose_RP", DATOS3!$1:$1,0)))</f>
        <v>#N/A</v>
      </c>
      <c r="K590" t="e">
        <f>IF(INDEX( DATOS3!$1:$19996,A590,MATCH("Total_Fluoro_Time", DATOS3!$1:$1,0))=0,0,INDEX( DATOS3!$1:$19996,A590,MATCH("Total_Fluoro_Time", DATOS3!$1:$1,0)))</f>
        <v>#N/A</v>
      </c>
    </row>
    <row r="591" spans="1:11" hidden="1" x14ac:dyDescent="0.25">
      <c r="A591">
        <v>591</v>
      </c>
      <c r="B591" t="e">
        <f t="shared" si="18"/>
        <v>#N/A</v>
      </c>
      <c r="C591" t="e">
        <f t="shared" si="19"/>
        <v>#N/A</v>
      </c>
      <c r="D591" t="e">
        <f>IF(INDEX( DATOS3!$1:$19996,A591,MATCH("PatientID", DATOS3!$1:$1,0))=0,"",INDEX( DATOS3!$1:$19996,A591,MATCH("PatientID", DATOS3!$1:$1,0)))</f>
        <v>#N/A</v>
      </c>
      <c r="F591" t="e">
        <f>IF(INDEX( DATOS3!$1:$19996,A591,MATCH("SeriesDate", DATOS3!$1:$1,0))=0,"",INDEX( DATOS3!$1:$19996,A591,MATCH("SeriesDate", DATOS3!$1:$1,0)))</f>
        <v>#N/A</v>
      </c>
      <c r="G591" t="e">
        <f>IF(INDEX( DATOS3!$1:$19996,A591,MATCH("SeriesTime", DATOS3!$1:$1,0))=0,"",INDEX( DATOS3!$1:$19996,A591,MATCH("SeriesTime", DATOS3!$1:$1,0)))</f>
        <v>#N/A</v>
      </c>
      <c r="H591" t="e">
        <f>IF(INDEX( DATOS3!$1:$19996,A591,MATCH("StudyDescription", DATOS3!$1:$1,0))=0,"",INDEX( DATOS3!$1:$19996,A591,MATCH("StudyDescription", DATOS3!$1:$1,0)))</f>
        <v>#N/A</v>
      </c>
      <c r="I591" t="e">
        <f>IF(INDEX( DATOS3!$1:$19996,A591,MATCH("Dose_Area_Product_Total", DATOS3!$1:$1,0))=0,0,INDEX( DATOS3!$1:$19996,A591,MATCH("Dose_Area_Product", DATOS3!$1:$1,0)))</f>
        <v>#N/A</v>
      </c>
      <c r="J591" t="e">
        <f>IF(INDEX( DATOS3!$1:$19996,A591,MATCH("Dose_RP_Total", DATOS3!$1:$1,0))=0,0,INDEX( DATOS3!$1:$19996,A591,MATCH("Dose_RP", DATOS3!$1:$1,0)))</f>
        <v>#N/A</v>
      </c>
      <c r="K591" t="e">
        <f>IF(INDEX( DATOS3!$1:$19996,A591,MATCH("Total_Fluoro_Time", DATOS3!$1:$1,0))=0,0,INDEX( DATOS3!$1:$19996,A591,MATCH("Total_Fluoro_Time", DATOS3!$1:$1,0)))</f>
        <v>#N/A</v>
      </c>
    </row>
    <row r="592" spans="1:11" hidden="1" x14ac:dyDescent="0.25">
      <c r="A592">
        <v>592</v>
      </c>
      <c r="B592" t="e">
        <f t="shared" si="18"/>
        <v>#N/A</v>
      </c>
      <c r="C592" t="e">
        <f t="shared" si="19"/>
        <v>#N/A</v>
      </c>
      <c r="D592" t="e">
        <f>IF(INDEX( DATOS3!$1:$19996,A592,MATCH("PatientID", DATOS3!$1:$1,0))=0,"",INDEX( DATOS3!$1:$19996,A592,MATCH("PatientID", DATOS3!$1:$1,0)))</f>
        <v>#N/A</v>
      </c>
      <c r="F592" t="e">
        <f>IF(INDEX( DATOS3!$1:$19996,A592,MATCH("SeriesDate", DATOS3!$1:$1,0))=0,"",INDEX( DATOS3!$1:$19996,A592,MATCH("SeriesDate", DATOS3!$1:$1,0)))</f>
        <v>#N/A</v>
      </c>
      <c r="G592" t="e">
        <f>IF(INDEX( DATOS3!$1:$19996,A592,MATCH("SeriesTime", DATOS3!$1:$1,0))=0,"",INDEX( DATOS3!$1:$19996,A592,MATCH("SeriesTime", DATOS3!$1:$1,0)))</f>
        <v>#N/A</v>
      </c>
      <c r="H592" t="e">
        <f>IF(INDEX( DATOS3!$1:$19996,A592,MATCH("StudyDescription", DATOS3!$1:$1,0))=0,"",INDEX( DATOS3!$1:$19996,A592,MATCH("StudyDescription", DATOS3!$1:$1,0)))</f>
        <v>#N/A</v>
      </c>
      <c r="I592" t="e">
        <f>IF(INDEX( DATOS3!$1:$19996,A592,MATCH("Dose_Area_Product_Total", DATOS3!$1:$1,0))=0,0,INDEX( DATOS3!$1:$19996,A592,MATCH("Dose_Area_Product", DATOS3!$1:$1,0)))</f>
        <v>#N/A</v>
      </c>
      <c r="J592" t="e">
        <f>IF(INDEX( DATOS3!$1:$19996,A592,MATCH("Dose_RP_Total", DATOS3!$1:$1,0))=0,0,INDEX( DATOS3!$1:$19996,A592,MATCH("Dose_RP", DATOS3!$1:$1,0)))</f>
        <v>#N/A</v>
      </c>
      <c r="K592" t="e">
        <f>IF(INDEX( DATOS3!$1:$19996,A592,MATCH("Total_Fluoro_Time", DATOS3!$1:$1,0))=0,0,INDEX( DATOS3!$1:$19996,A592,MATCH("Total_Fluoro_Time", DATOS3!$1:$1,0)))</f>
        <v>#N/A</v>
      </c>
    </row>
    <row r="593" spans="1:11" hidden="1" x14ac:dyDescent="0.25">
      <c r="A593">
        <v>593</v>
      </c>
      <c r="B593" t="e">
        <f t="shared" si="18"/>
        <v>#N/A</v>
      </c>
      <c r="C593" t="e">
        <f t="shared" si="19"/>
        <v>#N/A</v>
      </c>
      <c r="D593" t="e">
        <f>IF(INDEX( DATOS3!$1:$19996,A593,MATCH("PatientID", DATOS3!$1:$1,0))=0,"",INDEX( DATOS3!$1:$19996,A593,MATCH("PatientID", DATOS3!$1:$1,0)))</f>
        <v>#N/A</v>
      </c>
      <c r="F593" t="e">
        <f>IF(INDEX( DATOS3!$1:$19996,A593,MATCH("SeriesDate", DATOS3!$1:$1,0))=0,"",INDEX( DATOS3!$1:$19996,A593,MATCH("SeriesDate", DATOS3!$1:$1,0)))</f>
        <v>#N/A</v>
      </c>
      <c r="G593" t="e">
        <f>IF(INDEX( DATOS3!$1:$19996,A593,MATCH("SeriesTime", DATOS3!$1:$1,0))=0,"",INDEX( DATOS3!$1:$19996,A593,MATCH("SeriesTime", DATOS3!$1:$1,0)))</f>
        <v>#N/A</v>
      </c>
      <c r="H593" t="e">
        <f>IF(INDEX( DATOS3!$1:$19996,A593,MATCH("StudyDescription", DATOS3!$1:$1,0))=0,"",INDEX( DATOS3!$1:$19996,A593,MATCH("StudyDescription", DATOS3!$1:$1,0)))</f>
        <v>#N/A</v>
      </c>
      <c r="I593" t="e">
        <f>IF(INDEX( DATOS3!$1:$19996,A593,MATCH("Dose_Area_Product_Total", DATOS3!$1:$1,0))=0,0,INDEX( DATOS3!$1:$19996,A593,MATCH("Dose_Area_Product", DATOS3!$1:$1,0)))</f>
        <v>#N/A</v>
      </c>
      <c r="J593" t="e">
        <f>IF(INDEX( DATOS3!$1:$19996,A593,MATCH("Dose_RP_Total", DATOS3!$1:$1,0))=0,0,INDEX( DATOS3!$1:$19996,A593,MATCH("Dose_RP", DATOS3!$1:$1,0)))</f>
        <v>#N/A</v>
      </c>
      <c r="K593" t="e">
        <f>IF(INDEX( DATOS3!$1:$19996,A593,MATCH("Total_Fluoro_Time", DATOS3!$1:$1,0))=0,0,INDEX( DATOS3!$1:$19996,A593,MATCH("Total_Fluoro_Time", DATOS3!$1:$1,0)))</f>
        <v>#N/A</v>
      </c>
    </row>
    <row r="594" spans="1:11" hidden="1" x14ac:dyDescent="0.25">
      <c r="A594">
        <v>594</v>
      </c>
      <c r="B594" t="e">
        <f t="shared" si="18"/>
        <v>#N/A</v>
      </c>
      <c r="C594" t="e">
        <f t="shared" si="19"/>
        <v>#N/A</v>
      </c>
      <c r="D594" t="e">
        <f>IF(INDEX( DATOS3!$1:$19996,A594,MATCH("PatientID", DATOS3!$1:$1,0))=0,"",INDEX( DATOS3!$1:$19996,A594,MATCH("PatientID", DATOS3!$1:$1,0)))</f>
        <v>#N/A</v>
      </c>
      <c r="F594" t="e">
        <f>IF(INDEX( DATOS3!$1:$19996,A594,MATCH("SeriesDate", DATOS3!$1:$1,0))=0,"",INDEX( DATOS3!$1:$19996,A594,MATCH("SeriesDate", DATOS3!$1:$1,0)))</f>
        <v>#N/A</v>
      </c>
      <c r="G594" t="e">
        <f>IF(INDEX( DATOS3!$1:$19996,A594,MATCH("SeriesTime", DATOS3!$1:$1,0))=0,"",INDEX( DATOS3!$1:$19996,A594,MATCH("SeriesTime", DATOS3!$1:$1,0)))</f>
        <v>#N/A</v>
      </c>
      <c r="H594" t="e">
        <f>IF(INDEX( DATOS3!$1:$19996,A594,MATCH("StudyDescription", DATOS3!$1:$1,0))=0,"",INDEX( DATOS3!$1:$19996,A594,MATCH("StudyDescription", DATOS3!$1:$1,0)))</f>
        <v>#N/A</v>
      </c>
      <c r="I594" t="e">
        <f>IF(INDEX( DATOS3!$1:$19996,A594,MATCH("Dose_Area_Product_Total", DATOS3!$1:$1,0))=0,0,INDEX( DATOS3!$1:$19996,A594,MATCH("Dose_Area_Product", DATOS3!$1:$1,0)))</f>
        <v>#N/A</v>
      </c>
      <c r="J594" t="e">
        <f>IF(INDEX( DATOS3!$1:$19996,A594,MATCH("Dose_RP_Total", DATOS3!$1:$1,0))=0,0,INDEX( DATOS3!$1:$19996,A594,MATCH("Dose_RP", DATOS3!$1:$1,0)))</f>
        <v>#N/A</v>
      </c>
      <c r="K594" t="e">
        <f>IF(INDEX( DATOS3!$1:$19996,A594,MATCH("Total_Fluoro_Time", DATOS3!$1:$1,0))=0,0,INDEX( DATOS3!$1:$19996,A594,MATCH("Total_Fluoro_Time", DATOS3!$1:$1,0)))</f>
        <v>#N/A</v>
      </c>
    </row>
    <row r="595" spans="1:11" hidden="1" x14ac:dyDescent="0.25">
      <c r="A595">
        <v>595</v>
      </c>
      <c r="B595" t="e">
        <f t="shared" si="18"/>
        <v>#N/A</v>
      </c>
      <c r="C595" t="e">
        <f t="shared" si="19"/>
        <v>#N/A</v>
      </c>
      <c r="D595" t="e">
        <f>IF(INDEX( DATOS3!$1:$19996,A595,MATCH("PatientID", DATOS3!$1:$1,0))=0,"",INDEX( DATOS3!$1:$19996,A595,MATCH("PatientID", DATOS3!$1:$1,0)))</f>
        <v>#N/A</v>
      </c>
      <c r="F595" t="e">
        <f>IF(INDEX( DATOS3!$1:$19996,A595,MATCH("SeriesDate", DATOS3!$1:$1,0))=0,"",INDEX( DATOS3!$1:$19996,A595,MATCH("SeriesDate", DATOS3!$1:$1,0)))</f>
        <v>#N/A</v>
      </c>
      <c r="G595" t="e">
        <f>IF(INDEX( DATOS3!$1:$19996,A595,MATCH("SeriesTime", DATOS3!$1:$1,0))=0,"",INDEX( DATOS3!$1:$19996,A595,MATCH("SeriesTime", DATOS3!$1:$1,0)))</f>
        <v>#N/A</v>
      </c>
      <c r="H595" t="e">
        <f>IF(INDEX( DATOS3!$1:$19996,A595,MATCH("StudyDescription", DATOS3!$1:$1,0))=0,"",INDEX( DATOS3!$1:$19996,A595,MATCH("StudyDescription", DATOS3!$1:$1,0)))</f>
        <v>#N/A</v>
      </c>
      <c r="I595" t="e">
        <f>IF(INDEX( DATOS3!$1:$19996,A595,MATCH("Dose_Area_Product_Total", DATOS3!$1:$1,0))=0,0,INDEX( DATOS3!$1:$19996,A595,MATCH("Dose_Area_Product", DATOS3!$1:$1,0)))</f>
        <v>#N/A</v>
      </c>
      <c r="J595" t="e">
        <f>IF(INDEX( DATOS3!$1:$19996,A595,MATCH("Dose_RP_Total", DATOS3!$1:$1,0))=0,0,INDEX( DATOS3!$1:$19996,A595,MATCH("Dose_RP", DATOS3!$1:$1,0)))</f>
        <v>#N/A</v>
      </c>
      <c r="K595" t="e">
        <f>IF(INDEX( DATOS3!$1:$19996,A595,MATCH("Total_Fluoro_Time", DATOS3!$1:$1,0))=0,0,INDEX( DATOS3!$1:$19996,A595,MATCH("Total_Fluoro_Time", DATOS3!$1:$1,0)))</f>
        <v>#N/A</v>
      </c>
    </row>
    <row r="596" spans="1:11" hidden="1" x14ac:dyDescent="0.25">
      <c r="A596">
        <v>596</v>
      </c>
      <c r="B596" t="e">
        <f t="shared" si="18"/>
        <v>#N/A</v>
      </c>
      <c r="C596" t="e">
        <f t="shared" si="19"/>
        <v>#N/A</v>
      </c>
      <c r="D596" t="e">
        <f>IF(INDEX( DATOS3!$1:$19996,A596,MATCH("PatientID", DATOS3!$1:$1,0))=0,"",INDEX( DATOS3!$1:$19996,A596,MATCH("PatientID", DATOS3!$1:$1,0)))</f>
        <v>#N/A</v>
      </c>
      <c r="F596" t="e">
        <f>IF(INDEX( DATOS3!$1:$19996,A596,MATCH("SeriesDate", DATOS3!$1:$1,0))=0,"",INDEX( DATOS3!$1:$19996,A596,MATCH("SeriesDate", DATOS3!$1:$1,0)))</f>
        <v>#N/A</v>
      </c>
      <c r="G596" t="e">
        <f>IF(INDEX( DATOS3!$1:$19996,A596,MATCH("SeriesTime", DATOS3!$1:$1,0))=0,"",INDEX( DATOS3!$1:$19996,A596,MATCH("SeriesTime", DATOS3!$1:$1,0)))</f>
        <v>#N/A</v>
      </c>
      <c r="H596" t="e">
        <f>IF(INDEX( DATOS3!$1:$19996,A596,MATCH("StudyDescription", DATOS3!$1:$1,0))=0,"",INDEX( DATOS3!$1:$19996,A596,MATCH("StudyDescription", DATOS3!$1:$1,0)))</f>
        <v>#N/A</v>
      </c>
      <c r="I596" t="e">
        <f>IF(INDEX( DATOS3!$1:$19996,A596,MATCH("Dose_Area_Product_Total", DATOS3!$1:$1,0))=0,0,INDEX( DATOS3!$1:$19996,A596,MATCH("Dose_Area_Product", DATOS3!$1:$1,0)))</f>
        <v>#N/A</v>
      </c>
      <c r="J596" t="e">
        <f>IF(INDEX( DATOS3!$1:$19996,A596,MATCH("Dose_RP_Total", DATOS3!$1:$1,0))=0,0,INDEX( DATOS3!$1:$19996,A596,MATCH("Dose_RP", DATOS3!$1:$1,0)))</f>
        <v>#N/A</v>
      </c>
      <c r="K596" t="e">
        <f>IF(INDEX( DATOS3!$1:$19996,A596,MATCH("Total_Fluoro_Time", DATOS3!$1:$1,0))=0,0,INDEX( DATOS3!$1:$19996,A596,MATCH("Total_Fluoro_Time", DATOS3!$1:$1,0)))</f>
        <v>#N/A</v>
      </c>
    </row>
    <row r="597" spans="1:11" hidden="1" x14ac:dyDescent="0.25">
      <c r="A597">
        <v>597</v>
      </c>
      <c r="B597" t="e">
        <f t="shared" si="18"/>
        <v>#N/A</v>
      </c>
      <c r="C597" t="e">
        <f t="shared" si="19"/>
        <v>#N/A</v>
      </c>
      <c r="D597" t="e">
        <f>IF(INDEX( DATOS3!$1:$19996,A597,MATCH("PatientID", DATOS3!$1:$1,0))=0,"",INDEX( DATOS3!$1:$19996,A597,MATCH("PatientID", DATOS3!$1:$1,0)))</f>
        <v>#N/A</v>
      </c>
      <c r="F597" t="e">
        <f>IF(INDEX( DATOS3!$1:$19996,A597,MATCH("SeriesDate", DATOS3!$1:$1,0))=0,"",INDEX( DATOS3!$1:$19996,A597,MATCH("SeriesDate", DATOS3!$1:$1,0)))</f>
        <v>#N/A</v>
      </c>
      <c r="G597" t="e">
        <f>IF(INDEX( DATOS3!$1:$19996,A597,MATCH("SeriesTime", DATOS3!$1:$1,0))=0,"",INDEX( DATOS3!$1:$19996,A597,MATCH("SeriesTime", DATOS3!$1:$1,0)))</f>
        <v>#N/A</v>
      </c>
      <c r="H597" t="e">
        <f>IF(INDEX( DATOS3!$1:$19996,A597,MATCH("StudyDescription", DATOS3!$1:$1,0))=0,"",INDEX( DATOS3!$1:$19996,A597,MATCH("StudyDescription", DATOS3!$1:$1,0)))</f>
        <v>#N/A</v>
      </c>
      <c r="I597" t="e">
        <f>IF(INDEX( DATOS3!$1:$19996,A597,MATCH("Dose_Area_Product_Total", DATOS3!$1:$1,0))=0,0,INDEX( DATOS3!$1:$19996,A597,MATCH("Dose_Area_Product", DATOS3!$1:$1,0)))</f>
        <v>#N/A</v>
      </c>
      <c r="J597" t="e">
        <f>IF(INDEX( DATOS3!$1:$19996,A597,MATCH("Dose_RP_Total", DATOS3!$1:$1,0))=0,0,INDEX( DATOS3!$1:$19996,A597,MATCH("Dose_RP", DATOS3!$1:$1,0)))</f>
        <v>#N/A</v>
      </c>
      <c r="K597" t="e">
        <f>IF(INDEX( DATOS3!$1:$19996,A597,MATCH("Total_Fluoro_Time", DATOS3!$1:$1,0))=0,0,INDEX( DATOS3!$1:$19996,A597,MATCH("Total_Fluoro_Time", DATOS3!$1:$1,0)))</f>
        <v>#N/A</v>
      </c>
    </row>
    <row r="598" spans="1:11" hidden="1" x14ac:dyDescent="0.25">
      <c r="A598">
        <v>598</v>
      </c>
      <c r="B598" t="e">
        <f t="shared" si="18"/>
        <v>#N/A</v>
      </c>
      <c r="C598" t="e">
        <f t="shared" si="19"/>
        <v>#N/A</v>
      </c>
      <c r="D598" t="e">
        <f>IF(INDEX( DATOS3!$1:$19996,A598,MATCH("PatientID", DATOS3!$1:$1,0))=0,"",INDEX( DATOS3!$1:$19996,A598,MATCH("PatientID", DATOS3!$1:$1,0)))</f>
        <v>#N/A</v>
      </c>
      <c r="F598" t="e">
        <f>IF(INDEX( DATOS3!$1:$19996,A598,MATCH("SeriesDate", DATOS3!$1:$1,0))=0,"",INDEX( DATOS3!$1:$19996,A598,MATCH("SeriesDate", DATOS3!$1:$1,0)))</f>
        <v>#N/A</v>
      </c>
      <c r="G598" t="e">
        <f>IF(INDEX( DATOS3!$1:$19996,A598,MATCH("SeriesTime", DATOS3!$1:$1,0))=0,"",INDEX( DATOS3!$1:$19996,A598,MATCH("SeriesTime", DATOS3!$1:$1,0)))</f>
        <v>#N/A</v>
      </c>
      <c r="H598" t="e">
        <f>IF(INDEX( DATOS3!$1:$19996,A598,MATCH("StudyDescription", DATOS3!$1:$1,0))=0,"",INDEX( DATOS3!$1:$19996,A598,MATCH("StudyDescription", DATOS3!$1:$1,0)))</f>
        <v>#N/A</v>
      </c>
      <c r="I598" t="e">
        <f>IF(INDEX( DATOS3!$1:$19996,A598,MATCH("Dose_Area_Product_Total", DATOS3!$1:$1,0))=0,0,INDEX( DATOS3!$1:$19996,A598,MATCH("Dose_Area_Product", DATOS3!$1:$1,0)))</f>
        <v>#N/A</v>
      </c>
      <c r="J598" t="e">
        <f>IF(INDEX( DATOS3!$1:$19996,A598,MATCH("Dose_RP_Total", DATOS3!$1:$1,0))=0,0,INDEX( DATOS3!$1:$19996,A598,MATCH("Dose_RP", DATOS3!$1:$1,0)))</f>
        <v>#N/A</v>
      </c>
      <c r="K598" t="e">
        <f>IF(INDEX( DATOS3!$1:$19996,A598,MATCH("Total_Fluoro_Time", DATOS3!$1:$1,0))=0,0,INDEX( DATOS3!$1:$19996,A598,MATCH("Total_Fluoro_Time", DATOS3!$1:$1,0)))</f>
        <v>#N/A</v>
      </c>
    </row>
    <row r="599" spans="1:11" hidden="1" x14ac:dyDescent="0.25">
      <c r="A599">
        <v>599</v>
      </c>
      <c r="B599" t="e">
        <f t="shared" si="18"/>
        <v>#N/A</v>
      </c>
      <c r="C599" t="e">
        <f t="shared" si="19"/>
        <v>#N/A</v>
      </c>
      <c r="D599" t="e">
        <f>IF(INDEX( DATOS3!$1:$19996,A599,MATCH("PatientID", DATOS3!$1:$1,0))=0,"",INDEX( DATOS3!$1:$19996,A599,MATCH("PatientID", DATOS3!$1:$1,0)))</f>
        <v>#N/A</v>
      </c>
      <c r="F599" t="e">
        <f>IF(INDEX( DATOS3!$1:$19996,A599,MATCH("SeriesDate", DATOS3!$1:$1,0))=0,"",INDEX( DATOS3!$1:$19996,A599,MATCH("SeriesDate", DATOS3!$1:$1,0)))</f>
        <v>#N/A</v>
      </c>
      <c r="G599" t="e">
        <f>IF(INDEX( DATOS3!$1:$19996,A599,MATCH("SeriesTime", DATOS3!$1:$1,0))=0,"",INDEX( DATOS3!$1:$19996,A599,MATCH("SeriesTime", DATOS3!$1:$1,0)))</f>
        <v>#N/A</v>
      </c>
      <c r="H599" t="e">
        <f>IF(INDEX( DATOS3!$1:$19996,A599,MATCH("StudyDescription", DATOS3!$1:$1,0))=0,"",INDEX( DATOS3!$1:$19996,A599,MATCH("StudyDescription", DATOS3!$1:$1,0)))</f>
        <v>#N/A</v>
      </c>
      <c r="I599" t="e">
        <f>IF(INDEX( DATOS3!$1:$19996,A599,MATCH("Dose_Area_Product_Total", DATOS3!$1:$1,0))=0,0,INDEX( DATOS3!$1:$19996,A599,MATCH("Dose_Area_Product", DATOS3!$1:$1,0)))</f>
        <v>#N/A</v>
      </c>
      <c r="J599" t="e">
        <f>IF(INDEX( DATOS3!$1:$19996,A599,MATCH("Dose_RP_Total", DATOS3!$1:$1,0))=0,0,INDEX( DATOS3!$1:$19996,A599,MATCH("Dose_RP", DATOS3!$1:$1,0)))</f>
        <v>#N/A</v>
      </c>
      <c r="K599" t="e">
        <f>IF(INDEX( DATOS3!$1:$19996,A599,MATCH("Total_Fluoro_Time", DATOS3!$1:$1,0))=0,0,INDEX( DATOS3!$1:$19996,A599,MATCH("Total_Fluoro_Time", DATOS3!$1:$1,0)))</f>
        <v>#N/A</v>
      </c>
    </row>
    <row r="600" spans="1:11" hidden="1" x14ac:dyDescent="0.25">
      <c r="A600">
        <v>600</v>
      </c>
      <c r="B600" t="e">
        <f t="shared" si="18"/>
        <v>#N/A</v>
      </c>
      <c r="C600" t="e">
        <f t="shared" si="19"/>
        <v>#N/A</v>
      </c>
      <c r="D600" t="e">
        <f>IF(INDEX( DATOS3!$1:$19996,A600,MATCH("PatientID", DATOS3!$1:$1,0))=0,"",INDEX( DATOS3!$1:$19996,A600,MATCH("PatientID", DATOS3!$1:$1,0)))</f>
        <v>#N/A</v>
      </c>
      <c r="F600" t="e">
        <f>IF(INDEX( DATOS3!$1:$19996,A600,MATCH("SeriesDate", DATOS3!$1:$1,0))=0,"",INDEX( DATOS3!$1:$19996,A600,MATCH("SeriesDate", DATOS3!$1:$1,0)))</f>
        <v>#N/A</v>
      </c>
      <c r="G600" t="e">
        <f>IF(INDEX( DATOS3!$1:$19996,A600,MATCH("SeriesTime", DATOS3!$1:$1,0))=0,"",INDEX( DATOS3!$1:$19996,A600,MATCH("SeriesTime", DATOS3!$1:$1,0)))</f>
        <v>#N/A</v>
      </c>
      <c r="H600" t="e">
        <f>IF(INDEX( DATOS3!$1:$19996,A600,MATCH("StudyDescription", DATOS3!$1:$1,0))=0,"",INDEX( DATOS3!$1:$19996,A600,MATCH("StudyDescription", DATOS3!$1:$1,0)))</f>
        <v>#N/A</v>
      </c>
      <c r="I600" t="e">
        <f>IF(INDEX( DATOS3!$1:$19996,A600,MATCH("Dose_Area_Product_Total", DATOS3!$1:$1,0))=0,0,INDEX( DATOS3!$1:$19996,A600,MATCH("Dose_Area_Product", DATOS3!$1:$1,0)))</f>
        <v>#N/A</v>
      </c>
      <c r="J600" t="e">
        <f>IF(INDEX( DATOS3!$1:$19996,A600,MATCH("Dose_RP_Total", DATOS3!$1:$1,0))=0,0,INDEX( DATOS3!$1:$19996,A600,MATCH("Dose_RP", DATOS3!$1:$1,0)))</f>
        <v>#N/A</v>
      </c>
      <c r="K600" t="e">
        <f>IF(INDEX( DATOS3!$1:$19996,A600,MATCH("Total_Fluoro_Time", DATOS3!$1:$1,0))=0,0,INDEX( DATOS3!$1:$19996,A600,MATCH("Total_Fluoro_Time", DATOS3!$1:$1,0)))</f>
        <v>#N/A</v>
      </c>
    </row>
    <row r="601" spans="1:11" hidden="1" x14ac:dyDescent="0.25">
      <c r="A601">
        <v>601</v>
      </c>
      <c r="B601" t="e">
        <f t="shared" si="18"/>
        <v>#N/A</v>
      </c>
      <c r="C601" t="e">
        <f t="shared" si="19"/>
        <v>#N/A</v>
      </c>
      <c r="D601" t="e">
        <f>IF(INDEX( DATOS3!$1:$19996,A601,MATCH("PatientID", DATOS3!$1:$1,0))=0,"",INDEX( DATOS3!$1:$19996,A601,MATCH("PatientID", DATOS3!$1:$1,0)))</f>
        <v>#N/A</v>
      </c>
      <c r="F601" t="e">
        <f>IF(INDEX( DATOS3!$1:$19996,A601,MATCH("SeriesDate", DATOS3!$1:$1,0))=0,"",INDEX( DATOS3!$1:$19996,A601,MATCH("SeriesDate", DATOS3!$1:$1,0)))</f>
        <v>#N/A</v>
      </c>
      <c r="G601" t="e">
        <f>IF(INDEX( DATOS3!$1:$19996,A601,MATCH("SeriesTime", DATOS3!$1:$1,0))=0,"",INDEX( DATOS3!$1:$19996,A601,MATCH("SeriesTime", DATOS3!$1:$1,0)))</f>
        <v>#N/A</v>
      </c>
      <c r="H601" t="e">
        <f>IF(INDEX( DATOS3!$1:$19996,A601,MATCH("StudyDescription", DATOS3!$1:$1,0))=0,"",INDEX( DATOS3!$1:$19996,A601,MATCH("StudyDescription", DATOS3!$1:$1,0)))</f>
        <v>#N/A</v>
      </c>
      <c r="I601" t="e">
        <f>IF(INDEX( DATOS3!$1:$19996,A601,MATCH("Dose_Area_Product_Total", DATOS3!$1:$1,0))=0,0,INDEX( DATOS3!$1:$19996,A601,MATCH("Dose_Area_Product", DATOS3!$1:$1,0)))</f>
        <v>#N/A</v>
      </c>
      <c r="J601" t="e">
        <f>IF(INDEX( DATOS3!$1:$19996,A601,MATCH("Dose_RP_Total", DATOS3!$1:$1,0))=0,0,INDEX( DATOS3!$1:$19996,A601,MATCH("Dose_RP", DATOS3!$1:$1,0)))</f>
        <v>#N/A</v>
      </c>
      <c r="K601" t="e">
        <f>IF(INDEX( DATOS3!$1:$19996,A601,MATCH("Total_Fluoro_Time", DATOS3!$1:$1,0))=0,0,INDEX( DATOS3!$1:$19996,A601,MATCH("Total_Fluoro_Time", DATOS3!$1:$1,0)))</f>
        <v>#N/A</v>
      </c>
    </row>
    <row r="602" spans="1:11" hidden="1" x14ac:dyDescent="0.25">
      <c r="A602">
        <v>602</v>
      </c>
      <c r="B602" t="e">
        <f t="shared" si="18"/>
        <v>#N/A</v>
      </c>
      <c r="C602" t="e">
        <f t="shared" si="19"/>
        <v>#N/A</v>
      </c>
      <c r="D602" t="e">
        <f>IF(INDEX( DATOS3!$1:$19996,A602,MATCH("PatientID", DATOS3!$1:$1,0))=0,"",INDEX( DATOS3!$1:$19996,A602,MATCH("PatientID", DATOS3!$1:$1,0)))</f>
        <v>#N/A</v>
      </c>
      <c r="F602" t="e">
        <f>IF(INDEX( DATOS3!$1:$19996,A602,MATCH("SeriesDate", DATOS3!$1:$1,0))=0,"",INDEX( DATOS3!$1:$19996,A602,MATCH("SeriesDate", DATOS3!$1:$1,0)))</f>
        <v>#N/A</v>
      </c>
      <c r="G602" t="e">
        <f>IF(INDEX( DATOS3!$1:$19996,A602,MATCH("SeriesTime", DATOS3!$1:$1,0))=0,"",INDEX( DATOS3!$1:$19996,A602,MATCH("SeriesTime", DATOS3!$1:$1,0)))</f>
        <v>#N/A</v>
      </c>
      <c r="H602" t="e">
        <f>IF(INDEX( DATOS3!$1:$19996,A602,MATCH("StudyDescription", DATOS3!$1:$1,0))=0,"",INDEX( DATOS3!$1:$19996,A602,MATCH("StudyDescription", DATOS3!$1:$1,0)))</f>
        <v>#N/A</v>
      </c>
      <c r="I602" t="e">
        <f>IF(INDEX( DATOS3!$1:$19996,A602,MATCH("Dose_Area_Product_Total", DATOS3!$1:$1,0))=0,0,INDEX( DATOS3!$1:$19996,A602,MATCH("Dose_Area_Product", DATOS3!$1:$1,0)))</f>
        <v>#N/A</v>
      </c>
      <c r="J602" t="e">
        <f>IF(INDEX( DATOS3!$1:$19996,A602,MATCH("Dose_RP_Total", DATOS3!$1:$1,0))=0,0,INDEX( DATOS3!$1:$19996,A602,MATCH("Dose_RP", DATOS3!$1:$1,0)))</f>
        <v>#N/A</v>
      </c>
      <c r="K602" t="e">
        <f>IF(INDEX( DATOS3!$1:$19996,A602,MATCH("Total_Fluoro_Time", DATOS3!$1:$1,0))=0,0,INDEX( DATOS3!$1:$19996,A602,MATCH("Total_Fluoro_Time", DATOS3!$1:$1,0)))</f>
        <v>#N/A</v>
      </c>
    </row>
    <row r="603" spans="1:11" hidden="1" x14ac:dyDescent="0.25">
      <c r="A603">
        <v>603</v>
      </c>
      <c r="B603" t="e">
        <f t="shared" si="18"/>
        <v>#N/A</v>
      </c>
      <c r="C603" t="e">
        <f t="shared" si="19"/>
        <v>#N/A</v>
      </c>
      <c r="D603" t="e">
        <f>IF(INDEX( DATOS3!$1:$19996,A603,MATCH("PatientID", DATOS3!$1:$1,0))=0,"",INDEX( DATOS3!$1:$19996,A603,MATCH("PatientID", DATOS3!$1:$1,0)))</f>
        <v>#N/A</v>
      </c>
      <c r="F603" t="e">
        <f>IF(INDEX( DATOS3!$1:$19996,A603,MATCH("SeriesDate", DATOS3!$1:$1,0))=0,"",INDEX( DATOS3!$1:$19996,A603,MATCH("SeriesDate", DATOS3!$1:$1,0)))</f>
        <v>#N/A</v>
      </c>
      <c r="G603" t="e">
        <f>IF(INDEX( DATOS3!$1:$19996,A603,MATCH("SeriesTime", DATOS3!$1:$1,0))=0,"",INDEX( DATOS3!$1:$19996,A603,MATCH("SeriesTime", DATOS3!$1:$1,0)))</f>
        <v>#N/A</v>
      </c>
      <c r="H603" t="e">
        <f>IF(INDEX( DATOS3!$1:$19996,A603,MATCH("StudyDescription", DATOS3!$1:$1,0))=0,"",INDEX( DATOS3!$1:$19996,A603,MATCH("StudyDescription", DATOS3!$1:$1,0)))</f>
        <v>#N/A</v>
      </c>
      <c r="I603" t="e">
        <f>IF(INDEX( DATOS3!$1:$19996,A603,MATCH("Dose_Area_Product_Total", DATOS3!$1:$1,0))=0,0,INDEX( DATOS3!$1:$19996,A603,MATCH("Dose_Area_Product", DATOS3!$1:$1,0)))</f>
        <v>#N/A</v>
      </c>
      <c r="J603" t="e">
        <f>IF(INDEX( DATOS3!$1:$19996,A603,MATCH("Dose_RP_Total", DATOS3!$1:$1,0))=0,0,INDEX( DATOS3!$1:$19996,A603,MATCH("Dose_RP", DATOS3!$1:$1,0)))</f>
        <v>#N/A</v>
      </c>
      <c r="K603" t="e">
        <f>IF(INDEX( DATOS3!$1:$19996,A603,MATCH("Total_Fluoro_Time", DATOS3!$1:$1,0))=0,0,INDEX( DATOS3!$1:$19996,A603,MATCH("Total_Fluoro_Time", DATOS3!$1:$1,0)))</f>
        <v>#N/A</v>
      </c>
    </row>
    <row r="604" spans="1:11" hidden="1" x14ac:dyDescent="0.25">
      <c r="A604">
        <v>604</v>
      </c>
      <c r="B604" t="e">
        <f t="shared" si="18"/>
        <v>#N/A</v>
      </c>
      <c r="C604" t="e">
        <f t="shared" si="19"/>
        <v>#N/A</v>
      </c>
      <c r="D604" t="e">
        <f>IF(INDEX( DATOS3!$1:$19996,A604,MATCH("PatientID", DATOS3!$1:$1,0))=0,"",INDEX( DATOS3!$1:$19996,A604,MATCH("PatientID", DATOS3!$1:$1,0)))</f>
        <v>#N/A</v>
      </c>
      <c r="F604" t="e">
        <f>IF(INDEX( DATOS3!$1:$19996,A604,MATCH("SeriesDate", DATOS3!$1:$1,0))=0,"",INDEX( DATOS3!$1:$19996,A604,MATCH("SeriesDate", DATOS3!$1:$1,0)))</f>
        <v>#N/A</v>
      </c>
      <c r="G604" t="e">
        <f>IF(INDEX( DATOS3!$1:$19996,A604,MATCH("SeriesTime", DATOS3!$1:$1,0))=0,"",INDEX( DATOS3!$1:$19996,A604,MATCH("SeriesTime", DATOS3!$1:$1,0)))</f>
        <v>#N/A</v>
      </c>
      <c r="H604" t="e">
        <f>IF(INDEX( DATOS3!$1:$19996,A604,MATCH("StudyDescription", DATOS3!$1:$1,0))=0,"",INDEX( DATOS3!$1:$19996,A604,MATCH("StudyDescription", DATOS3!$1:$1,0)))</f>
        <v>#N/A</v>
      </c>
      <c r="I604" t="e">
        <f>IF(INDEX( DATOS3!$1:$19996,A604,MATCH("Dose_Area_Product_Total", DATOS3!$1:$1,0))=0,0,INDEX( DATOS3!$1:$19996,A604,MATCH("Dose_Area_Product", DATOS3!$1:$1,0)))</f>
        <v>#N/A</v>
      </c>
      <c r="J604" t="e">
        <f>IF(INDEX( DATOS3!$1:$19996,A604,MATCH("Dose_RP_Total", DATOS3!$1:$1,0))=0,0,INDEX( DATOS3!$1:$19996,A604,MATCH("Dose_RP", DATOS3!$1:$1,0)))</f>
        <v>#N/A</v>
      </c>
      <c r="K604" t="e">
        <f>IF(INDEX( DATOS3!$1:$19996,A604,MATCH("Total_Fluoro_Time", DATOS3!$1:$1,0))=0,0,INDEX( DATOS3!$1:$19996,A604,MATCH("Total_Fluoro_Time", DATOS3!$1:$1,0)))</f>
        <v>#N/A</v>
      </c>
    </row>
    <row r="605" spans="1:11" hidden="1" x14ac:dyDescent="0.25">
      <c r="A605">
        <v>605</v>
      </c>
      <c r="B605" t="e">
        <f t="shared" si="18"/>
        <v>#N/A</v>
      </c>
      <c r="C605" t="e">
        <f t="shared" si="19"/>
        <v>#N/A</v>
      </c>
      <c r="D605" t="e">
        <f>IF(INDEX( DATOS3!$1:$19996,A605,MATCH("PatientID", DATOS3!$1:$1,0))=0,"",INDEX( DATOS3!$1:$19996,A605,MATCH("PatientID", DATOS3!$1:$1,0)))</f>
        <v>#N/A</v>
      </c>
      <c r="F605" t="e">
        <f>IF(INDEX( DATOS3!$1:$19996,A605,MATCH("SeriesDate", DATOS3!$1:$1,0))=0,"",INDEX( DATOS3!$1:$19996,A605,MATCH("SeriesDate", DATOS3!$1:$1,0)))</f>
        <v>#N/A</v>
      </c>
      <c r="G605" t="e">
        <f>IF(INDEX( DATOS3!$1:$19996,A605,MATCH("SeriesTime", DATOS3!$1:$1,0))=0,"",INDEX( DATOS3!$1:$19996,A605,MATCH("SeriesTime", DATOS3!$1:$1,0)))</f>
        <v>#N/A</v>
      </c>
      <c r="H605" t="e">
        <f>IF(INDEX( DATOS3!$1:$19996,A605,MATCH("StudyDescription", DATOS3!$1:$1,0))=0,"",INDEX( DATOS3!$1:$19996,A605,MATCH("StudyDescription", DATOS3!$1:$1,0)))</f>
        <v>#N/A</v>
      </c>
      <c r="I605" t="e">
        <f>IF(INDEX( DATOS3!$1:$19996,A605,MATCH("Dose_Area_Product_Total", DATOS3!$1:$1,0))=0,0,INDEX( DATOS3!$1:$19996,A605,MATCH("Dose_Area_Product", DATOS3!$1:$1,0)))</f>
        <v>#N/A</v>
      </c>
      <c r="J605" t="e">
        <f>IF(INDEX( DATOS3!$1:$19996,A605,MATCH("Dose_RP_Total", DATOS3!$1:$1,0))=0,0,INDEX( DATOS3!$1:$19996,A605,MATCH("Dose_RP", DATOS3!$1:$1,0)))</f>
        <v>#N/A</v>
      </c>
      <c r="K605" t="e">
        <f>IF(INDEX( DATOS3!$1:$19996,A605,MATCH("Total_Fluoro_Time", DATOS3!$1:$1,0))=0,0,INDEX( DATOS3!$1:$19996,A605,MATCH("Total_Fluoro_Time", DATOS3!$1:$1,0)))</f>
        <v>#N/A</v>
      </c>
    </row>
    <row r="606" spans="1:11" hidden="1" x14ac:dyDescent="0.25">
      <c r="A606">
        <v>606</v>
      </c>
      <c r="B606" t="e">
        <f t="shared" si="18"/>
        <v>#N/A</v>
      </c>
      <c r="C606" t="e">
        <f t="shared" si="19"/>
        <v>#N/A</v>
      </c>
      <c r="D606" t="e">
        <f>IF(INDEX( DATOS3!$1:$19996,A606,MATCH("PatientID", DATOS3!$1:$1,0))=0,"",INDEX( DATOS3!$1:$19996,A606,MATCH("PatientID", DATOS3!$1:$1,0)))</f>
        <v>#N/A</v>
      </c>
      <c r="F606" t="e">
        <f>IF(INDEX( DATOS3!$1:$19996,A606,MATCH("SeriesDate", DATOS3!$1:$1,0))=0,"",INDEX( DATOS3!$1:$19996,A606,MATCH("SeriesDate", DATOS3!$1:$1,0)))</f>
        <v>#N/A</v>
      </c>
      <c r="G606" t="e">
        <f>IF(INDEX( DATOS3!$1:$19996,A606,MATCH("SeriesTime", DATOS3!$1:$1,0))=0,"",INDEX( DATOS3!$1:$19996,A606,MATCH("SeriesTime", DATOS3!$1:$1,0)))</f>
        <v>#N/A</v>
      </c>
      <c r="H606" t="e">
        <f>IF(INDEX( DATOS3!$1:$19996,A606,MATCH("StudyDescription", DATOS3!$1:$1,0))=0,"",INDEX( DATOS3!$1:$19996,A606,MATCH("StudyDescription", DATOS3!$1:$1,0)))</f>
        <v>#N/A</v>
      </c>
      <c r="I606" t="e">
        <f>IF(INDEX( DATOS3!$1:$19996,A606,MATCH("Dose_Area_Product_Total", DATOS3!$1:$1,0))=0,0,INDEX( DATOS3!$1:$19996,A606,MATCH("Dose_Area_Product", DATOS3!$1:$1,0)))</f>
        <v>#N/A</v>
      </c>
      <c r="J606" t="e">
        <f>IF(INDEX( DATOS3!$1:$19996,A606,MATCH("Dose_RP_Total", DATOS3!$1:$1,0))=0,0,INDEX( DATOS3!$1:$19996,A606,MATCH("Dose_RP", DATOS3!$1:$1,0)))</f>
        <v>#N/A</v>
      </c>
      <c r="K606" t="e">
        <f>IF(INDEX( DATOS3!$1:$19996,A606,MATCH("Total_Fluoro_Time", DATOS3!$1:$1,0))=0,0,INDEX( DATOS3!$1:$19996,A606,MATCH("Total_Fluoro_Time", DATOS3!$1:$1,0)))</f>
        <v>#N/A</v>
      </c>
    </row>
    <row r="607" spans="1:11" hidden="1" x14ac:dyDescent="0.25">
      <c r="A607">
        <v>607</v>
      </c>
      <c r="B607" t="e">
        <f t="shared" si="18"/>
        <v>#N/A</v>
      </c>
      <c r="C607" t="e">
        <f t="shared" si="19"/>
        <v>#N/A</v>
      </c>
      <c r="D607" t="e">
        <f>IF(INDEX( DATOS3!$1:$19996,A607,MATCH("PatientID", DATOS3!$1:$1,0))=0,"",INDEX( DATOS3!$1:$19996,A607,MATCH("PatientID", DATOS3!$1:$1,0)))</f>
        <v>#N/A</v>
      </c>
      <c r="F607" t="e">
        <f>IF(INDEX( DATOS3!$1:$19996,A607,MATCH("SeriesDate", DATOS3!$1:$1,0))=0,"",INDEX( DATOS3!$1:$19996,A607,MATCH("SeriesDate", DATOS3!$1:$1,0)))</f>
        <v>#N/A</v>
      </c>
      <c r="G607" t="e">
        <f>IF(INDEX( DATOS3!$1:$19996,A607,MATCH("SeriesTime", DATOS3!$1:$1,0))=0,"",INDEX( DATOS3!$1:$19996,A607,MATCH("SeriesTime", DATOS3!$1:$1,0)))</f>
        <v>#N/A</v>
      </c>
      <c r="H607" t="e">
        <f>IF(INDEX( DATOS3!$1:$19996,A607,MATCH("StudyDescription", DATOS3!$1:$1,0))=0,"",INDEX( DATOS3!$1:$19996,A607,MATCH("StudyDescription", DATOS3!$1:$1,0)))</f>
        <v>#N/A</v>
      </c>
      <c r="I607" t="e">
        <f>IF(INDEX( DATOS3!$1:$19996,A607,MATCH("Dose_Area_Product_Total", DATOS3!$1:$1,0))=0,0,INDEX( DATOS3!$1:$19996,A607,MATCH("Dose_Area_Product", DATOS3!$1:$1,0)))</f>
        <v>#N/A</v>
      </c>
      <c r="J607" t="e">
        <f>IF(INDEX( DATOS3!$1:$19996,A607,MATCH("Dose_RP_Total", DATOS3!$1:$1,0))=0,0,INDEX( DATOS3!$1:$19996,A607,MATCH("Dose_RP", DATOS3!$1:$1,0)))</f>
        <v>#N/A</v>
      </c>
      <c r="K607" t="e">
        <f>IF(INDEX( DATOS3!$1:$19996,A607,MATCH("Total_Fluoro_Time", DATOS3!$1:$1,0))=0,0,INDEX( DATOS3!$1:$19996,A607,MATCH("Total_Fluoro_Time", DATOS3!$1:$1,0)))</f>
        <v>#N/A</v>
      </c>
    </row>
    <row r="608" spans="1:11" hidden="1" x14ac:dyDescent="0.25">
      <c r="A608">
        <v>608</v>
      </c>
      <c r="B608" t="e">
        <f t="shared" si="18"/>
        <v>#N/A</v>
      </c>
      <c r="C608" t="e">
        <f t="shared" si="19"/>
        <v>#N/A</v>
      </c>
      <c r="D608" t="e">
        <f>IF(INDEX( DATOS3!$1:$19996,A608,MATCH("PatientID", DATOS3!$1:$1,0))=0,"",INDEX( DATOS3!$1:$19996,A608,MATCH("PatientID", DATOS3!$1:$1,0)))</f>
        <v>#N/A</v>
      </c>
      <c r="F608" t="e">
        <f>IF(INDEX( DATOS3!$1:$19996,A608,MATCH("SeriesDate", DATOS3!$1:$1,0))=0,"",INDEX( DATOS3!$1:$19996,A608,MATCH("SeriesDate", DATOS3!$1:$1,0)))</f>
        <v>#N/A</v>
      </c>
      <c r="G608" t="e">
        <f>IF(INDEX( DATOS3!$1:$19996,A608,MATCH("SeriesTime", DATOS3!$1:$1,0))=0,"",INDEX( DATOS3!$1:$19996,A608,MATCH("SeriesTime", DATOS3!$1:$1,0)))</f>
        <v>#N/A</v>
      </c>
      <c r="H608" t="e">
        <f>IF(INDEX( DATOS3!$1:$19996,A608,MATCH("StudyDescription", DATOS3!$1:$1,0))=0,"",INDEX( DATOS3!$1:$19996,A608,MATCH("StudyDescription", DATOS3!$1:$1,0)))</f>
        <v>#N/A</v>
      </c>
      <c r="I608" t="e">
        <f>IF(INDEX( DATOS3!$1:$19996,A608,MATCH("Dose_Area_Product_Total", DATOS3!$1:$1,0))=0,0,INDEX( DATOS3!$1:$19996,A608,MATCH("Dose_Area_Product", DATOS3!$1:$1,0)))</f>
        <v>#N/A</v>
      </c>
      <c r="J608" t="e">
        <f>IF(INDEX( DATOS3!$1:$19996,A608,MATCH("Dose_RP_Total", DATOS3!$1:$1,0))=0,0,INDEX( DATOS3!$1:$19996,A608,MATCH("Dose_RP", DATOS3!$1:$1,0)))</f>
        <v>#N/A</v>
      </c>
      <c r="K608" t="e">
        <f>IF(INDEX( DATOS3!$1:$19996,A608,MATCH("Total_Fluoro_Time", DATOS3!$1:$1,0))=0,0,INDEX( DATOS3!$1:$19996,A608,MATCH("Total_Fluoro_Time", DATOS3!$1:$1,0)))</f>
        <v>#N/A</v>
      </c>
    </row>
    <row r="609" spans="1:11" hidden="1" x14ac:dyDescent="0.25">
      <c r="A609">
        <v>609</v>
      </c>
      <c r="B609" t="e">
        <f t="shared" si="18"/>
        <v>#N/A</v>
      </c>
      <c r="C609" t="e">
        <f t="shared" si="19"/>
        <v>#N/A</v>
      </c>
      <c r="D609" t="e">
        <f>IF(INDEX( DATOS3!$1:$19996,A609,MATCH("PatientID", DATOS3!$1:$1,0))=0,"",INDEX( DATOS3!$1:$19996,A609,MATCH("PatientID", DATOS3!$1:$1,0)))</f>
        <v>#N/A</v>
      </c>
      <c r="F609" t="e">
        <f>IF(INDEX( DATOS3!$1:$19996,A609,MATCH("SeriesDate", DATOS3!$1:$1,0))=0,"",INDEX( DATOS3!$1:$19996,A609,MATCH("SeriesDate", DATOS3!$1:$1,0)))</f>
        <v>#N/A</v>
      </c>
      <c r="G609" t="e">
        <f>IF(INDEX( DATOS3!$1:$19996,A609,MATCH("SeriesTime", DATOS3!$1:$1,0))=0,"",INDEX( DATOS3!$1:$19996,A609,MATCH("SeriesTime", DATOS3!$1:$1,0)))</f>
        <v>#N/A</v>
      </c>
      <c r="H609" t="e">
        <f>IF(INDEX( DATOS3!$1:$19996,A609,MATCH("StudyDescription", DATOS3!$1:$1,0))=0,"",INDEX( DATOS3!$1:$19996,A609,MATCH("StudyDescription", DATOS3!$1:$1,0)))</f>
        <v>#N/A</v>
      </c>
      <c r="I609" t="e">
        <f>IF(INDEX( DATOS3!$1:$19996,A609,MATCH("Dose_Area_Product_Total", DATOS3!$1:$1,0))=0,0,INDEX( DATOS3!$1:$19996,A609,MATCH("Dose_Area_Product", DATOS3!$1:$1,0)))</f>
        <v>#N/A</v>
      </c>
      <c r="J609" t="e">
        <f>IF(INDEX( DATOS3!$1:$19996,A609,MATCH("Dose_RP_Total", DATOS3!$1:$1,0))=0,0,INDEX( DATOS3!$1:$19996,A609,MATCH("Dose_RP", DATOS3!$1:$1,0)))</f>
        <v>#N/A</v>
      </c>
      <c r="K609" t="e">
        <f>IF(INDEX( DATOS3!$1:$19996,A609,MATCH("Total_Fluoro_Time", DATOS3!$1:$1,0))=0,0,INDEX( DATOS3!$1:$19996,A609,MATCH("Total_Fluoro_Time", DATOS3!$1:$1,0)))</f>
        <v>#N/A</v>
      </c>
    </row>
    <row r="610" spans="1:11" hidden="1" x14ac:dyDescent="0.25">
      <c r="A610">
        <v>610</v>
      </c>
      <c r="B610" t="e">
        <f t="shared" si="18"/>
        <v>#N/A</v>
      </c>
      <c r="C610" t="e">
        <f t="shared" si="19"/>
        <v>#N/A</v>
      </c>
      <c r="D610" t="e">
        <f>IF(INDEX( DATOS3!$1:$19996,A610,MATCH("PatientID", DATOS3!$1:$1,0))=0,"",INDEX( DATOS3!$1:$19996,A610,MATCH("PatientID", DATOS3!$1:$1,0)))</f>
        <v>#N/A</v>
      </c>
      <c r="F610" t="e">
        <f>IF(INDEX( DATOS3!$1:$19996,A610,MATCH("SeriesDate", DATOS3!$1:$1,0))=0,"",INDEX( DATOS3!$1:$19996,A610,MATCH("SeriesDate", DATOS3!$1:$1,0)))</f>
        <v>#N/A</v>
      </c>
      <c r="G610" t="e">
        <f>IF(INDEX( DATOS3!$1:$19996,A610,MATCH("SeriesTime", DATOS3!$1:$1,0))=0,"",INDEX( DATOS3!$1:$19996,A610,MATCH("SeriesTime", DATOS3!$1:$1,0)))</f>
        <v>#N/A</v>
      </c>
      <c r="H610" t="e">
        <f>IF(INDEX( DATOS3!$1:$19996,A610,MATCH("StudyDescription", DATOS3!$1:$1,0))=0,"",INDEX( DATOS3!$1:$19996,A610,MATCH("StudyDescription", DATOS3!$1:$1,0)))</f>
        <v>#N/A</v>
      </c>
      <c r="I610" t="e">
        <f>IF(INDEX( DATOS3!$1:$19996,A610,MATCH("Dose_Area_Product_Total", DATOS3!$1:$1,0))=0,0,INDEX( DATOS3!$1:$19996,A610,MATCH("Dose_Area_Product", DATOS3!$1:$1,0)))</f>
        <v>#N/A</v>
      </c>
      <c r="J610" t="e">
        <f>IF(INDEX( DATOS3!$1:$19996,A610,MATCH("Dose_RP_Total", DATOS3!$1:$1,0))=0,0,INDEX( DATOS3!$1:$19996,A610,MATCH("Dose_RP", DATOS3!$1:$1,0)))</f>
        <v>#N/A</v>
      </c>
      <c r="K610" t="e">
        <f>IF(INDEX( DATOS3!$1:$19996,A610,MATCH("Total_Fluoro_Time", DATOS3!$1:$1,0))=0,0,INDEX( DATOS3!$1:$19996,A610,MATCH("Total_Fluoro_Time", DATOS3!$1:$1,0)))</f>
        <v>#N/A</v>
      </c>
    </row>
    <row r="611" spans="1:11" hidden="1" x14ac:dyDescent="0.25">
      <c r="A611">
        <v>611</v>
      </c>
      <c r="B611" t="e">
        <f t="shared" si="18"/>
        <v>#N/A</v>
      </c>
      <c r="C611" t="e">
        <f t="shared" si="19"/>
        <v>#N/A</v>
      </c>
      <c r="D611" t="e">
        <f>IF(INDEX( DATOS3!$1:$19996,A611,MATCH("PatientID", DATOS3!$1:$1,0))=0,"",INDEX( DATOS3!$1:$19996,A611,MATCH("PatientID", DATOS3!$1:$1,0)))</f>
        <v>#N/A</v>
      </c>
      <c r="F611" t="e">
        <f>IF(INDEX( DATOS3!$1:$19996,A611,MATCH("SeriesDate", DATOS3!$1:$1,0))=0,"",INDEX( DATOS3!$1:$19996,A611,MATCH("SeriesDate", DATOS3!$1:$1,0)))</f>
        <v>#N/A</v>
      </c>
      <c r="G611" t="e">
        <f>IF(INDEX( DATOS3!$1:$19996,A611,MATCH("SeriesTime", DATOS3!$1:$1,0))=0,"",INDEX( DATOS3!$1:$19996,A611,MATCH("SeriesTime", DATOS3!$1:$1,0)))</f>
        <v>#N/A</v>
      </c>
      <c r="H611" t="e">
        <f>IF(INDEX( DATOS3!$1:$19996,A611,MATCH("StudyDescription", DATOS3!$1:$1,0))=0,"",INDEX( DATOS3!$1:$19996,A611,MATCH("StudyDescription", DATOS3!$1:$1,0)))</f>
        <v>#N/A</v>
      </c>
      <c r="I611" t="e">
        <f>IF(INDEX( DATOS3!$1:$19996,A611,MATCH("Dose_Area_Product_Total", DATOS3!$1:$1,0))=0,0,INDEX( DATOS3!$1:$19996,A611,MATCH("Dose_Area_Product", DATOS3!$1:$1,0)))</f>
        <v>#N/A</v>
      </c>
      <c r="J611" t="e">
        <f>IF(INDEX( DATOS3!$1:$19996,A611,MATCH("Dose_RP_Total", DATOS3!$1:$1,0))=0,0,INDEX( DATOS3!$1:$19996,A611,MATCH("Dose_RP", DATOS3!$1:$1,0)))</f>
        <v>#N/A</v>
      </c>
      <c r="K611" t="e">
        <f>IF(INDEX( DATOS3!$1:$19996,A611,MATCH("Total_Fluoro_Time", DATOS3!$1:$1,0))=0,0,INDEX( DATOS3!$1:$19996,A611,MATCH("Total_Fluoro_Time", DATOS3!$1:$1,0)))</f>
        <v>#N/A</v>
      </c>
    </row>
    <row r="612" spans="1:11" hidden="1" x14ac:dyDescent="0.25">
      <c r="A612">
        <v>612</v>
      </c>
      <c r="B612" t="e">
        <f t="shared" si="18"/>
        <v>#N/A</v>
      </c>
      <c r="C612" t="e">
        <f t="shared" si="19"/>
        <v>#N/A</v>
      </c>
      <c r="D612" t="e">
        <f>IF(INDEX( DATOS3!$1:$19996,A612,MATCH("PatientID", DATOS3!$1:$1,0))=0,"",INDEX( DATOS3!$1:$19996,A612,MATCH("PatientID", DATOS3!$1:$1,0)))</f>
        <v>#N/A</v>
      </c>
      <c r="F612" t="e">
        <f>IF(INDEX( DATOS3!$1:$19996,A612,MATCH("SeriesDate", DATOS3!$1:$1,0))=0,"",INDEX( DATOS3!$1:$19996,A612,MATCH("SeriesDate", DATOS3!$1:$1,0)))</f>
        <v>#N/A</v>
      </c>
      <c r="G612" t="e">
        <f>IF(INDEX( DATOS3!$1:$19996,A612,MATCH("SeriesTime", DATOS3!$1:$1,0))=0,"",INDEX( DATOS3!$1:$19996,A612,MATCH("SeriesTime", DATOS3!$1:$1,0)))</f>
        <v>#N/A</v>
      </c>
      <c r="H612" t="e">
        <f>IF(INDEX( DATOS3!$1:$19996,A612,MATCH("StudyDescription", DATOS3!$1:$1,0))=0,"",INDEX( DATOS3!$1:$19996,A612,MATCH("StudyDescription", DATOS3!$1:$1,0)))</f>
        <v>#N/A</v>
      </c>
      <c r="I612" t="e">
        <f>IF(INDEX( DATOS3!$1:$19996,A612,MATCH("Dose_Area_Product_Total", DATOS3!$1:$1,0))=0,0,INDEX( DATOS3!$1:$19996,A612,MATCH("Dose_Area_Product", DATOS3!$1:$1,0)))</f>
        <v>#N/A</v>
      </c>
      <c r="J612" t="e">
        <f>IF(INDEX( DATOS3!$1:$19996,A612,MATCH("Dose_RP_Total", DATOS3!$1:$1,0))=0,0,INDEX( DATOS3!$1:$19996,A612,MATCH("Dose_RP", DATOS3!$1:$1,0)))</f>
        <v>#N/A</v>
      </c>
      <c r="K612" t="e">
        <f>IF(INDEX( DATOS3!$1:$19996,A612,MATCH("Total_Fluoro_Time", DATOS3!$1:$1,0))=0,0,INDEX( DATOS3!$1:$19996,A612,MATCH("Total_Fluoro_Time", DATOS3!$1:$1,0)))</f>
        <v>#N/A</v>
      </c>
    </row>
    <row r="613" spans="1:11" hidden="1" x14ac:dyDescent="0.25">
      <c r="A613">
        <v>613</v>
      </c>
      <c r="B613" t="e">
        <f t="shared" si="18"/>
        <v>#N/A</v>
      </c>
      <c r="C613" t="e">
        <f t="shared" si="19"/>
        <v>#N/A</v>
      </c>
      <c r="D613" t="e">
        <f>IF(INDEX( DATOS3!$1:$19996,A613,MATCH("PatientID", DATOS3!$1:$1,0))=0,"",INDEX( DATOS3!$1:$19996,A613,MATCH("PatientID", DATOS3!$1:$1,0)))</f>
        <v>#N/A</v>
      </c>
      <c r="F613" t="e">
        <f>IF(INDEX( DATOS3!$1:$19996,A613,MATCH("SeriesDate", DATOS3!$1:$1,0))=0,"",INDEX( DATOS3!$1:$19996,A613,MATCH("SeriesDate", DATOS3!$1:$1,0)))</f>
        <v>#N/A</v>
      </c>
      <c r="G613" t="e">
        <f>IF(INDEX( DATOS3!$1:$19996,A613,MATCH("SeriesTime", DATOS3!$1:$1,0))=0,"",INDEX( DATOS3!$1:$19996,A613,MATCH("SeriesTime", DATOS3!$1:$1,0)))</f>
        <v>#N/A</v>
      </c>
      <c r="H613" t="e">
        <f>IF(INDEX( DATOS3!$1:$19996,A613,MATCH("StudyDescription", DATOS3!$1:$1,0))=0,"",INDEX( DATOS3!$1:$19996,A613,MATCH("StudyDescription", DATOS3!$1:$1,0)))</f>
        <v>#N/A</v>
      </c>
      <c r="I613" t="e">
        <f>IF(INDEX( DATOS3!$1:$19996,A613,MATCH("Dose_Area_Product_Total", DATOS3!$1:$1,0))=0,0,INDEX( DATOS3!$1:$19996,A613,MATCH("Dose_Area_Product", DATOS3!$1:$1,0)))</f>
        <v>#N/A</v>
      </c>
      <c r="J613" t="e">
        <f>IF(INDEX( DATOS3!$1:$19996,A613,MATCH("Dose_RP_Total", DATOS3!$1:$1,0))=0,0,INDEX( DATOS3!$1:$19996,A613,MATCH("Dose_RP", DATOS3!$1:$1,0)))</f>
        <v>#N/A</v>
      </c>
      <c r="K613" t="e">
        <f>IF(INDEX( DATOS3!$1:$19996,A613,MATCH("Total_Fluoro_Time", DATOS3!$1:$1,0))=0,0,INDEX( DATOS3!$1:$19996,A613,MATCH("Total_Fluoro_Time", DATOS3!$1:$1,0)))</f>
        <v>#N/A</v>
      </c>
    </row>
    <row r="614" spans="1:11" hidden="1" x14ac:dyDescent="0.25">
      <c r="A614">
        <v>614</v>
      </c>
      <c r="B614" t="e">
        <f t="shared" si="18"/>
        <v>#N/A</v>
      </c>
      <c r="C614" t="e">
        <f t="shared" si="19"/>
        <v>#N/A</v>
      </c>
      <c r="D614" t="e">
        <f>IF(INDEX( DATOS3!$1:$19996,A614,MATCH("PatientID", DATOS3!$1:$1,0))=0,"",INDEX( DATOS3!$1:$19996,A614,MATCH("PatientID", DATOS3!$1:$1,0)))</f>
        <v>#N/A</v>
      </c>
      <c r="F614" t="e">
        <f>IF(INDEX( DATOS3!$1:$19996,A614,MATCH("SeriesDate", DATOS3!$1:$1,0))=0,"",INDEX( DATOS3!$1:$19996,A614,MATCH("SeriesDate", DATOS3!$1:$1,0)))</f>
        <v>#N/A</v>
      </c>
      <c r="G614" t="e">
        <f>IF(INDEX( DATOS3!$1:$19996,A614,MATCH("SeriesTime", DATOS3!$1:$1,0))=0,"",INDEX( DATOS3!$1:$19996,A614,MATCH("SeriesTime", DATOS3!$1:$1,0)))</f>
        <v>#N/A</v>
      </c>
      <c r="H614" t="e">
        <f>IF(INDEX( DATOS3!$1:$19996,A614,MATCH("StudyDescription", DATOS3!$1:$1,0))=0,"",INDEX( DATOS3!$1:$19996,A614,MATCH("StudyDescription", DATOS3!$1:$1,0)))</f>
        <v>#N/A</v>
      </c>
      <c r="I614" t="e">
        <f>IF(INDEX( DATOS3!$1:$19996,A614,MATCH("Dose_Area_Product_Total", DATOS3!$1:$1,0))=0,0,INDEX( DATOS3!$1:$19996,A614,MATCH("Dose_Area_Product", DATOS3!$1:$1,0)))</f>
        <v>#N/A</v>
      </c>
      <c r="J614" t="e">
        <f>IF(INDEX( DATOS3!$1:$19996,A614,MATCH("Dose_RP_Total", DATOS3!$1:$1,0))=0,0,INDEX( DATOS3!$1:$19996,A614,MATCH("Dose_RP", DATOS3!$1:$1,0)))</f>
        <v>#N/A</v>
      </c>
      <c r="K614" t="e">
        <f>IF(INDEX( DATOS3!$1:$19996,A614,MATCH("Total_Fluoro_Time", DATOS3!$1:$1,0))=0,0,INDEX( DATOS3!$1:$19996,A614,MATCH("Total_Fluoro_Time", DATOS3!$1:$1,0)))</f>
        <v>#N/A</v>
      </c>
    </row>
    <row r="615" spans="1:11" hidden="1" x14ac:dyDescent="0.25">
      <c r="A615">
        <v>615</v>
      </c>
      <c r="B615" t="e">
        <f t="shared" si="18"/>
        <v>#N/A</v>
      </c>
      <c r="C615" t="e">
        <f t="shared" si="19"/>
        <v>#N/A</v>
      </c>
      <c r="D615" t="e">
        <f>IF(INDEX( DATOS3!$1:$19996,A615,MATCH("PatientID", DATOS3!$1:$1,0))=0,"",INDEX( DATOS3!$1:$19996,A615,MATCH("PatientID", DATOS3!$1:$1,0)))</f>
        <v>#N/A</v>
      </c>
      <c r="F615" t="e">
        <f>IF(INDEX( DATOS3!$1:$19996,A615,MATCH("SeriesDate", DATOS3!$1:$1,0))=0,"",INDEX( DATOS3!$1:$19996,A615,MATCH("SeriesDate", DATOS3!$1:$1,0)))</f>
        <v>#N/A</v>
      </c>
      <c r="G615" t="e">
        <f>IF(INDEX( DATOS3!$1:$19996,A615,MATCH("SeriesTime", DATOS3!$1:$1,0))=0,"",INDEX( DATOS3!$1:$19996,A615,MATCH("SeriesTime", DATOS3!$1:$1,0)))</f>
        <v>#N/A</v>
      </c>
      <c r="H615" t="e">
        <f>IF(INDEX( DATOS3!$1:$19996,A615,MATCH("StudyDescription", DATOS3!$1:$1,0))=0,"",INDEX( DATOS3!$1:$19996,A615,MATCH("StudyDescription", DATOS3!$1:$1,0)))</f>
        <v>#N/A</v>
      </c>
      <c r="I615" t="e">
        <f>IF(INDEX( DATOS3!$1:$19996,A615,MATCH("Dose_Area_Product_Total", DATOS3!$1:$1,0))=0,0,INDEX( DATOS3!$1:$19996,A615,MATCH("Dose_Area_Product", DATOS3!$1:$1,0)))</f>
        <v>#N/A</v>
      </c>
      <c r="J615" t="e">
        <f>IF(INDEX( DATOS3!$1:$19996,A615,MATCH("Dose_RP_Total", DATOS3!$1:$1,0))=0,0,INDEX( DATOS3!$1:$19996,A615,MATCH("Dose_RP", DATOS3!$1:$1,0)))</f>
        <v>#N/A</v>
      </c>
      <c r="K615" t="e">
        <f>IF(INDEX( DATOS3!$1:$19996,A615,MATCH("Total_Fluoro_Time", DATOS3!$1:$1,0))=0,0,INDEX( DATOS3!$1:$19996,A615,MATCH("Total_Fluoro_Time", DATOS3!$1:$1,0)))</f>
        <v>#N/A</v>
      </c>
    </row>
    <row r="616" spans="1:11" hidden="1" x14ac:dyDescent="0.25">
      <c r="A616">
        <v>616</v>
      </c>
      <c r="B616" t="e">
        <f t="shared" si="18"/>
        <v>#N/A</v>
      </c>
      <c r="C616" t="e">
        <f t="shared" si="19"/>
        <v>#N/A</v>
      </c>
      <c r="D616" t="e">
        <f>IF(INDEX( DATOS3!$1:$19996,A616,MATCH("PatientID", DATOS3!$1:$1,0))=0,"",INDEX( DATOS3!$1:$19996,A616,MATCH("PatientID", DATOS3!$1:$1,0)))</f>
        <v>#N/A</v>
      </c>
      <c r="F616" t="e">
        <f>IF(INDEX( DATOS3!$1:$19996,A616,MATCH("SeriesDate", DATOS3!$1:$1,0))=0,"",INDEX( DATOS3!$1:$19996,A616,MATCH("SeriesDate", DATOS3!$1:$1,0)))</f>
        <v>#N/A</v>
      </c>
      <c r="G616" t="e">
        <f>IF(INDEX( DATOS3!$1:$19996,A616,MATCH("SeriesTime", DATOS3!$1:$1,0))=0,"",INDEX( DATOS3!$1:$19996,A616,MATCH("SeriesTime", DATOS3!$1:$1,0)))</f>
        <v>#N/A</v>
      </c>
      <c r="H616" t="e">
        <f>IF(INDEX( DATOS3!$1:$19996,A616,MATCH("StudyDescription", DATOS3!$1:$1,0))=0,"",INDEX( DATOS3!$1:$19996,A616,MATCH("StudyDescription", DATOS3!$1:$1,0)))</f>
        <v>#N/A</v>
      </c>
      <c r="I616" t="e">
        <f>IF(INDEX( DATOS3!$1:$19996,A616,MATCH("Dose_Area_Product_Total", DATOS3!$1:$1,0))=0,0,INDEX( DATOS3!$1:$19996,A616,MATCH("Dose_Area_Product", DATOS3!$1:$1,0)))</f>
        <v>#N/A</v>
      </c>
      <c r="J616" t="e">
        <f>IF(INDEX( DATOS3!$1:$19996,A616,MATCH("Dose_RP_Total", DATOS3!$1:$1,0))=0,0,INDEX( DATOS3!$1:$19996,A616,MATCH("Dose_RP", DATOS3!$1:$1,0)))</f>
        <v>#N/A</v>
      </c>
      <c r="K616" t="e">
        <f>IF(INDEX( DATOS3!$1:$19996,A616,MATCH("Total_Fluoro_Time", DATOS3!$1:$1,0))=0,0,INDEX( DATOS3!$1:$19996,A616,MATCH("Total_Fluoro_Time", DATOS3!$1:$1,0)))</f>
        <v>#N/A</v>
      </c>
    </row>
    <row r="617" spans="1:11" hidden="1" x14ac:dyDescent="0.25">
      <c r="A617">
        <v>617</v>
      </c>
      <c r="B617" t="e">
        <f t="shared" si="18"/>
        <v>#N/A</v>
      </c>
      <c r="C617" t="e">
        <f t="shared" si="19"/>
        <v>#N/A</v>
      </c>
      <c r="D617" t="e">
        <f>IF(INDEX( DATOS3!$1:$19996,A617,MATCH("PatientID", DATOS3!$1:$1,0))=0,"",INDEX( DATOS3!$1:$19996,A617,MATCH("PatientID", DATOS3!$1:$1,0)))</f>
        <v>#N/A</v>
      </c>
      <c r="F617" t="e">
        <f>IF(INDEX( DATOS3!$1:$19996,A617,MATCH("SeriesDate", DATOS3!$1:$1,0))=0,"",INDEX( DATOS3!$1:$19996,A617,MATCH("SeriesDate", DATOS3!$1:$1,0)))</f>
        <v>#N/A</v>
      </c>
      <c r="G617" t="e">
        <f>IF(INDEX( DATOS3!$1:$19996,A617,MATCH("SeriesTime", DATOS3!$1:$1,0))=0,"",INDEX( DATOS3!$1:$19996,A617,MATCH("SeriesTime", DATOS3!$1:$1,0)))</f>
        <v>#N/A</v>
      </c>
      <c r="H617" t="e">
        <f>IF(INDEX( DATOS3!$1:$19996,A617,MATCH("StudyDescription", DATOS3!$1:$1,0))=0,"",INDEX( DATOS3!$1:$19996,A617,MATCH("StudyDescription", DATOS3!$1:$1,0)))</f>
        <v>#N/A</v>
      </c>
      <c r="I617" t="e">
        <f>IF(INDEX( DATOS3!$1:$19996,A617,MATCH("Dose_Area_Product_Total", DATOS3!$1:$1,0))=0,0,INDEX( DATOS3!$1:$19996,A617,MATCH("Dose_Area_Product", DATOS3!$1:$1,0)))</f>
        <v>#N/A</v>
      </c>
      <c r="J617" t="e">
        <f>IF(INDEX( DATOS3!$1:$19996,A617,MATCH("Dose_RP_Total", DATOS3!$1:$1,0))=0,0,INDEX( DATOS3!$1:$19996,A617,MATCH("Dose_RP", DATOS3!$1:$1,0)))</f>
        <v>#N/A</v>
      </c>
      <c r="K617" t="e">
        <f>IF(INDEX( DATOS3!$1:$19996,A617,MATCH("Total_Fluoro_Time", DATOS3!$1:$1,0))=0,0,INDEX( DATOS3!$1:$19996,A617,MATCH("Total_Fluoro_Time", DATOS3!$1:$1,0)))</f>
        <v>#N/A</v>
      </c>
    </row>
    <row r="618" spans="1:11" hidden="1" x14ac:dyDescent="0.25">
      <c r="A618">
        <v>618</v>
      </c>
      <c r="B618" t="e">
        <f t="shared" si="18"/>
        <v>#N/A</v>
      </c>
      <c r="C618" t="e">
        <f t="shared" si="19"/>
        <v>#N/A</v>
      </c>
      <c r="D618" t="e">
        <f>IF(INDEX( DATOS3!$1:$19996,A618,MATCH("PatientID", DATOS3!$1:$1,0))=0,"",INDEX( DATOS3!$1:$19996,A618,MATCH("PatientID", DATOS3!$1:$1,0)))</f>
        <v>#N/A</v>
      </c>
      <c r="F618" t="e">
        <f>IF(INDEX( DATOS3!$1:$19996,A618,MATCH("SeriesDate", DATOS3!$1:$1,0))=0,"",INDEX( DATOS3!$1:$19996,A618,MATCH("SeriesDate", DATOS3!$1:$1,0)))</f>
        <v>#N/A</v>
      </c>
      <c r="G618" t="e">
        <f>IF(INDEX( DATOS3!$1:$19996,A618,MATCH("SeriesTime", DATOS3!$1:$1,0))=0,"",INDEX( DATOS3!$1:$19996,A618,MATCH("SeriesTime", DATOS3!$1:$1,0)))</f>
        <v>#N/A</v>
      </c>
      <c r="H618" t="e">
        <f>IF(INDEX( DATOS3!$1:$19996,A618,MATCH("StudyDescription", DATOS3!$1:$1,0))=0,"",INDEX( DATOS3!$1:$19996,A618,MATCH("StudyDescription", DATOS3!$1:$1,0)))</f>
        <v>#N/A</v>
      </c>
      <c r="I618" t="e">
        <f>IF(INDEX( DATOS3!$1:$19996,A618,MATCH("Dose_Area_Product_Total", DATOS3!$1:$1,0))=0,0,INDEX( DATOS3!$1:$19996,A618,MATCH("Dose_Area_Product", DATOS3!$1:$1,0)))</f>
        <v>#N/A</v>
      </c>
      <c r="J618" t="e">
        <f>IF(INDEX( DATOS3!$1:$19996,A618,MATCH("Dose_RP_Total", DATOS3!$1:$1,0))=0,0,INDEX( DATOS3!$1:$19996,A618,MATCH("Dose_RP", DATOS3!$1:$1,0)))</f>
        <v>#N/A</v>
      </c>
      <c r="K618" t="e">
        <f>IF(INDEX( DATOS3!$1:$19996,A618,MATCH("Total_Fluoro_Time", DATOS3!$1:$1,0))=0,0,INDEX( DATOS3!$1:$19996,A618,MATCH("Total_Fluoro_Time", DATOS3!$1:$1,0)))</f>
        <v>#N/A</v>
      </c>
    </row>
    <row r="619" spans="1:11" hidden="1" x14ac:dyDescent="0.25">
      <c r="A619">
        <v>619</v>
      </c>
      <c r="B619" t="e">
        <f t="shared" si="18"/>
        <v>#N/A</v>
      </c>
      <c r="C619" t="e">
        <f t="shared" si="19"/>
        <v>#N/A</v>
      </c>
      <c r="D619" t="e">
        <f>IF(INDEX( DATOS3!$1:$19996,A619,MATCH("PatientID", DATOS3!$1:$1,0))=0,"",INDEX( DATOS3!$1:$19996,A619,MATCH("PatientID", DATOS3!$1:$1,0)))</f>
        <v>#N/A</v>
      </c>
      <c r="F619" t="e">
        <f>IF(INDEX( DATOS3!$1:$19996,A619,MATCH("SeriesDate", DATOS3!$1:$1,0))=0,"",INDEX( DATOS3!$1:$19996,A619,MATCH("SeriesDate", DATOS3!$1:$1,0)))</f>
        <v>#N/A</v>
      </c>
      <c r="G619" t="e">
        <f>IF(INDEX( DATOS3!$1:$19996,A619,MATCH("SeriesTime", DATOS3!$1:$1,0))=0,"",INDEX( DATOS3!$1:$19996,A619,MATCH("SeriesTime", DATOS3!$1:$1,0)))</f>
        <v>#N/A</v>
      </c>
      <c r="H619" t="e">
        <f>IF(INDEX( DATOS3!$1:$19996,A619,MATCH("StudyDescription", DATOS3!$1:$1,0))=0,"",INDEX( DATOS3!$1:$19996,A619,MATCH("StudyDescription", DATOS3!$1:$1,0)))</f>
        <v>#N/A</v>
      </c>
      <c r="I619" t="e">
        <f>IF(INDEX( DATOS3!$1:$19996,A619,MATCH("Dose_Area_Product_Total", DATOS3!$1:$1,0))=0,0,INDEX( DATOS3!$1:$19996,A619,MATCH("Dose_Area_Product", DATOS3!$1:$1,0)))</f>
        <v>#N/A</v>
      </c>
      <c r="J619" t="e">
        <f>IF(INDEX( DATOS3!$1:$19996,A619,MATCH("Dose_RP_Total", DATOS3!$1:$1,0))=0,0,INDEX( DATOS3!$1:$19996,A619,MATCH("Dose_RP", DATOS3!$1:$1,0)))</f>
        <v>#N/A</v>
      </c>
      <c r="K619" t="e">
        <f>IF(INDEX( DATOS3!$1:$19996,A619,MATCH("Total_Fluoro_Time", DATOS3!$1:$1,0))=0,0,INDEX( DATOS3!$1:$19996,A619,MATCH("Total_Fluoro_Time", DATOS3!$1:$1,0)))</f>
        <v>#N/A</v>
      </c>
    </row>
    <row r="620" spans="1:11" hidden="1" x14ac:dyDescent="0.25">
      <c r="A620">
        <v>620</v>
      </c>
      <c r="B620" t="e">
        <f t="shared" si="18"/>
        <v>#N/A</v>
      </c>
      <c r="C620" t="e">
        <f t="shared" si="19"/>
        <v>#N/A</v>
      </c>
      <c r="D620" t="e">
        <f>IF(INDEX( DATOS3!$1:$19996,A620,MATCH("PatientID", DATOS3!$1:$1,0))=0,"",INDEX( DATOS3!$1:$19996,A620,MATCH("PatientID", DATOS3!$1:$1,0)))</f>
        <v>#N/A</v>
      </c>
      <c r="F620" t="e">
        <f>IF(INDEX( DATOS3!$1:$19996,A620,MATCH("SeriesDate", DATOS3!$1:$1,0))=0,"",INDEX( DATOS3!$1:$19996,A620,MATCH("SeriesDate", DATOS3!$1:$1,0)))</f>
        <v>#N/A</v>
      </c>
      <c r="G620" t="e">
        <f>IF(INDEX( DATOS3!$1:$19996,A620,MATCH("SeriesTime", DATOS3!$1:$1,0))=0,"",INDEX( DATOS3!$1:$19996,A620,MATCH("SeriesTime", DATOS3!$1:$1,0)))</f>
        <v>#N/A</v>
      </c>
      <c r="H620" t="e">
        <f>IF(INDEX( DATOS3!$1:$19996,A620,MATCH("StudyDescription", DATOS3!$1:$1,0))=0,"",INDEX( DATOS3!$1:$19996,A620,MATCH("StudyDescription", DATOS3!$1:$1,0)))</f>
        <v>#N/A</v>
      </c>
      <c r="I620" t="e">
        <f>IF(INDEX( DATOS3!$1:$19996,A620,MATCH("Dose_Area_Product_Total", DATOS3!$1:$1,0))=0,0,INDEX( DATOS3!$1:$19996,A620,MATCH("Dose_Area_Product", DATOS3!$1:$1,0)))</f>
        <v>#N/A</v>
      </c>
      <c r="J620" t="e">
        <f>IF(INDEX( DATOS3!$1:$19996,A620,MATCH("Dose_RP_Total", DATOS3!$1:$1,0))=0,0,INDEX( DATOS3!$1:$19996,A620,MATCH("Dose_RP", DATOS3!$1:$1,0)))</f>
        <v>#N/A</v>
      </c>
      <c r="K620" t="e">
        <f>IF(INDEX( DATOS3!$1:$19996,A620,MATCH("Total_Fluoro_Time", DATOS3!$1:$1,0))=0,0,INDEX( DATOS3!$1:$19996,A620,MATCH("Total_Fluoro_Time", DATOS3!$1:$1,0)))</f>
        <v>#N/A</v>
      </c>
    </row>
    <row r="621" spans="1:11" hidden="1" x14ac:dyDescent="0.25">
      <c r="A621">
        <v>621</v>
      </c>
      <c r="B621" t="e">
        <f t="shared" si="18"/>
        <v>#N/A</v>
      </c>
      <c r="C621" t="e">
        <f t="shared" si="19"/>
        <v>#N/A</v>
      </c>
      <c r="D621" t="e">
        <f>IF(INDEX( DATOS3!$1:$19996,A621,MATCH("PatientID", DATOS3!$1:$1,0))=0,"",INDEX( DATOS3!$1:$19996,A621,MATCH("PatientID", DATOS3!$1:$1,0)))</f>
        <v>#N/A</v>
      </c>
      <c r="F621" t="e">
        <f>IF(INDEX( DATOS3!$1:$19996,A621,MATCH("SeriesDate", DATOS3!$1:$1,0))=0,"",INDEX( DATOS3!$1:$19996,A621,MATCH("SeriesDate", DATOS3!$1:$1,0)))</f>
        <v>#N/A</v>
      </c>
      <c r="G621" t="e">
        <f>IF(INDEX( DATOS3!$1:$19996,A621,MATCH("SeriesTime", DATOS3!$1:$1,0))=0,"",INDEX( DATOS3!$1:$19996,A621,MATCH("SeriesTime", DATOS3!$1:$1,0)))</f>
        <v>#N/A</v>
      </c>
      <c r="H621" t="e">
        <f>IF(INDEX( DATOS3!$1:$19996,A621,MATCH("StudyDescription", DATOS3!$1:$1,0))=0,"",INDEX( DATOS3!$1:$19996,A621,MATCH("StudyDescription", DATOS3!$1:$1,0)))</f>
        <v>#N/A</v>
      </c>
      <c r="I621" t="e">
        <f>IF(INDEX( DATOS3!$1:$19996,A621,MATCH("Dose_Area_Product_Total", DATOS3!$1:$1,0))=0,0,INDEX( DATOS3!$1:$19996,A621,MATCH("Dose_Area_Product", DATOS3!$1:$1,0)))</f>
        <v>#N/A</v>
      </c>
      <c r="J621" t="e">
        <f>IF(INDEX( DATOS3!$1:$19996,A621,MATCH("Dose_RP_Total", DATOS3!$1:$1,0))=0,0,INDEX( DATOS3!$1:$19996,A621,MATCH("Dose_RP", DATOS3!$1:$1,0)))</f>
        <v>#N/A</v>
      </c>
      <c r="K621" t="e">
        <f>IF(INDEX( DATOS3!$1:$19996,A621,MATCH("Total_Fluoro_Time", DATOS3!$1:$1,0))=0,0,INDEX( DATOS3!$1:$19996,A621,MATCH("Total_Fluoro_Time", DATOS3!$1:$1,0)))</f>
        <v>#N/A</v>
      </c>
    </row>
    <row r="622" spans="1:11" hidden="1" x14ac:dyDescent="0.25">
      <c r="A622">
        <v>622</v>
      </c>
      <c r="B622" t="e">
        <f t="shared" si="18"/>
        <v>#N/A</v>
      </c>
      <c r="C622" t="e">
        <f t="shared" si="19"/>
        <v>#N/A</v>
      </c>
      <c r="D622" t="e">
        <f>IF(INDEX( DATOS3!$1:$19996,A622,MATCH("PatientID", DATOS3!$1:$1,0))=0,"",INDEX( DATOS3!$1:$19996,A622,MATCH("PatientID", DATOS3!$1:$1,0)))</f>
        <v>#N/A</v>
      </c>
      <c r="F622" t="e">
        <f>IF(INDEX( DATOS3!$1:$19996,A622,MATCH("SeriesDate", DATOS3!$1:$1,0))=0,"",INDEX( DATOS3!$1:$19996,A622,MATCH("SeriesDate", DATOS3!$1:$1,0)))</f>
        <v>#N/A</v>
      </c>
      <c r="G622" t="e">
        <f>IF(INDEX( DATOS3!$1:$19996,A622,MATCH("SeriesTime", DATOS3!$1:$1,0))=0,"",INDEX( DATOS3!$1:$19996,A622,MATCH("SeriesTime", DATOS3!$1:$1,0)))</f>
        <v>#N/A</v>
      </c>
      <c r="H622" t="e">
        <f>IF(INDEX( DATOS3!$1:$19996,A622,MATCH("StudyDescription", DATOS3!$1:$1,0))=0,"",INDEX( DATOS3!$1:$19996,A622,MATCH("StudyDescription", DATOS3!$1:$1,0)))</f>
        <v>#N/A</v>
      </c>
      <c r="I622" t="e">
        <f>IF(INDEX( DATOS3!$1:$19996,A622,MATCH("Dose_Area_Product_Total", DATOS3!$1:$1,0))=0,0,INDEX( DATOS3!$1:$19996,A622,MATCH("Dose_Area_Product", DATOS3!$1:$1,0)))</f>
        <v>#N/A</v>
      </c>
      <c r="J622" t="e">
        <f>IF(INDEX( DATOS3!$1:$19996,A622,MATCH("Dose_RP_Total", DATOS3!$1:$1,0))=0,0,INDEX( DATOS3!$1:$19996,A622,MATCH("Dose_RP", DATOS3!$1:$1,0)))</f>
        <v>#N/A</v>
      </c>
      <c r="K622" t="e">
        <f>IF(INDEX( DATOS3!$1:$19996,A622,MATCH("Total_Fluoro_Time", DATOS3!$1:$1,0))=0,0,INDEX( DATOS3!$1:$19996,A622,MATCH("Total_Fluoro_Time", DATOS3!$1:$1,0)))</f>
        <v>#N/A</v>
      </c>
    </row>
    <row r="623" spans="1:11" hidden="1" x14ac:dyDescent="0.25">
      <c r="A623">
        <v>623</v>
      </c>
      <c r="B623" t="e">
        <f t="shared" si="18"/>
        <v>#N/A</v>
      </c>
      <c r="C623" t="e">
        <f t="shared" si="19"/>
        <v>#N/A</v>
      </c>
      <c r="D623" t="e">
        <f>IF(INDEX( DATOS3!$1:$19996,A623,MATCH("PatientID", DATOS3!$1:$1,0))=0,"",INDEX( DATOS3!$1:$19996,A623,MATCH("PatientID", DATOS3!$1:$1,0)))</f>
        <v>#N/A</v>
      </c>
      <c r="F623" t="e">
        <f>IF(INDEX( DATOS3!$1:$19996,A623,MATCH("SeriesDate", DATOS3!$1:$1,0))=0,"",INDEX( DATOS3!$1:$19996,A623,MATCH("SeriesDate", DATOS3!$1:$1,0)))</f>
        <v>#N/A</v>
      </c>
      <c r="G623" t="e">
        <f>IF(INDEX( DATOS3!$1:$19996,A623,MATCH("SeriesTime", DATOS3!$1:$1,0))=0,"",INDEX( DATOS3!$1:$19996,A623,MATCH("SeriesTime", DATOS3!$1:$1,0)))</f>
        <v>#N/A</v>
      </c>
      <c r="H623" t="e">
        <f>IF(INDEX( DATOS3!$1:$19996,A623,MATCH("StudyDescription", DATOS3!$1:$1,0))=0,"",INDEX( DATOS3!$1:$19996,A623,MATCH("StudyDescription", DATOS3!$1:$1,0)))</f>
        <v>#N/A</v>
      </c>
      <c r="I623" t="e">
        <f>IF(INDEX( DATOS3!$1:$19996,A623,MATCH("Dose_Area_Product_Total", DATOS3!$1:$1,0))=0,0,INDEX( DATOS3!$1:$19996,A623,MATCH("Dose_Area_Product", DATOS3!$1:$1,0)))</f>
        <v>#N/A</v>
      </c>
      <c r="J623" t="e">
        <f>IF(INDEX( DATOS3!$1:$19996,A623,MATCH("Dose_RP_Total", DATOS3!$1:$1,0))=0,0,INDEX( DATOS3!$1:$19996,A623,MATCH("Dose_RP", DATOS3!$1:$1,0)))</f>
        <v>#N/A</v>
      </c>
      <c r="K623" t="e">
        <f>IF(INDEX( DATOS3!$1:$19996,A623,MATCH("Total_Fluoro_Time", DATOS3!$1:$1,0))=0,0,INDEX( DATOS3!$1:$19996,A623,MATCH("Total_Fluoro_Time", DATOS3!$1:$1,0)))</f>
        <v>#N/A</v>
      </c>
    </row>
    <row r="624" spans="1:11" hidden="1" x14ac:dyDescent="0.25">
      <c r="A624">
        <v>624</v>
      </c>
      <c r="B624" t="e">
        <f t="shared" si="18"/>
        <v>#N/A</v>
      </c>
      <c r="C624" t="e">
        <f t="shared" si="19"/>
        <v>#N/A</v>
      </c>
      <c r="D624" t="e">
        <f>IF(INDEX( DATOS3!$1:$19996,A624,MATCH("PatientID", DATOS3!$1:$1,0))=0,"",INDEX( DATOS3!$1:$19996,A624,MATCH("PatientID", DATOS3!$1:$1,0)))</f>
        <v>#N/A</v>
      </c>
      <c r="F624" t="e">
        <f>IF(INDEX( DATOS3!$1:$19996,A624,MATCH("SeriesDate", DATOS3!$1:$1,0))=0,"",INDEX( DATOS3!$1:$19996,A624,MATCH("SeriesDate", DATOS3!$1:$1,0)))</f>
        <v>#N/A</v>
      </c>
      <c r="G624" t="e">
        <f>IF(INDEX( DATOS3!$1:$19996,A624,MATCH("SeriesTime", DATOS3!$1:$1,0))=0,"",INDEX( DATOS3!$1:$19996,A624,MATCH("SeriesTime", DATOS3!$1:$1,0)))</f>
        <v>#N/A</v>
      </c>
      <c r="H624" t="e">
        <f>IF(INDEX( DATOS3!$1:$19996,A624,MATCH("StudyDescription", DATOS3!$1:$1,0))=0,"",INDEX( DATOS3!$1:$19996,A624,MATCH("StudyDescription", DATOS3!$1:$1,0)))</f>
        <v>#N/A</v>
      </c>
      <c r="I624" t="e">
        <f>IF(INDEX( DATOS3!$1:$19996,A624,MATCH("Dose_Area_Product_Total", DATOS3!$1:$1,0))=0,0,INDEX( DATOS3!$1:$19996,A624,MATCH("Dose_Area_Product", DATOS3!$1:$1,0)))</f>
        <v>#N/A</v>
      </c>
      <c r="J624" t="e">
        <f>IF(INDEX( DATOS3!$1:$19996,A624,MATCH("Dose_RP_Total", DATOS3!$1:$1,0))=0,0,INDEX( DATOS3!$1:$19996,A624,MATCH("Dose_RP", DATOS3!$1:$1,0)))</f>
        <v>#N/A</v>
      </c>
      <c r="K624" t="e">
        <f>IF(INDEX( DATOS3!$1:$19996,A624,MATCH("Total_Fluoro_Time", DATOS3!$1:$1,0))=0,0,INDEX( DATOS3!$1:$19996,A624,MATCH("Total_Fluoro_Time", DATOS3!$1:$1,0)))</f>
        <v>#N/A</v>
      </c>
    </row>
    <row r="625" spans="1:11" hidden="1" x14ac:dyDescent="0.25">
      <c r="A625">
        <v>625</v>
      </c>
      <c r="B625" t="e">
        <f t="shared" si="18"/>
        <v>#N/A</v>
      </c>
      <c r="C625" t="e">
        <f t="shared" si="19"/>
        <v>#N/A</v>
      </c>
      <c r="D625" t="e">
        <f>IF(INDEX( DATOS3!$1:$19996,A625,MATCH("PatientID", DATOS3!$1:$1,0))=0,"",INDEX( DATOS3!$1:$19996,A625,MATCH("PatientID", DATOS3!$1:$1,0)))</f>
        <v>#N/A</v>
      </c>
      <c r="F625" t="e">
        <f>IF(INDEX( DATOS3!$1:$19996,A625,MATCH("SeriesDate", DATOS3!$1:$1,0))=0,"",INDEX( DATOS3!$1:$19996,A625,MATCH("SeriesDate", DATOS3!$1:$1,0)))</f>
        <v>#N/A</v>
      </c>
      <c r="G625" t="e">
        <f>IF(INDEX( DATOS3!$1:$19996,A625,MATCH("SeriesTime", DATOS3!$1:$1,0))=0,"",INDEX( DATOS3!$1:$19996,A625,MATCH("SeriesTime", DATOS3!$1:$1,0)))</f>
        <v>#N/A</v>
      </c>
      <c r="H625" t="e">
        <f>IF(INDEX( DATOS3!$1:$19996,A625,MATCH("StudyDescription", DATOS3!$1:$1,0))=0,"",INDEX( DATOS3!$1:$19996,A625,MATCH("StudyDescription", DATOS3!$1:$1,0)))</f>
        <v>#N/A</v>
      </c>
      <c r="I625" t="e">
        <f>IF(INDEX( DATOS3!$1:$19996,A625,MATCH("Dose_Area_Product_Total", DATOS3!$1:$1,0))=0,0,INDEX( DATOS3!$1:$19996,A625,MATCH("Dose_Area_Product", DATOS3!$1:$1,0)))</f>
        <v>#N/A</v>
      </c>
      <c r="J625" t="e">
        <f>IF(INDEX( DATOS3!$1:$19996,A625,MATCH("Dose_RP_Total", DATOS3!$1:$1,0))=0,0,INDEX( DATOS3!$1:$19996,A625,MATCH("Dose_RP", DATOS3!$1:$1,0)))</f>
        <v>#N/A</v>
      </c>
      <c r="K625" t="e">
        <f>IF(INDEX( DATOS3!$1:$19996,A625,MATCH("Total_Fluoro_Time", DATOS3!$1:$1,0))=0,0,INDEX( DATOS3!$1:$19996,A625,MATCH("Total_Fluoro_Time", DATOS3!$1:$1,0)))</f>
        <v>#N/A</v>
      </c>
    </row>
    <row r="626" spans="1:11" hidden="1" x14ac:dyDescent="0.25">
      <c r="A626">
        <v>626</v>
      </c>
      <c r="B626" t="e">
        <f t="shared" si="18"/>
        <v>#N/A</v>
      </c>
      <c r="C626" t="e">
        <f t="shared" si="19"/>
        <v>#N/A</v>
      </c>
      <c r="D626" t="e">
        <f>IF(INDEX( DATOS3!$1:$19996,A626,MATCH("PatientID", DATOS3!$1:$1,0))=0,"",INDEX( DATOS3!$1:$19996,A626,MATCH("PatientID", DATOS3!$1:$1,0)))</f>
        <v>#N/A</v>
      </c>
      <c r="F626" t="e">
        <f>IF(INDEX( DATOS3!$1:$19996,A626,MATCH("SeriesDate", DATOS3!$1:$1,0))=0,"",INDEX( DATOS3!$1:$19996,A626,MATCH("SeriesDate", DATOS3!$1:$1,0)))</f>
        <v>#N/A</v>
      </c>
      <c r="G626" t="e">
        <f>IF(INDEX( DATOS3!$1:$19996,A626,MATCH("SeriesTime", DATOS3!$1:$1,0))=0,"",INDEX( DATOS3!$1:$19996,A626,MATCH("SeriesTime", DATOS3!$1:$1,0)))</f>
        <v>#N/A</v>
      </c>
      <c r="H626" t="e">
        <f>IF(INDEX( DATOS3!$1:$19996,A626,MATCH("StudyDescription", DATOS3!$1:$1,0))=0,"",INDEX( DATOS3!$1:$19996,A626,MATCH("StudyDescription", DATOS3!$1:$1,0)))</f>
        <v>#N/A</v>
      </c>
      <c r="I626" t="e">
        <f>IF(INDEX( DATOS3!$1:$19996,A626,MATCH("Dose_Area_Product_Total", DATOS3!$1:$1,0))=0,0,INDEX( DATOS3!$1:$19996,A626,MATCH("Dose_Area_Product", DATOS3!$1:$1,0)))</f>
        <v>#N/A</v>
      </c>
      <c r="J626" t="e">
        <f>IF(INDEX( DATOS3!$1:$19996,A626,MATCH("Dose_RP_Total", DATOS3!$1:$1,0))=0,0,INDEX( DATOS3!$1:$19996,A626,MATCH("Dose_RP", DATOS3!$1:$1,0)))</f>
        <v>#N/A</v>
      </c>
      <c r="K626" t="e">
        <f>IF(INDEX( DATOS3!$1:$19996,A626,MATCH("Total_Fluoro_Time", DATOS3!$1:$1,0))=0,0,INDEX( DATOS3!$1:$19996,A626,MATCH("Total_Fluoro_Time", DATOS3!$1:$1,0)))</f>
        <v>#N/A</v>
      </c>
    </row>
    <row r="627" spans="1:11" hidden="1" x14ac:dyDescent="0.25">
      <c r="A627">
        <v>627</v>
      </c>
      <c r="B627" t="e">
        <f t="shared" si="18"/>
        <v>#N/A</v>
      </c>
      <c r="C627" t="e">
        <f t="shared" si="19"/>
        <v>#N/A</v>
      </c>
      <c r="D627" t="e">
        <f>IF(INDEX( DATOS3!$1:$19996,A627,MATCH("PatientID", DATOS3!$1:$1,0))=0,"",INDEX( DATOS3!$1:$19996,A627,MATCH("PatientID", DATOS3!$1:$1,0)))</f>
        <v>#N/A</v>
      </c>
      <c r="F627" t="e">
        <f>IF(INDEX( DATOS3!$1:$19996,A627,MATCH("SeriesDate", DATOS3!$1:$1,0))=0,"",INDEX( DATOS3!$1:$19996,A627,MATCH("SeriesDate", DATOS3!$1:$1,0)))</f>
        <v>#N/A</v>
      </c>
      <c r="G627" t="e">
        <f>IF(INDEX( DATOS3!$1:$19996,A627,MATCH("SeriesTime", DATOS3!$1:$1,0))=0,"",INDEX( DATOS3!$1:$19996,A627,MATCH("SeriesTime", DATOS3!$1:$1,0)))</f>
        <v>#N/A</v>
      </c>
      <c r="H627" t="e">
        <f>IF(INDEX( DATOS3!$1:$19996,A627,MATCH("StudyDescription", DATOS3!$1:$1,0))=0,"",INDEX( DATOS3!$1:$19996,A627,MATCH("StudyDescription", DATOS3!$1:$1,0)))</f>
        <v>#N/A</v>
      </c>
      <c r="I627" t="e">
        <f>IF(INDEX( DATOS3!$1:$19996,A627,MATCH("Dose_Area_Product_Total", DATOS3!$1:$1,0))=0,0,INDEX( DATOS3!$1:$19996,A627,MATCH("Dose_Area_Product", DATOS3!$1:$1,0)))</f>
        <v>#N/A</v>
      </c>
      <c r="J627" t="e">
        <f>IF(INDEX( DATOS3!$1:$19996,A627,MATCH("Dose_RP_Total", DATOS3!$1:$1,0))=0,0,INDEX( DATOS3!$1:$19996,A627,MATCH("Dose_RP", DATOS3!$1:$1,0)))</f>
        <v>#N/A</v>
      </c>
      <c r="K627" t="e">
        <f>IF(INDEX( DATOS3!$1:$19996,A627,MATCH("Total_Fluoro_Time", DATOS3!$1:$1,0))=0,0,INDEX( DATOS3!$1:$19996,A627,MATCH("Total_Fluoro_Time", DATOS3!$1:$1,0)))</f>
        <v>#N/A</v>
      </c>
    </row>
    <row r="628" spans="1:11" hidden="1" x14ac:dyDescent="0.25">
      <c r="A628">
        <v>628</v>
      </c>
      <c r="B628" t="e">
        <f t="shared" si="18"/>
        <v>#N/A</v>
      </c>
      <c r="C628" t="e">
        <f t="shared" si="19"/>
        <v>#N/A</v>
      </c>
      <c r="D628" t="e">
        <f>IF(INDEX( DATOS3!$1:$19996,A628,MATCH("PatientID", DATOS3!$1:$1,0))=0,"",INDEX( DATOS3!$1:$19996,A628,MATCH("PatientID", DATOS3!$1:$1,0)))</f>
        <v>#N/A</v>
      </c>
      <c r="F628" t="e">
        <f>IF(INDEX( DATOS3!$1:$19996,A628,MATCH("SeriesDate", DATOS3!$1:$1,0))=0,"",INDEX( DATOS3!$1:$19996,A628,MATCH("SeriesDate", DATOS3!$1:$1,0)))</f>
        <v>#N/A</v>
      </c>
      <c r="G628" t="e">
        <f>IF(INDEX( DATOS3!$1:$19996,A628,MATCH("SeriesTime", DATOS3!$1:$1,0))=0,"",INDEX( DATOS3!$1:$19996,A628,MATCH("SeriesTime", DATOS3!$1:$1,0)))</f>
        <v>#N/A</v>
      </c>
      <c r="H628" t="e">
        <f>IF(INDEX( DATOS3!$1:$19996,A628,MATCH("StudyDescription", DATOS3!$1:$1,0))=0,"",INDEX( DATOS3!$1:$19996,A628,MATCH("StudyDescription", DATOS3!$1:$1,0)))</f>
        <v>#N/A</v>
      </c>
      <c r="I628" t="e">
        <f>IF(INDEX( DATOS3!$1:$19996,A628,MATCH("Dose_Area_Product_Total", DATOS3!$1:$1,0))=0,0,INDEX( DATOS3!$1:$19996,A628,MATCH("Dose_Area_Product", DATOS3!$1:$1,0)))</f>
        <v>#N/A</v>
      </c>
      <c r="J628" t="e">
        <f>IF(INDEX( DATOS3!$1:$19996,A628,MATCH("Dose_RP_Total", DATOS3!$1:$1,0))=0,0,INDEX( DATOS3!$1:$19996,A628,MATCH("Dose_RP", DATOS3!$1:$1,0)))</f>
        <v>#N/A</v>
      </c>
      <c r="K628" t="e">
        <f>IF(INDEX( DATOS3!$1:$19996,A628,MATCH("Total_Fluoro_Time", DATOS3!$1:$1,0))=0,0,INDEX( DATOS3!$1:$19996,A628,MATCH("Total_Fluoro_Time", DATOS3!$1:$1,0)))</f>
        <v>#N/A</v>
      </c>
    </row>
    <row r="629" spans="1:11" hidden="1" x14ac:dyDescent="0.25">
      <c r="A629">
        <v>629</v>
      </c>
      <c r="B629" t="e">
        <f t="shared" si="18"/>
        <v>#N/A</v>
      </c>
      <c r="C629" t="e">
        <f t="shared" si="19"/>
        <v>#N/A</v>
      </c>
      <c r="D629" t="e">
        <f>IF(INDEX( DATOS3!$1:$19996,A629,MATCH("PatientID", DATOS3!$1:$1,0))=0,"",INDEX( DATOS3!$1:$19996,A629,MATCH("PatientID", DATOS3!$1:$1,0)))</f>
        <v>#N/A</v>
      </c>
      <c r="F629" t="e">
        <f>IF(INDEX( DATOS3!$1:$19996,A629,MATCH("SeriesDate", DATOS3!$1:$1,0))=0,"",INDEX( DATOS3!$1:$19996,A629,MATCH("SeriesDate", DATOS3!$1:$1,0)))</f>
        <v>#N/A</v>
      </c>
      <c r="G629" t="e">
        <f>IF(INDEX( DATOS3!$1:$19996,A629,MATCH("SeriesTime", DATOS3!$1:$1,0))=0,"",INDEX( DATOS3!$1:$19996,A629,MATCH("SeriesTime", DATOS3!$1:$1,0)))</f>
        <v>#N/A</v>
      </c>
      <c r="H629" t="e">
        <f>IF(INDEX( DATOS3!$1:$19996,A629,MATCH("StudyDescription", DATOS3!$1:$1,0))=0,"",INDEX( DATOS3!$1:$19996,A629,MATCH("StudyDescription", DATOS3!$1:$1,0)))</f>
        <v>#N/A</v>
      </c>
      <c r="I629" t="e">
        <f>IF(INDEX( DATOS3!$1:$19996,A629,MATCH("Dose_Area_Product_Total", DATOS3!$1:$1,0))=0,0,INDEX( DATOS3!$1:$19996,A629,MATCH("Dose_Area_Product", DATOS3!$1:$1,0)))</f>
        <v>#N/A</v>
      </c>
      <c r="J629" t="e">
        <f>IF(INDEX( DATOS3!$1:$19996,A629,MATCH("Dose_RP_Total", DATOS3!$1:$1,0))=0,0,INDEX( DATOS3!$1:$19996,A629,MATCH("Dose_RP", DATOS3!$1:$1,0)))</f>
        <v>#N/A</v>
      </c>
      <c r="K629" t="e">
        <f>IF(INDEX( DATOS3!$1:$19996,A629,MATCH("Total_Fluoro_Time", DATOS3!$1:$1,0))=0,0,INDEX( DATOS3!$1:$19996,A629,MATCH("Total_Fluoro_Time", DATOS3!$1:$1,0)))</f>
        <v>#N/A</v>
      </c>
    </row>
    <row r="630" spans="1:11" hidden="1" x14ac:dyDescent="0.25">
      <c r="A630">
        <v>630</v>
      </c>
      <c r="B630" t="e">
        <f t="shared" si="18"/>
        <v>#N/A</v>
      </c>
      <c r="C630" t="e">
        <f t="shared" si="19"/>
        <v>#N/A</v>
      </c>
      <c r="D630" t="e">
        <f>IF(INDEX( DATOS3!$1:$19996,A630,MATCH("PatientID", DATOS3!$1:$1,0))=0,"",INDEX( DATOS3!$1:$19996,A630,MATCH("PatientID", DATOS3!$1:$1,0)))</f>
        <v>#N/A</v>
      </c>
      <c r="F630" t="e">
        <f>IF(INDEX( DATOS3!$1:$19996,A630,MATCH("SeriesDate", DATOS3!$1:$1,0))=0,"",INDEX( DATOS3!$1:$19996,A630,MATCH("SeriesDate", DATOS3!$1:$1,0)))</f>
        <v>#N/A</v>
      </c>
      <c r="G630" t="e">
        <f>IF(INDEX( DATOS3!$1:$19996,A630,MATCH("SeriesTime", DATOS3!$1:$1,0))=0,"",INDEX( DATOS3!$1:$19996,A630,MATCH("SeriesTime", DATOS3!$1:$1,0)))</f>
        <v>#N/A</v>
      </c>
      <c r="H630" t="e">
        <f>IF(INDEX( DATOS3!$1:$19996,A630,MATCH("StudyDescription", DATOS3!$1:$1,0))=0,"",INDEX( DATOS3!$1:$19996,A630,MATCH("StudyDescription", DATOS3!$1:$1,0)))</f>
        <v>#N/A</v>
      </c>
      <c r="I630" t="e">
        <f>IF(INDEX( DATOS3!$1:$19996,A630,MATCH("Dose_Area_Product_Total", DATOS3!$1:$1,0))=0,0,INDEX( DATOS3!$1:$19996,A630,MATCH("Dose_Area_Product", DATOS3!$1:$1,0)))</f>
        <v>#N/A</v>
      </c>
      <c r="J630" t="e">
        <f>IF(INDEX( DATOS3!$1:$19996,A630,MATCH("Dose_RP_Total", DATOS3!$1:$1,0))=0,0,INDEX( DATOS3!$1:$19996,A630,MATCH("Dose_RP", DATOS3!$1:$1,0)))</f>
        <v>#N/A</v>
      </c>
      <c r="K630" t="e">
        <f>IF(INDEX( DATOS3!$1:$19996,A630,MATCH("Total_Fluoro_Time", DATOS3!$1:$1,0))=0,0,INDEX( DATOS3!$1:$19996,A630,MATCH("Total_Fluoro_Time", DATOS3!$1:$1,0)))</f>
        <v>#N/A</v>
      </c>
    </row>
    <row r="631" spans="1:11" hidden="1" x14ac:dyDescent="0.25">
      <c r="A631">
        <v>631</v>
      </c>
      <c r="B631" t="e">
        <f t="shared" si="18"/>
        <v>#N/A</v>
      </c>
      <c r="C631" t="e">
        <f t="shared" si="19"/>
        <v>#N/A</v>
      </c>
      <c r="D631" t="e">
        <f>IF(INDEX( DATOS3!$1:$19996,A631,MATCH("PatientID", DATOS3!$1:$1,0))=0,"",INDEX( DATOS3!$1:$19996,A631,MATCH("PatientID", DATOS3!$1:$1,0)))</f>
        <v>#N/A</v>
      </c>
      <c r="F631" t="e">
        <f>IF(INDEX( DATOS3!$1:$19996,A631,MATCH("SeriesDate", DATOS3!$1:$1,0))=0,"",INDEX( DATOS3!$1:$19996,A631,MATCH("SeriesDate", DATOS3!$1:$1,0)))</f>
        <v>#N/A</v>
      </c>
      <c r="G631" t="e">
        <f>IF(INDEX( DATOS3!$1:$19996,A631,MATCH("SeriesTime", DATOS3!$1:$1,0))=0,"",INDEX( DATOS3!$1:$19996,A631,MATCH("SeriesTime", DATOS3!$1:$1,0)))</f>
        <v>#N/A</v>
      </c>
      <c r="H631" t="e">
        <f>IF(INDEX( DATOS3!$1:$19996,A631,MATCH("StudyDescription", DATOS3!$1:$1,0))=0,"",INDEX( DATOS3!$1:$19996,A631,MATCH("StudyDescription", DATOS3!$1:$1,0)))</f>
        <v>#N/A</v>
      </c>
      <c r="I631" t="e">
        <f>IF(INDEX( DATOS3!$1:$19996,A631,MATCH("Dose_Area_Product_Total", DATOS3!$1:$1,0))=0,0,INDEX( DATOS3!$1:$19996,A631,MATCH("Dose_Area_Product", DATOS3!$1:$1,0)))</f>
        <v>#N/A</v>
      </c>
      <c r="J631" t="e">
        <f>IF(INDEX( DATOS3!$1:$19996,A631,MATCH("Dose_RP_Total", DATOS3!$1:$1,0))=0,0,INDEX( DATOS3!$1:$19996,A631,MATCH("Dose_RP", DATOS3!$1:$1,0)))</f>
        <v>#N/A</v>
      </c>
      <c r="K631" t="e">
        <f>IF(INDEX( DATOS3!$1:$19996,A631,MATCH("Total_Fluoro_Time", DATOS3!$1:$1,0))=0,0,INDEX( DATOS3!$1:$19996,A631,MATCH("Total_Fluoro_Time", DATOS3!$1:$1,0)))</f>
        <v>#N/A</v>
      </c>
    </row>
    <row r="632" spans="1:11" hidden="1" x14ac:dyDescent="0.25">
      <c r="A632">
        <v>632</v>
      </c>
      <c r="B632" t="e">
        <f t="shared" si="18"/>
        <v>#N/A</v>
      </c>
      <c r="C632" t="e">
        <f t="shared" si="19"/>
        <v>#N/A</v>
      </c>
      <c r="D632" t="e">
        <f>IF(INDEX( DATOS3!$1:$19996,A632,MATCH("PatientID", DATOS3!$1:$1,0))=0,"",INDEX( DATOS3!$1:$19996,A632,MATCH("PatientID", DATOS3!$1:$1,0)))</f>
        <v>#N/A</v>
      </c>
      <c r="F632" t="e">
        <f>IF(INDEX( DATOS3!$1:$19996,A632,MATCH("SeriesDate", DATOS3!$1:$1,0))=0,"",INDEX( DATOS3!$1:$19996,A632,MATCH("SeriesDate", DATOS3!$1:$1,0)))</f>
        <v>#N/A</v>
      </c>
      <c r="G632" t="e">
        <f>IF(INDEX( DATOS3!$1:$19996,A632,MATCH("SeriesTime", DATOS3!$1:$1,0))=0,"",INDEX( DATOS3!$1:$19996,A632,MATCH("SeriesTime", DATOS3!$1:$1,0)))</f>
        <v>#N/A</v>
      </c>
      <c r="H632" t="e">
        <f>IF(INDEX( DATOS3!$1:$19996,A632,MATCH("StudyDescription", DATOS3!$1:$1,0))=0,"",INDEX( DATOS3!$1:$19996,A632,MATCH("StudyDescription", DATOS3!$1:$1,0)))</f>
        <v>#N/A</v>
      </c>
      <c r="I632" t="e">
        <f>IF(INDEX( DATOS3!$1:$19996,A632,MATCH("Dose_Area_Product_Total", DATOS3!$1:$1,0))=0,0,INDEX( DATOS3!$1:$19996,A632,MATCH("Dose_Area_Product", DATOS3!$1:$1,0)))</f>
        <v>#N/A</v>
      </c>
      <c r="J632" t="e">
        <f>IF(INDEX( DATOS3!$1:$19996,A632,MATCH("Dose_RP_Total", DATOS3!$1:$1,0))=0,0,INDEX( DATOS3!$1:$19996,A632,MATCH("Dose_RP", DATOS3!$1:$1,0)))</f>
        <v>#N/A</v>
      </c>
      <c r="K632" t="e">
        <f>IF(INDEX( DATOS3!$1:$19996,A632,MATCH("Total_Fluoro_Time", DATOS3!$1:$1,0))=0,0,INDEX( DATOS3!$1:$19996,A632,MATCH("Total_Fluoro_Time", DATOS3!$1:$1,0)))</f>
        <v>#N/A</v>
      </c>
    </row>
    <row r="633" spans="1:11" hidden="1" x14ac:dyDescent="0.25">
      <c r="A633">
        <v>633</v>
      </c>
      <c r="B633" t="e">
        <f t="shared" si="18"/>
        <v>#N/A</v>
      </c>
      <c r="C633" t="e">
        <f t="shared" si="19"/>
        <v>#N/A</v>
      </c>
      <c r="D633" t="e">
        <f>IF(INDEX( DATOS3!$1:$19996,A633,MATCH("PatientID", DATOS3!$1:$1,0))=0,"",INDEX( DATOS3!$1:$19996,A633,MATCH("PatientID", DATOS3!$1:$1,0)))</f>
        <v>#N/A</v>
      </c>
      <c r="F633" t="e">
        <f>IF(INDEX( DATOS3!$1:$19996,A633,MATCH("SeriesDate", DATOS3!$1:$1,0))=0,"",INDEX( DATOS3!$1:$19996,A633,MATCH("SeriesDate", DATOS3!$1:$1,0)))</f>
        <v>#N/A</v>
      </c>
      <c r="G633" t="e">
        <f>IF(INDEX( DATOS3!$1:$19996,A633,MATCH("SeriesTime", DATOS3!$1:$1,0))=0,"",INDEX( DATOS3!$1:$19996,A633,MATCH("SeriesTime", DATOS3!$1:$1,0)))</f>
        <v>#N/A</v>
      </c>
      <c r="H633" t="e">
        <f>IF(INDEX( DATOS3!$1:$19996,A633,MATCH("StudyDescription", DATOS3!$1:$1,0))=0,"",INDEX( DATOS3!$1:$19996,A633,MATCH("StudyDescription", DATOS3!$1:$1,0)))</f>
        <v>#N/A</v>
      </c>
      <c r="I633" t="e">
        <f>IF(INDEX( DATOS3!$1:$19996,A633,MATCH("Dose_Area_Product_Total", DATOS3!$1:$1,0))=0,0,INDEX( DATOS3!$1:$19996,A633,MATCH("Dose_Area_Product", DATOS3!$1:$1,0)))</f>
        <v>#N/A</v>
      </c>
      <c r="J633" t="e">
        <f>IF(INDEX( DATOS3!$1:$19996,A633,MATCH("Dose_RP_Total", DATOS3!$1:$1,0))=0,0,INDEX( DATOS3!$1:$19996,A633,MATCH("Dose_RP", DATOS3!$1:$1,0)))</f>
        <v>#N/A</v>
      </c>
      <c r="K633" t="e">
        <f>IF(INDEX( DATOS3!$1:$19996,A633,MATCH("Total_Fluoro_Time", DATOS3!$1:$1,0))=0,0,INDEX( DATOS3!$1:$19996,A633,MATCH("Total_Fluoro_Time", DATOS3!$1:$1,0)))</f>
        <v>#N/A</v>
      </c>
    </row>
    <row r="634" spans="1:11" hidden="1" x14ac:dyDescent="0.25">
      <c r="A634">
        <v>634</v>
      </c>
      <c r="B634" t="e">
        <f t="shared" si="18"/>
        <v>#N/A</v>
      </c>
      <c r="C634" t="e">
        <f t="shared" si="19"/>
        <v>#N/A</v>
      </c>
      <c r="D634" t="e">
        <f>IF(INDEX( DATOS3!$1:$19996,A634,MATCH("PatientID", DATOS3!$1:$1,0))=0,"",INDEX( DATOS3!$1:$19996,A634,MATCH("PatientID", DATOS3!$1:$1,0)))</f>
        <v>#N/A</v>
      </c>
      <c r="F634" t="e">
        <f>IF(INDEX( DATOS3!$1:$19996,A634,MATCH("SeriesDate", DATOS3!$1:$1,0))=0,"",INDEX( DATOS3!$1:$19996,A634,MATCH("SeriesDate", DATOS3!$1:$1,0)))</f>
        <v>#N/A</v>
      </c>
      <c r="G634" t="e">
        <f>IF(INDEX( DATOS3!$1:$19996,A634,MATCH("SeriesTime", DATOS3!$1:$1,0))=0,"",INDEX( DATOS3!$1:$19996,A634,MATCH("SeriesTime", DATOS3!$1:$1,0)))</f>
        <v>#N/A</v>
      </c>
      <c r="H634" t="e">
        <f>IF(INDEX( DATOS3!$1:$19996,A634,MATCH("StudyDescription", DATOS3!$1:$1,0))=0,"",INDEX( DATOS3!$1:$19996,A634,MATCH("StudyDescription", DATOS3!$1:$1,0)))</f>
        <v>#N/A</v>
      </c>
      <c r="I634" t="e">
        <f>IF(INDEX( DATOS3!$1:$19996,A634,MATCH("Dose_Area_Product_Total", DATOS3!$1:$1,0))=0,0,INDEX( DATOS3!$1:$19996,A634,MATCH("Dose_Area_Product", DATOS3!$1:$1,0)))</f>
        <v>#N/A</v>
      </c>
      <c r="J634" t="e">
        <f>IF(INDEX( DATOS3!$1:$19996,A634,MATCH("Dose_RP_Total", DATOS3!$1:$1,0))=0,0,INDEX( DATOS3!$1:$19996,A634,MATCH("Dose_RP", DATOS3!$1:$1,0)))</f>
        <v>#N/A</v>
      </c>
      <c r="K634" t="e">
        <f>IF(INDEX( DATOS3!$1:$19996,A634,MATCH("Total_Fluoro_Time", DATOS3!$1:$1,0))=0,0,INDEX( DATOS3!$1:$19996,A634,MATCH("Total_Fluoro_Time", DATOS3!$1:$1,0)))</f>
        <v>#N/A</v>
      </c>
    </row>
    <row r="635" spans="1:11" hidden="1" x14ac:dyDescent="0.25">
      <c r="A635">
        <v>635</v>
      </c>
      <c r="B635" t="e">
        <f t="shared" si="18"/>
        <v>#N/A</v>
      </c>
      <c r="C635" t="e">
        <f t="shared" si="19"/>
        <v>#N/A</v>
      </c>
      <c r="D635" t="e">
        <f>IF(INDEX( DATOS3!$1:$19996,A635,MATCH("PatientID", DATOS3!$1:$1,0))=0,"",INDEX( DATOS3!$1:$19996,A635,MATCH("PatientID", DATOS3!$1:$1,0)))</f>
        <v>#N/A</v>
      </c>
      <c r="F635" t="e">
        <f>IF(INDEX( DATOS3!$1:$19996,A635,MATCH("SeriesDate", DATOS3!$1:$1,0))=0,"",INDEX( DATOS3!$1:$19996,A635,MATCH("SeriesDate", DATOS3!$1:$1,0)))</f>
        <v>#N/A</v>
      </c>
      <c r="G635" t="e">
        <f>IF(INDEX( DATOS3!$1:$19996,A635,MATCH("SeriesTime", DATOS3!$1:$1,0))=0,"",INDEX( DATOS3!$1:$19996,A635,MATCH("SeriesTime", DATOS3!$1:$1,0)))</f>
        <v>#N/A</v>
      </c>
      <c r="H635" t="e">
        <f>IF(INDEX( DATOS3!$1:$19996,A635,MATCH("StudyDescription", DATOS3!$1:$1,0))=0,"",INDEX( DATOS3!$1:$19996,A635,MATCH("StudyDescription", DATOS3!$1:$1,0)))</f>
        <v>#N/A</v>
      </c>
      <c r="I635" t="e">
        <f>IF(INDEX( DATOS3!$1:$19996,A635,MATCH("Dose_Area_Product_Total", DATOS3!$1:$1,0))=0,0,INDEX( DATOS3!$1:$19996,A635,MATCH("Dose_Area_Product", DATOS3!$1:$1,0)))</f>
        <v>#N/A</v>
      </c>
      <c r="J635" t="e">
        <f>IF(INDEX( DATOS3!$1:$19996,A635,MATCH("Dose_RP_Total", DATOS3!$1:$1,0))=0,0,INDEX( DATOS3!$1:$19996,A635,MATCH("Dose_RP", DATOS3!$1:$1,0)))</f>
        <v>#N/A</v>
      </c>
      <c r="K635" t="e">
        <f>IF(INDEX( DATOS3!$1:$19996,A635,MATCH("Total_Fluoro_Time", DATOS3!$1:$1,0))=0,0,INDEX( DATOS3!$1:$19996,A635,MATCH("Total_Fluoro_Time", DATOS3!$1:$1,0)))</f>
        <v>#N/A</v>
      </c>
    </row>
    <row r="636" spans="1:11" hidden="1" x14ac:dyDescent="0.25">
      <c r="A636">
        <v>636</v>
      </c>
      <c r="B636" t="e">
        <f t="shared" si="18"/>
        <v>#N/A</v>
      </c>
      <c r="C636" t="e">
        <f t="shared" si="19"/>
        <v>#N/A</v>
      </c>
      <c r="D636" t="e">
        <f>IF(INDEX( DATOS3!$1:$19996,A636,MATCH("PatientID", DATOS3!$1:$1,0))=0,"",INDEX( DATOS3!$1:$19996,A636,MATCH("PatientID", DATOS3!$1:$1,0)))</f>
        <v>#N/A</v>
      </c>
      <c r="F636" t="e">
        <f>IF(INDEX( DATOS3!$1:$19996,A636,MATCH("SeriesDate", DATOS3!$1:$1,0))=0,"",INDEX( DATOS3!$1:$19996,A636,MATCH("SeriesDate", DATOS3!$1:$1,0)))</f>
        <v>#N/A</v>
      </c>
      <c r="G636" t="e">
        <f>IF(INDEX( DATOS3!$1:$19996,A636,MATCH("SeriesTime", DATOS3!$1:$1,0))=0,"",INDEX( DATOS3!$1:$19996,A636,MATCH("SeriesTime", DATOS3!$1:$1,0)))</f>
        <v>#N/A</v>
      </c>
      <c r="H636" t="e">
        <f>IF(INDEX( DATOS3!$1:$19996,A636,MATCH("StudyDescription", DATOS3!$1:$1,0))=0,"",INDEX( DATOS3!$1:$19996,A636,MATCH("StudyDescription", DATOS3!$1:$1,0)))</f>
        <v>#N/A</v>
      </c>
      <c r="I636" t="e">
        <f>IF(INDEX( DATOS3!$1:$19996,A636,MATCH("Dose_Area_Product_Total", DATOS3!$1:$1,0))=0,0,INDEX( DATOS3!$1:$19996,A636,MATCH("Dose_Area_Product", DATOS3!$1:$1,0)))</f>
        <v>#N/A</v>
      </c>
      <c r="J636" t="e">
        <f>IF(INDEX( DATOS3!$1:$19996,A636,MATCH("Dose_RP_Total", DATOS3!$1:$1,0))=0,0,INDEX( DATOS3!$1:$19996,A636,MATCH("Dose_RP", DATOS3!$1:$1,0)))</f>
        <v>#N/A</v>
      </c>
      <c r="K636" t="e">
        <f>IF(INDEX( DATOS3!$1:$19996,A636,MATCH("Total_Fluoro_Time", DATOS3!$1:$1,0))=0,0,INDEX( DATOS3!$1:$19996,A636,MATCH("Total_Fluoro_Time", DATOS3!$1:$1,0)))</f>
        <v>#N/A</v>
      </c>
    </row>
    <row r="637" spans="1:11" hidden="1" x14ac:dyDescent="0.25">
      <c r="A637">
        <v>637</v>
      </c>
      <c r="B637" t="e">
        <f t="shared" si="18"/>
        <v>#N/A</v>
      </c>
      <c r="C637" t="e">
        <f t="shared" si="19"/>
        <v>#N/A</v>
      </c>
      <c r="D637" t="e">
        <f>IF(INDEX( DATOS3!$1:$19996,A637,MATCH("PatientID", DATOS3!$1:$1,0))=0,"",INDEX( DATOS3!$1:$19996,A637,MATCH("PatientID", DATOS3!$1:$1,0)))</f>
        <v>#N/A</v>
      </c>
      <c r="F637" t="e">
        <f>IF(INDEX( DATOS3!$1:$19996,A637,MATCH("SeriesDate", DATOS3!$1:$1,0))=0,"",INDEX( DATOS3!$1:$19996,A637,MATCH("SeriesDate", DATOS3!$1:$1,0)))</f>
        <v>#N/A</v>
      </c>
      <c r="G637" t="e">
        <f>IF(INDEX( DATOS3!$1:$19996,A637,MATCH("SeriesTime", DATOS3!$1:$1,0))=0,"",INDEX( DATOS3!$1:$19996,A637,MATCH("SeriesTime", DATOS3!$1:$1,0)))</f>
        <v>#N/A</v>
      </c>
      <c r="H637" t="e">
        <f>IF(INDEX( DATOS3!$1:$19996,A637,MATCH("StudyDescription", DATOS3!$1:$1,0))=0,"",INDEX( DATOS3!$1:$19996,A637,MATCH("StudyDescription", DATOS3!$1:$1,0)))</f>
        <v>#N/A</v>
      </c>
      <c r="I637" t="e">
        <f>IF(INDEX( DATOS3!$1:$19996,A637,MATCH("Dose_Area_Product_Total", DATOS3!$1:$1,0))=0,0,INDEX( DATOS3!$1:$19996,A637,MATCH("Dose_Area_Product", DATOS3!$1:$1,0)))</f>
        <v>#N/A</v>
      </c>
      <c r="J637" t="e">
        <f>IF(INDEX( DATOS3!$1:$19996,A637,MATCH("Dose_RP_Total", DATOS3!$1:$1,0))=0,0,INDEX( DATOS3!$1:$19996,A637,MATCH("Dose_RP", DATOS3!$1:$1,0)))</f>
        <v>#N/A</v>
      </c>
      <c r="K637" t="e">
        <f>IF(INDEX( DATOS3!$1:$19996,A637,MATCH("Total_Fluoro_Time", DATOS3!$1:$1,0))=0,0,INDEX( DATOS3!$1:$19996,A637,MATCH("Total_Fluoro_Time", DATOS3!$1:$1,0)))</f>
        <v>#N/A</v>
      </c>
    </row>
    <row r="638" spans="1:11" hidden="1" x14ac:dyDescent="0.25">
      <c r="A638">
        <v>638</v>
      </c>
      <c r="B638" t="e">
        <f t="shared" si="18"/>
        <v>#N/A</v>
      </c>
      <c r="C638" t="e">
        <f t="shared" si="19"/>
        <v>#N/A</v>
      </c>
      <c r="D638" t="e">
        <f>IF(INDEX( DATOS3!$1:$19996,A638,MATCH("PatientID", DATOS3!$1:$1,0))=0,"",INDEX( DATOS3!$1:$19996,A638,MATCH("PatientID", DATOS3!$1:$1,0)))</f>
        <v>#N/A</v>
      </c>
      <c r="F638" t="e">
        <f>IF(INDEX( DATOS3!$1:$19996,A638,MATCH("SeriesDate", DATOS3!$1:$1,0))=0,"",INDEX( DATOS3!$1:$19996,A638,MATCH("SeriesDate", DATOS3!$1:$1,0)))</f>
        <v>#N/A</v>
      </c>
      <c r="G638" t="e">
        <f>IF(INDEX( DATOS3!$1:$19996,A638,MATCH("SeriesTime", DATOS3!$1:$1,0))=0,"",INDEX( DATOS3!$1:$19996,A638,MATCH("SeriesTime", DATOS3!$1:$1,0)))</f>
        <v>#N/A</v>
      </c>
      <c r="H638" t="e">
        <f>IF(INDEX( DATOS3!$1:$19996,A638,MATCH("StudyDescription", DATOS3!$1:$1,0))=0,"",INDEX( DATOS3!$1:$19996,A638,MATCH("StudyDescription", DATOS3!$1:$1,0)))</f>
        <v>#N/A</v>
      </c>
      <c r="I638" t="e">
        <f>IF(INDEX( DATOS3!$1:$19996,A638,MATCH("Dose_Area_Product_Total", DATOS3!$1:$1,0))=0,0,INDEX( DATOS3!$1:$19996,A638,MATCH("Dose_Area_Product", DATOS3!$1:$1,0)))</f>
        <v>#N/A</v>
      </c>
      <c r="J638" t="e">
        <f>IF(INDEX( DATOS3!$1:$19996,A638,MATCH("Dose_RP_Total", DATOS3!$1:$1,0))=0,0,INDEX( DATOS3!$1:$19996,A638,MATCH("Dose_RP", DATOS3!$1:$1,0)))</f>
        <v>#N/A</v>
      </c>
      <c r="K638" t="e">
        <f>IF(INDEX( DATOS3!$1:$19996,A638,MATCH("Total_Fluoro_Time", DATOS3!$1:$1,0))=0,0,INDEX( DATOS3!$1:$19996,A638,MATCH("Total_Fluoro_Time", DATOS3!$1:$1,0)))</f>
        <v>#N/A</v>
      </c>
    </row>
    <row r="639" spans="1:11" hidden="1" x14ac:dyDescent="0.25">
      <c r="A639">
        <v>639</v>
      </c>
      <c r="B639" t="e">
        <f t="shared" si="18"/>
        <v>#N/A</v>
      </c>
      <c r="C639" t="e">
        <f t="shared" si="19"/>
        <v>#N/A</v>
      </c>
      <c r="D639" t="e">
        <f>IF(INDEX( DATOS3!$1:$19996,A639,MATCH("PatientID", DATOS3!$1:$1,0))=0,"",INDEX( DATOS3!$1:$19996,A639,MATCH("PatientID", DATOS3!$1:$1,0)))</f>
        <v>#N/A</v>
      </c>
      <c r="F639" t="e">
        <f>IF(INDEX( DATOS3!$1:$19996,A639,MATCH("SeriesDate", DATOS3!$1:$1,0))=0,"",INDEX( DATOS3!$1:$19996,A639,MATCH("SeriesDate", DATOS3!$1:$1,0)))</f>
        <v>#N/A</v>
      </c>
      <c r="G639" t="e">
        <f>IF(INDEX( DATOS3!$1:$19996,A639,MATCH("SeriesTime", DATOS3!$1:$1,0))=0,"",INDEX( DATOS3!$1:$19996,A639,MATCH("SeriesTime", DATOS3!$1:$1,0)))</f>
        <v>#N/A</v>
      </c>
      <c r="H639" t="e">
        <f>IF(INDEX( DATOS3!$1:$19996,A639,MATCH("StudyDescription", DATOS3!$1:$1,0))=0,"",INDEX( DATOS3!$1:$19996,A639,MATCH("StudyDescription", DATOS3!$1:$1,0)))</f>
        <v>#N/A</v>
      </c>
      <c r="I639" t="e">
        <f>IF(INDEX( DATOS3!$1:$19996,A639,MATCH("Dose_Area_Product_Total", DATOS3!$1:$1,0))=0,0,INDEX( DATOS3!$1:$19996,A639,MATCH("Dose_Area_Product", DATOS3!$1:$1,0)))</f>
        <v>#N/A</v>
      </c>
      <c r="J639" t="e">
        <f>IF(INDEX( DATOS3!$1:$19996,A639,MATCH("Dose_RP_Total", DATOS3!$1:$1,0))=0,0,INDEX( DATOS3!$1:$19996,A639,MATCH("Dose_RP", DATOS3!$1:$1,0)))</f>
        <v>#N/A</v>
      </c>
      <c r="K639" t="e">
        <f>IF(INDEX( DATOS3!$1:$19996,A639,MATCH("Total_Fluoro_Time", DATOS3!$1:$1,0))=0,0,INDEX( DATOS3!$1:$19996,A639,MATCH("Total_Fluoro_Time", DATOS3!$1:$1,0)))</f>
        <v>#N/A</v>
      </c>
    </row>
    <row r="640" spans="1:11" hidden="1" x14ac:dyDescent="0.25">
      <c r="A640">
        <v>640</v>
      </c>
      <c r="B640" t="e">
        <f t="shared" si="18"/>
        <v>#N/A</v>
      </c>
      <c r="C640" t="e">
        <f t="shared" si="19"/>
        <v>#N/A</v>
      </c>
      <c r="D640" t="e">
        <f>IF(INDEX( DATOS3!$1:$19996,A640,MATCH("PatientID", DATOS3!$1:$1,0))=0,"",INDEX( DATOS3!$1:$19996,A640,MATCH("PatientID", DATOS3!$1:$1,0)))</f>
        <v>#N/A</v>
      </c>
      <c r="F640" t="e">
        <f>IF(INDEX( DATOS3!$1:$19996,A640,MATCH("SeriesDate", DATOS3!$1:$1,0))=0,"",INDEX( DATOS3!$1:$19996,A640,MATCH("SeriesDate", DATOS3!$1:$1,0)))</f>
        <v>#N/A</v>
      </c>
      <c r="G640" t="e">
        <f>IF(INDEX( DATOS3!$1:$19996,A640,MATCH("SeriesTime", DATOS3!$1:$1,0))=0,"",INDEX( DATOS3!$1:$19996,A640,MATCH("SeriesTime", DATOS3!$1:$1,0)))</f>
        <v>#N/A</v>
      </c>
      <c r="H640" t="e">
        <f>IF(INDEX( DATOS3!$1:$19996,A640,MATCH("StudyDescription", DATOS3!$1:$1,0))=0,"",INDEX( DATOS3!$1:$19996,A640,MATCH("StudyDescription", DATOS3!$1:$1,0)))</f>
        <v>#N/A</v>
      </c>
      <c r="I640" t="e">
        <f>IF(INDEX( DATOS3!$1:$19996,A640,MATCH("Dose_Area_Product_Total", DATOS3!$1:$1,0))=0,0,INDEX( DATOS3!$1:$19996,A640,MATCH("Dose_Area_Product", DATOS3!$1:$1,0)))</f>
        <v>#N/A</v>
      </c>
      <c r="J640" t="e">
        <f>IF(INDEX( DATOS3!$1:$19996,A640,MATCH("Dose_RP_Total", DATOS3!$1:$1,0))=0,0,INDEX( DATOS3!$1:$19996,A640,MATCH("Dose_RP", DATOS3!$1:$1,0)))</f>
        <v>#N/A</v>
      </c>
      <c r="K640" t="e">
        <f>IF(INDEX( DATOS3!$1:$19996,A640,MATCH("Total_Fluoro_Time", DATOS3!$1:$1,0))=0,0,INDEX( DATOS3!$1:$19996,A640,MATCH("Total_Fluoro_Time", DATOS3!$1:$1,0)))</f>
        <v>#N/A</v>
      </c>
    </row>
    <row r="641" spans="1:3" hidden="1" x14ac:dyDescent="0.25">
      <c r="A641">
        <v>641</v>
      </c>
      <c r="C641" t="str">
        <f t="shared" si="19"/>
        <v/>
      </c>
    </row>
    <row r="642" spans="1:3" hidden="1" x14ac:dyDescent="0.25">
      <c r="A642">
        <v>642</v>
      </c>
      <c r="C642" t="str">
        <f t="shared" si="19"/>
        <v/>
      </c>
    </row>
    <row r="643" spans="1:3" hidden="1" x14ac:dyDescent="0.25">
      <c r="A643">
        <v>643</v>
      </c>
      <c r="C643" t="str">
        <f t="shared" ref="C643:C706" si="20">IF(B643="ARTISZEE","Cardiología","")</f>
        <v/>
      </c>
    </row>
    <row r="644" spans="1:3" hidden="1" x14ac:dyDescent="0.25">
      <c r="A644">
        <v>644</v>
      </c>
      <c r="C644" t="str">
        <f t="shared" si="20"/>
        <v/>
      </c>
    </row>
    <row r="645" spans="1:3" hidden="1" x14ac:dyDescent="0.25">
      <c r="A645">
        <v>645</v>
      </c>
      <c r="C645" t="str">
        <f t="shared" si="20"/>
        <v/>
      </c>
    </row>
    <row r="646" spans="1:3" hidden="1" x14ac:dyDescent="0.25">
      <c r="A646">
        <v>646</v>
      </c>
      <c r="C646" t="str">
        <f t="shared" si="20"/>
        <v/>
      </c>
    </row>
    <row r="647" spans="1:3" hidden="1" x14ac:dyDescent="0.25">
      <c r="A647">
        <v>647</v>
      </c>
      <c r="C647" t="str">
        <f t="shared" si="20"/>
        <v/>
      </c>
    </row>
    <row r="648" spans="1:3" hidden="1" x14ac:dyDescent="0.25">
      <c r="A648">
        <v>648</v>
      </c>
      <c r="C648" t="str">
        <f t="shared" si="20"/>
        <v/>
      </c>
    </row>
    <row r="649" spans="1:3" hidden="1" x14ac:dyDescent="0.25">
      <c r="A649">
        <v>649</v>
      </c>
      <c r="C649" t="str">
        <f t="shared" si="20"/>
        <v/>
      </c>
    </row>
    <row r="650" spans="1:3" hidden="1" x14ac:dyDescent="0.25">
      <c r="A650">
        <v>650</v>
      </c>
      <c r="C650" t="str">
        <f t="shared" si="20"/>
        <v/>
      </c>
    </row>
    <row r="651" spans="1:3" hidden="1" x14ac:dyDescent="0.25">
      <c r="A651">
        <v>651</v>
      </c>
      <c r="C651" t="str">
        <f t="shared" si="20"/>
        <v/>
      </c>
    </row>
    <row r="652" spans="1:3" hidden="1" x14ac:dyDescent="0.25">
      <c r="A652">
        <v>652</v>
      </c>
      <c r="C652" t="str">
        <f t="shared" si="20"/>
        <v/>
      </c>
    </row>
    <row r="653" spans="1:3" hidden="1" x14ac:dyDescent="0.25">
      <c r="A653">
        <v>653</v>
      </c>
      <c r="C653" t="str">
        <f t="shared" si="20"/>
        <v/>
      </c>
    </row>
    <row r="654" spans="1:3" hidden="1" x14ac:dyDescent="0.25">
      <c r="A654">
        <v>654</v>
      </c>
      <c r="C654" t="str">
        <f t="shared" si="20"/>
        <v/>
      </c>
    </row>
    <row r="655" spans="1:3" hidden="1" x14ac:dyDescent="0.25">
      <c r="A655">
        <v>655</v>
      </c>
      <c r="C655" t="str">
        <f t="shared" si="20"/>
        <v/>
      </c>
    </row>
    <row r="656" spans="1:3" hidden="1" x14ac:dyDescent="0.25">
      <c r="A656">
        <v>656</v>
      </c>
      <c r="C656" t="str">
        <f t="shared" si="20"/>
        <v/>
      </c>
    </row>
    <row r="657" spans="1:3" hidden="1" x14ac:dyDescent="0.25">
      <c r="A657">
        <v>657</v>
      </c>
      <c r="C657" t="str">
        <f t="shared" si="20"/>
        <v/>
      </c>
    </row>
    <row r="658" spans="1:3" hidden="1" x14ac:dyDescent="0.25">
      <c r="A658">
        <v>658</v>
      </c>
      <c r="C658" t="str">
        <f t="shared" si="20"/>
        <v/>
      </c>
    </row>
    <row r="659" spans="1:3" hidden="1" x14ac:dyDescent="0.25">
      <c r="A659">
        <v>659</v>
      </c>
      <c r="C659" t="str">
        <f t="shared" si="20"/>
        <v/>
      </c>
    </row>
    <row r="660" spans="1:3" hidden="1" x14ac:dyDescent="0.25">
      <c r="A660">
        <v>660</v>
      </c>
      <c r="C660" t="str">
        <f t="shared" si="20"/>
        <v/>
      </c>
    </row>
    <row r="661" spans="1:3" hidden="1" x14ac:dyDescent="0.25">
      <c r="A661">
        <v>661</v>
      </c>
      <c r="C661" t="str">
        <f t="shared" si="20"/>
        <v/>
      </c>
    </row>
    <row r="662" spans="1:3" hidden="1" x14ac:dyDescent="0.25">
      <c r="A662">
        <v>662</v>
      </c>
      <c r="C662" t="str">
        <f t="shared" si="20"/>
        <v/>
      </c>
    </row>
    <row r="663" spans="1:3" hidden="1" x14ac:dyDescent="0.25">
      <c r="A663">
        <v>663</v>
      </c>
      <c r="C663" t="str">
        <f t="shared" si="20"/>
        <v/>
      </c>
    </row>
    <row r="664" spans="1:3" hidden="1" x14ac:dyDescent="0.25">
      <c r="A664">
        <v>664</v>
      </c>
      <c r="C664" t="str">
        <f t="shared" si="20"/>
        <v/>
      </c>
    </row>
    <row r="665" spans="1:3" hidden="1" x14ac:dyDescent="0.25">
      <c r="A665">
        <v>665</v>
      </c>
      <c r="C665" t="str">
        <f t="shared" si="20"/>
        <v/>
      </c>
    </row>
    <row r="666" spans="1:3" hidden="1" x14ac:dyDescent="0.25">
      <c r="A666">
        <v>666</v>
      </c>
      <c r="C666" t="str">
        <f t="shared" si="20"/>
        <v/>
      </c>
    </row>
    <row r="667" spans="1:3" hidden="1" x14ac:dyDescent="0.25">
      <c r="A667">
        <v>667</v>
      </c>
      <c r="C667" t="str">
        <f t="shared" si="20"/>
        <v/>
      </c>
    </row>
    <row r="668" spans="1:3" hidden="1" x14ac:dyDescent="0.25">
      <c r="A668">
        <v>668</v>
      </c>
      <c r="C668" t="str">
        <f t="shared" si="20"/>
        <v/>
      </c>
    </row>
    <row r="669" spans="1:3" hidden="1" x14ac:dyDescent="0.25">
      <c r="A669">
        <v>669</v>
      </c>
      <c r="C669" t="str">
        <f t="shared" si="20"/>
        <v/>
      </c>
    </row>
    <row r="670" spans="1:3" hidden="1" x14ac:dyDescent="0.25">
      <c r="A670">
        <v>670</v>
      </c>
      <c r="C670" t="str">
        <f t="shared" si="20"/>
        <v/>
      </c>
    </row>
    <row r="671" spans="1:3" hidden="1" x14ac:dyDescent="0.25">
      <c r="A671">
        <v>671</v>
      </c>
      <c r="C671" t="str">
        <f t="shared" si="20"/>
        <v/>
      </c>
    </row>
    <row r="672" spans="1:3" hidden="1" x14ac:dyDescent="0.25">
      <c r="A672">
        <v>672</v>
      </c>
      <c r="C672" t="str">
        <f t="shared" si="20"/>
        <v/>
      </c>
    </row>
    <row r="673" spans="1:3" hidden="1" x14ac:dyDescent="0.25">
      <c r="A673">
        <v>673</v>
      </c>
      <c r="C673" t="str">
        <f t="shared" si="20"/>
        <v/>
      </c>
    </row>
    <row r="674" spans="1:3" hidden="1" x14ac:dyDescent="0.25">
      <c r="A674">
        <v>674</v>
      </c>
      <c r="C674" t="str">
        <f t="shared" si="20"/>
        <v/>
      </c>
    </row>
    <row r="675" spans="1:3" hidden="1" x14ac:dyDescent="0.25">
      <c r="A675">
        <v>675</v>
      </c>
      <c r="C675" t="str">
        <f t="shared" si="20"/>
        <v/>
      </c>
    </row>
    <row r="676" spans="1:3" hidden="1" x14ac:dyDescent="0.25">
      <c r="A676">
        <v>676</v>
      </c>
      <c r="C676" t="str">
        <f t="shared" si="20"/>
        <v/>
      </c>
    </row>
    <row r="677" spans="1:3" hidden="1" x14ac:dyDescent="0.25">
      <c r="A677">
        <v>677</v>
      </c>
      <c r="C677" t="str">
        <f t="shared" si="20"/>
        <v/>
      </c>
    </row>
    <row r="678" spans="1:3" hidden="1" x14ac:dyDescent="0.25">
      <c r="A678">
        <v>678</v>
      </c>
      <c r="C678" t="str">
        <f t="shared" si="20"/>
        <v/>
      </c>
    </row>
    <row r="679" spans="1:3" hidden="1" x14ac:dyDescent="0.25">
      <c r="A679">
        <v>679</v>
      </c>
      <c r="C679" t="str">
        <f t="shared" si="20"/>
        <v/>
      </c>
    </row>
    <row r="680" spans="1:3" hidden="1" x14ac:dyDescent="0.25">
      <c r="A680">
        <v>680</v>
      </c>
      <c r="C680" t="str">
        <f t="shared" si="20"/>
        <v/>
      </c>
    </row>
    <row r="681" spans="1:3" hidden="1" x14ac:dyDescent="0.25">
      <c r="A681">
        <v>681</v>
      </c>
      <c r="C681" t="str">
        <f t="shared" si="20"/>
        <v/>
      </c>
    </row>
    <row r="682" spans="1:3" hidden="1" x14ac:dyDescent="0.25">
      <c r="A682">
        <v>682</v>
      </c>
      <c r="C682" t="str">
        <f t="shared" si="20"/>
        <v/>
      </c>
    </row>
    <row r="683" spans="1:3" hidden="1" x14ac:dyDescent="0.25">
      <c r="A683">
        <v>683</v>
      </c>
      <c r="C683" t="str">
        <f t="shared" si="20"/>
        <v/>
      </c>
    </row>
    <row r="684" spans="1:3" hidden="1" x14ac:dyDescent="0.25">
      <c r="A684">
        <v>684</v>
      </c>
      <c r="C684" t="str">
        <f t="shared" si="20"/>
        <v/>
      </c>
    </row>
    <row r="685" spans="1:3" hidden="1" x14ac:dyDescent="0.25">
      <c r="A685">
        <v>685</v>
      </c>
      <c r="C685" t="str">
        <f t="shared" si="20"/>
        <v/>
      </c>
    </row>
    <row r="686" spans="1:3" hidden="1" x14ac:dyDescent="0.25">
      <c r="A686">
        <v>686</v>
      </c>
      <c r="C686" t="str">
        <f t="shared" si="20"/>
        <v/>
      </c>
    </row>
    <row r="687" spans="1:3" hidden="1" x14ac:dyDescent="0.25">
      <c r="A687">
        <v>687</v>
      </c>
      <c r="C687" t="str">
        <f t="shared" si="20"/>
        <v/>
      </c>
    </row>
    <row r="688" spans="1:3" hidden="1" x14ac:dyDescent="0.25">
      <c r="A688">
        <v>688</v>
      </c>
      <c r="C688" t="str">
        <f t="shared" si="20"/>
        <v/>
      </c>
    </row>
    <row r="689" spans="1:3" hidden="1" x14ac:dyDescent="0.25">
      <c r="A689">
        <v>689</v>
      </c>
      <c r="C689" t="str">
        <f t="shared" si="20"/>
        <v/>
      </c>
    </row>
    <row r="690" spans="1:3" hidden="1" x14ac:dyDescent="0.25">
      <c r="A690">
        <v>690</v>
      </c>
      <c r="C690" t="str">
        <f t="shared" si="20"/>
        <v/>
      </c>
    </row>
    <row r="691" spans="1:3" hidden="1" x14ac:dyDescent="0.25">
      <c r="A691">
        <v>691</v>
      </c>
      <c r="C691" t="str">
        <f t="shared" si="20"/>
        <v/>
      </c>
    </row>
    <row r="692" spans="1:3" hidden="1" x14ac:dyDescent="0.25">
      <c r="A692">
        <v>692</v>
      </c>
      <c r="C692" t="str">
        <f t="shared" si="20"/>
        <v/>
      </c>
    </row>
    <row r="693" spans="1:3" hidden="1" x14ac:dyDescent="0.25">
      <c r="A693">
        <v>693</v>
      </c>
      <c r="C693" t="str">
        <f t="shared" si="20"/>
        <v/>
      </c>
    </row>
    <row r="694" spans="1:3" hidden="1" x14ac:dyDescent="0.25">
      <c r="A694">
        <v>694</v>
      </c>
      <c r="C694" t="str">
        <f t="shared" si="20"/>
        <v/>
      </c>
    </row>
    <row r="695" spans="1:3" hidden="1" x14ac:dyDescent="0.25">
      <c r="A695">
        <v>695</v>
      </c>
      <c r="C695" t="str">
        <f t="shared" si="20"/>
        <v/>
      </c>
    </row>
    <row r="696" spans="1:3" hidden="1" x14ac:dyDescent="0.25">
      <c r="A696">
        <v>696</v>
      </c>
      <c r="C696" t="str">
        <f t="shared" si="20"/>
        <v/>
      </c>
    </row>
    <row r="697" spans="1:3" hidden="1" x14ac:dyDescent="0.25">
      <c r="A697">
        <v>697</v>
      </c>
      <c r="C697" t="str">
        <f t="shared" si="20"/>
        <v/>
      </c>
    </row>
    <row r="698" spans="1:3" hidden="1" x14ac:dyDescent="0.25">
      <c r="A698">
        <v>698</v>
      </c>
      <c r="C698" t="str">
        <f t="shared" si="20"/>
        <v/>
      </c>
    </row>
    <row r="699" spans="1:3" hidden="1" x14ac:dyDescent="0.25">
      <c r="A699">
        <v>699</v>
      </c>
      <c r="C699" t="str">
        <f t="shared" si="20"/>
        <v/>
      </c>
    </row>
    <row r="700" spans="1:3" hidden="1" x14ac:dyDescent="0.25">
      <c r="A700">
        <v>700</v>
      </c>
      <c r="C700" t="str">
        <f t="shared" si="20"/>
        <v/>
      </c>
    </row>
    <row r="701" spans="1:3" hidden="1" x14ac:dyDescent="0.25">
      <c r="A701">
        <v>701</v>
      </c>
      <c r="C701" t="str">
        <f t="shared" si="20"/>
        <v/>
      </c>
    </row>
    <row r="702" spans="1:3" hidden="1" x14ac:dyDescent="0.25">
      <c r="A702">
        <v>702</v>
      </c>
      <c r="C702" t="str">
        <f t="shared" si="20"/>
        <v/>
      </c>
    </row>
    <row r="703" spans="1:3" hidden="1" x14ac:dyDescent="0.25">
      <c r="A703">
        <v>703</v>
      </c>
      <c r="C703" t="str">
        <f t="shared" si="20"/>
        <v/>
      </c>
    </row>
    <row r="704" spans="1:3" hidden="1" x14ac:dyDescent="0.25">
      <c r="A704">
        <v>704</v>
      </c>
      <c r="C704" t="str">
        <f t="shared" si="20"/>
        <v/>
      </c>
    </row>
    <row r="705" spans="1:3" hidden="1" x14ac:dyDescent="0.25">
      <c r="A705">
        <v>705</v>
      </c>
      <c r="C705" t="str">
        <f t="shared" si="20"/>
        <v/>
      </c>
    </row>
    <row r="706" spans="1:3" hidden="1" x14ac:dyDescent="0.25">
      <c r="A706">
        <v>706</v>
      </c>
      <c r="C706" t="str">
        <f t="shared" si="20"/>
        <v/>
      </c>
    </row>
    <row r="707" spans="1:3" hidden="1" x14ac:dyDescent="0.25">
      <c r="A707">
        <v>707</v>
      </c>
      <c r="C707" t="str">
        <f t="shared" ref="C707:C770" si="21">IF(B707="ARTISZEE","Cardiología","")</f>
        <v/>
      </c>
    </row>
    <row r="708" spans="1:3" hidden="1" x14ac:dyDescent="0.25">
      <c r="A708">
        <v>708</v>
      </c>
      <c r="C708" t="str">
        <f t="shared" si="21"/>
        <v/>
      </c>
    </row>
    <row r="709" spans="1:3" hidden="1" x14ac:dyDescent="0.25">
      <c r="A709">
        <v>709</v>
      </c>
      <c r="C709" t="str">
        <f t="shared" si="21"/>
        <v/>
      </c>
    </row>
    <row r="710" spans="1:3" hidden="1" x14ac:dyDescent="0.25">
      <c r="A710">
        <v>710</v>
      </c>
      <c r="C710" t="str">
        <f t="shared" si="21"/>
        <v/>
      </c>
    </row>
    <row r="711" spans="1:3" hidden="1" x14ac:dyDescent="0.25">
      <c r="A711">
        <v>711</v>
      </c>
      <c r="C711" t="str">
        <f t="shared" si="21"/>
        <v/>
      </c>
    </row>
    <row r="712" spans="1:3" hidden="1" x14ac:dyDescent="0.25">
      <c r="A712">
        <v>712</v>
      </c>
      <c r="C712" t="str">
        <f t="shared" si="21"/>
        <v/>
      </c>
    </row>
    <row r="713" spans="1:3" hidden="1" x14ac:dyDescent="0.25">
      <c r="A713">
        <v>713</v>
      </c>
      <c r="C713" t="str">
        <f t="shared" si="21"/>
        <v/>
      </c>
    </row>
    <row r="714" spans="1:3" hidden="1" x14ac:dyDescent="0.25">
      <c r="A714">
        <v>714</v>
      </c>
      <c r="C714" t="str">
        <f t="shared" si="21"/>
        <v/>
      </c>
    </row>
    <row r="715" spans="1:3" hidden="1" x14ac:dyDescent="0.25">
      <c r="A715">
        <v>715</v>
      </c>
      <c r="C715" t="str">
        <f t="shared" si="21"/>
        <v/>
      </c>
    </row>
    <row r="716" spans="1:3" hidden="1" x14ac:dyDescent="0.25">
      <c r="A716">
        <v>716</v>
      </c>
      <c r="C716" t="str">
        <f t="shared" si="21"/>
        <v/>
      </c>
    </row>
    <row r="717" spans="1:3" hidden="1" x14ac:dyDescent="0.25">
      <c r="A717">
        <v>717</v>
      </c>
      <c r="C717" t="str">
        <f t="shared" si="21"/>
        <v/>
      </c>
    </row>
    <row r="718" spans="1:3" hidden="1" x14ac:dyDescent="0.25">
      <c r="A718">
        <v>718</v>
      </c>
      <c r="C718" t="str">
        <f t="shared" si="21"/>
        <v/>
      </c>
    </row>
    <row r="719" spans="1:3" hidden="1" x14ac:dyDescent="0.25">
      <c r="A719">
        <v>719</v>
      </c>
      <c r="C719" t="str">
        <f t="shared" si="21"/>
        <v/>
      </c>
    </row>
    <row r="720" spans="1:3" hidden="1" x14ac:dyDescent="0.25">
      <c r="A720">
        <v>720</v>
      </c>
      <c r="C720" t="str">
        <f t="shared" si="21"/>
        <v/>
      </c>
    </row>
    <row r="721" spans="1:3" hidden="1" x14ac:dyDescent="0.25">
      <c r="A721">
        <v>721</v>
      </c>
      <c r="C721" t="str">
        <f t="shared" si="21"/>
        <v/>
      </c>
    </row>
    <row r="722" spans="1:3" hidden="1" x14ac:dyDescent="0.25">
      <c r="A722">
        <v>722</v>
      </c>
      <c r="C722" t="str">
        <f t="shared" si="21"/>
        <v/>
      </c>
    </row>
    <row r="723" spans="1:3" hidden="1" x14ac:dyDescent="0.25">
      <c r="A723">
        <v>723</v>
      </c>
      <c r="C723" t="str">
        <f t="shared" si="21"/>
        <v/>
      </c>
    </row>
    <row r="724" spans="1:3" hidden="1" x14ac:dyDescent="0.25">
      <c r="A724">
        <v>724</v>
      </c>
      <c r="C724" t="str">
        <f t="shared" si="21"/>
        <v/>
      </c>
    </row>
    <row r="725" spans="1:3" hidden="1" x14ac:dyDescent="0.25">
      <c r="A725">
        <v>725</v>
      </c>
      <c r="C725" t="str">
        <f t="shared" si="21"/>
        <v/>
      </c>
    </row>
    <row r="726" spans="1:3" hidden="1" x14ac:dyDescent="0.25">
      <c r="A726">
        <v>726</v>
      </c>
      <c r="C726" t="str">
        <f t="shared" si="21"/>
        <v/>
      </c>
    </row>
    <row r="727" spans="1:3" hidden="1" x14ac:dyDescent="0.25">
      <c r="A727">
        <v>727</v>
      </c>
      <c r="C727" t="str">
        <f t="shared" si="21"/>
        <v/>
      </c>
    </row>
    <row r="728" spans="1:3" hidden="1" x14ac:dyDescent="0.25">
      <c r="A728">
        <v>728</v>
      </c>
      <c r="C728" t="str">
        <f t="shared" si="21"/>
        <v/>
      </c>
    </row>
    <row r="729" spans="1:3" hidden="1" x14ac:dyDescent="0.25">
      <c r="A729">
        <v>729</v>
      </c>
      <c r="C729" t="str">
        <f t="shared" si="21"/>
        <v/>
      </c>
    </row>
    <row r="730" spans="1:3" hidden="1" x14ac:dyDescent="0.25">
      <c r="A730">
        <v>730</v>
      </c>
      <c r="C730" t="str">
        <f t="shared" si="21"/>
        <v/>
      </c>
    </row>
    <row r="731" spans="1:3" hidden="1" x14ac:dyDescent="0.25">
      <c r="A731">
        <v>731</v>
      </c>
      <c r="C731" t="str">
        <f t="shared" si="21"/>
        <v/>
      </c>
    </row>
    <row r="732" spans="1:3" hidden="1" x14ac:dyDescent="0.25">
      <c r="A732">
        <v>732</v>
      </c>
      <c r="C732" t="str">
        <f t="shared" si="21"/>
        <v/>
      </c>
    </row>
    <row r="733" spans="1:3" hidden="1" x14ac:dyDescent="0.25">
      <c r="A733">
        <v>733</v>
      </c>
      <c r="C733" t="str">
        <f t="shared" si="21"/>
        <v/>
      </c>
    </row>
    <row r="734" spans="1:3" hidden="1" x14ac:dyDescent="0.25">
      <c r="A734">
        <v>734</v>
      </c>
      <c r="C734" t="str">
        <f t="shared" si="21"/>
        <v/>
      </c>
    </row>
    <row r="735" spans="1:3" hidden="1" x14ac:dyDescent="0.25">
      <c r="A735">
        <v>735</v>
      </c>
      <c r="C735" t="str">
        <f t="shared" si="21"/>
        <v/>
      </c>
    </row>
    <row r="736" spans="1:3" hidden="1" x14ac:dyDescent="0.25">
      <c r="A736">
        <v>736</v>
      </c>
      <c r="C736" t="str">
        <f t="shared" si="21"/>
        <v/>
      </c>
    </row>
    <row r="737" spans="1:3" hidden="1" x14ac:dyDescent="0.25">
      <c r="A737">
        <v>737</v>
      </c>
      <c r="C737" t="str">
        <f t="shared" si="21"/>
        <v/>
      </c>
    </row>
    <row r="738" spans="1:3" hidden="1" x14ac:dyDescent="0.25">
      <c r="A738">
        <v>738</v>
      </c>
      <c r="C738" t="str">
        <f t="shared" si="21"/>
        <v/>
      </c>
    </row>
    <row r="739" spans="1:3" hidden="1" x14ac:dyDescent="0.25">
      <c r="A739">
        <v>739</v>
      </c>
      <c r="C739" t="str">
        <f t="shared" si="21"/>
        <v/>
      </c>
    </row>
    <row r="740" spans="1:3" hidden="1" x14ac:dyDescent="0.25">
      <c r="A740">
        <v>740</v>
      </c>
      <c r="C740" t="str">
        <f t="shared" si="21"/>
        <v/>
      </c>
    </row>
    <row r="741" spans="1:3" hidden="1" x14ac:dyDescent="0.25">
      <c r="A741">
        <v>741</v>
      </c>
      <c r="C741" t="str">
        <f t="shared" si="21"/>
        <v/>
      </c>
    </row>
    <row r="742" spans="1:3" hidden="1" x14ac:dyDescent="0.25">
      <c r="A742">
        <v>742</v>
      </c>
      <c r="C742" t="str">
        <f t="shared" si="21"/>
        <v/>
      </c>
    </row>
    <row r="743" spans="1:3" hidden="1" x14ac:dyDescent="0.25">
      <c r="A743">
        <v>743</v>
      </c>
      <c r="C743" t="str">
        <f t="shared" si="21"/>
        <v/>
      </c>
    </row>
    <row r="744" spans="1:3" hidden="1" x14ac:dyDescent="0.25">
      <c r="A744">
        <v>744</v>
      </c>
      <c r="C744" t="str">
        <f t="shared" si="21"/>
        <v/>
      </c>
    </row>
    <row r="745" spans="1:3" hidden="1" x14ac:dyDescent="0.25">
      <c r="A745">
        <v>745</v>
      </c>
      <c r="C745" t="str">
        <f t="shared" si="21"/>
        <v/>
      </c>
    </row>
    <row r="746" spans="1:3" hidden="1" x14ac:dyDescent="0.25">
      <c r="A746">
        <v>746</v>
      </c>
      <c r="C746" t="str">
        <f t="shared" si="21"/>
        <v/>
      </c>
    </row>
    <row r="747" spans="1:3" hidden="1" x14ac:dyDescent="0.25">
      <c r="A747">
        <v>747</v>
      </c>
      <c r="C747" t="str">
        <f t="shared" si="21"/>
        <v/>
      </c>
    </row>
    <row r="748" spans="1:3" hidden="1" x14ac:dyDescent="0.25">
      <c r="A748">
        <v>748</v>
      </c>
      <c r="C748" t="str">
        <f t="shared" si="21"/>
        <v/>
      </c>
    </row>
    <row r="749" spans="1:3" hidden="1" x14ac:dyDescent="0.25">
      <c r="A749">
        <v>749</v>
      </c>
      <c r="C749" t="str">
        <f t="shared" si="21"/>
        <v/>
      </c>
    </row>
    <row r="750" spans="1:3" hidden="1" x14ac:dyDescent="0.25">
      <c r="A750">
        <v>750</v>
      </c>
      <c r="C750" t="str">
        <f t="shared" si="21"/>
        <v/>
      </c>
    </row>
    <row r="751" spans="1:3" hidden="1" x14ac:dyDescent="0.25">
      <c r="A751">
        <v>751</v>
      </c>
      <c r="C751" t="str">
        <f t="shared" si="21"/>
        <v/>
      </c>
    </row>
    <row r="752" spans="1:3" hidden="1" x14ac:dyDescent="0.25">
      <c r="A752">
        <v>752</v>
      </c>
      <c r="C752" t="str">
        <f t="shared" si="21"/>
        <v/>
      </c>
    </row>
    <row r="753" spans="1:3" hidden="1" x14ac:dyDescent="0.25">
      <c r="A753">
        <v>753</v>
      </c>
      <c r="C753" t="str">
        <f t="shared" si="21"/>
        <v/>
      </c>
    </row>
    <row r="754" spans="1:3" hidden="1" x14ac:dyDescent="0.25">
      <c r="A754">
        <v>754</v>
      </c>
      <c r="C754" t="str">
        <f t="shared" si="21"/>
        <v/>
      </c>
    </row>
    <row r="755" spans="1:3" hidden="1" x14ac:dyDescent="0.25">
      <c r="A755">
        <v>755</v>
      </c>
      <c r="C755" t="str">
        <f t="shared" si="21"/>
        <v/>
      </c>
    </row>
    <row r="756" spans="1:3" hidden="1" x14ac:dyDescent="0.25">
      <c r="A756">
        <v>756</v>
      </c>
      <c r="C756" t="str">
        <f t="shared" si="21"/>
        <v/>
      </c>
    </row>
    <row r="757" spans="1:3" hidden="1" x14ac:dyDescent="0.25">
      <c r="A757">
        <v>757</v>
      </c>
      <c r="C757" t="str">
        <f t="shared" si="21"/>
        <v/>
      </c>
    </row>
    <row r="758" spans="1:3" hidden="1" x14ac:dyDescent="0.25">
      <c r="A758">
        <v>758</v>
      </c>
      <c r="C758" t="str">
        <f t="shared" si="21"/>
        <v/>
      </c>
    </row>
    <row r="759" spans="1:3" hidden="1" x14ac:dyDescent="0.25">
      <c r="A759">
        <v>759</v>
      </c>
      <c r="C759" t="str">
        <f t="shared" si="21"/>
        <v/>
      </c>
    </row>
    <row r="760" spans="1:3" hidden="1" x14ac:dyDescent="0.25">
      <c r="A760">
        <v>760</v>
      </c>
      <c r="C760" t="str">
        <f t="shared" si="21"/>
        <v/>
      </c>
    </row>
    <row r="761" spans="1:3" hidden="1" x14ac:dyDescent="0.25">
      <c r="A761">
        <v>761</v>
      </c>
      <c r="C761" t="str">
        <f t="shared" si="21"/>
        <v/>
      </c>
    </row>
    <row r="762" spans="1:3" hidden="1" x14ac:dyDescent="0.25">
      <c r="A762">
        <v>762</v>
      </c>
      <c r="C762" t="str">
        <f t="shared" si="21"/>
        <v/>
      </c>
    </row>
    <row r="763" spans="1:3" hidden="1" x14ac:dyDescent="0.25">
      <c r="A763">
        <v>763</v>
      </c>
      <c r="C763" t="str">
        <f t="shared" si="21"/>
        <v/>
      </c>
    </row>
    <row r="764" spans="1:3" hidden="1" x14ac:dyDescent="0.25">
      <c r="A764">
        <v>764</v>
      </c>
      <c r="C764" t="str">
        <f t="shared" si="21"/>
        <v/>
      </c>
    </row>
    <row r="765" spans="1:3" hidden="1" x14ac:dyDescent="0.25">
      <c r="A765">
        <v>765</v>
      </c>
      <c r="C765" t="str">
        <f t="shared" si="21"/>
        <v/>
      </c>
    </row>
    <row r="766" spans="1:3" hidden="1" x14ac:dyDescent="0.25">
      <c r="A766">
        <v>766</v>
      </c>
      <c r="C766" t="str">
        <f t="shared" si="21"/>
        <v/>
      </c>
    </row>
    <row r="767" spans="1:3" hidden="1" x14ac:dyDescent="0.25">
      <c r="A767">
        <v>767</v>
      </c>
      <c r="C767" t="str">
        <f t="shared" si="21"/>
        <v/>
      </c>
    </row>
    <row r="768" spans="1:3" hidden="1" x14ac:dyDescent="0.25">
      <c r="A768">
        <v>768</v>
      </c>
      <c r="C768" t="str">
        <f t="shared" si="21"/>
        <v/>
      </c>
    </row>
    <row r="769" spans="1:3" hidden="1" x14ac:dyDescent="0.25">
      <c r="A769">
        <v>769</v>
      </c>
      <c r="C769" t="str">
        <f t="shared" si="21"/>
        <v/>
      </c>
    </row>
    <row r="770" spans="1:3" hidden="1" x14ac:dyDescent="0.25">
      <c r="A770">
        <v>770</v>
      </c>
      <c r="C770" t="str">
        <f t="shared" si="21"/>
        <v/>
      </c>
    </row>
    <row r="771" spans="1:3" hidden="1" x14ac:dyDescent="0.25">
      <c r="A771">
        <v>771</v>
      </c>
      <c r="C771" t="str">
        <f t="shared" ref="C771:C834" si="22">IF(B771="ARTISZEE","Cardiología","")</f>
        <v/>
      </c>
    </row>
    <row r="772" spans="1:3" hidden="1" x14ac:dyDescent="0.25">
      <c r="A772">
        <v>772</v>
      </c>
      <c r="C772" t="str">
        <f t="shared" si="22"/>
        <v/>
      </c>
    </row>
    <row r="773" spans="1:3" hidden="1" x14ac:dyDescent="0.25">
      <c r="A773">
        <v>773</v>
      </c>
      <c r="C773" t="str">
        <f t="shared" si="22"/>
        <v/>
      </c>
    </row>
    <row r="774" spans="1:3" hidden="1" x14ac:dyDescent="0.25">
      <c r="A774">
        <v>774</v>
      </c>
      <c r="C774" t="str">
        <f t="shared" si="22"/>
        <v/>
      </c>
    </row>
    <row r="775" spans="1:3" hidden="1" x14ac:dyDescent="0.25">
      <c r="A775">
        <v>775</v>
      </c>
      <c r="C775" t="str">
        <f t="shared" si="22"/>
        <v/>
      </c>
    </row>
    <row r="776" spans="1:3" hidden="1" x14ac:dyDescent="0.25">
      <c r="A776">
        <v>776</v>
      </c>
      <c r="C776" t="str">
        <f t="shared" si="22"/>
        <v/>
      </c>
    </row>
    <row r="777" spans="1:3" hidden="1" x14ac:dyDescent="0.25">
      <c r="A777">
        <v>777</v>
      </c>
      <c r="C777" t="str">
        <f t="shared" si="22"/>
        <v/>
      </c>
    </row>
    <row r="778" spans="1:3" hidden="1" x14ac:dyDescent="0.25">
      <c r="A778">
        <v>778</v>
      </c>
      <c r="C778" t="str">
        <f t="shared" si="22"/>
        <v/>
      </c>
    </row>
    <row r="779" spans="1:3" hidden="1" x14ac:dyDescent="0.25">
      <c r="A779">
        <v>779</v>
      </c>
      <c r="C779" t="str">
        <f t="shared" si="22"/>
        <v/>
      </c>
    </row>
    <row r="780" spans="1:3" hidden="1" x14ac:dyDescent="0.25">
      <c r="A780">
        <v>780</v>
      </c>
      <c r="C780" t="str">
        <f t="shared" si="22"/>
        <v/>
      </c>
    </row>
    <row r="781" spans="1:3" hidden="1" x14ac:dyDescent="0.25">
      <c r="A781">
        <v>781</v>
      </c>
      <c r="C781" t="str">
        <f t="shared" si="22"/>
        <v/>
      </c>
    </row>
    <row r="782" spans="1:3" hidden="1" x14ac:dyDescent="0.25">
      <c r="A782">
        <v>782</v>
      </c>
      <c r="C782" t="str">
        <f t="shared" si="22"/>
        <v/>
      </c>
    </row>
    <row r="783" spans="1:3" hidden="1" x14ac:dyDescent="0.25">
      <c r="A783">
        <v>783</v>
      </c>
      <c r="C783" t="str">
        <f t="shared" si="22"/>
        <v/>
      </c>
    </row>
    <row r="784" spans="1:3" hidden="1" x14ac:dyDescent="0.25">
      <c r="A784">
        <v>784</v>
      </c>
      <c r="C784" t="str">
        <f t="shared" si="22"/>
        <v/>
      </c>
    </row>
    <row r="785" spans="1:3" hidden="1" x14ac:dyDescent="0.25">
      <c r="A785">
        <v>785</v>
      </c>
      <c r="C785" t="str">
        <f t="shared" si="22"/>
        <v/>
      </c>
    </row>
    <row r="786" spans="1:3" hidden="1" x14ac:dyDescent="0.25">
      <c r="A786">
        <v>786</v>
      </c>
      <c r="C786" t="str">
        <f t="shared" si="22"/>
        <v/>
      </c>
    </row>
    <row r="787" spans="1:3" hidden="1" x14ac:dyDescent="0.25">
      <c r="A787">
        <v>787</v>
      </c>
      <c r="C787" t="str">
        <f t="shared" si="22"/>
        <v/>
      </c>
    </row>
    <row r="788" spans="1:3" hidden="1" x14ac:dyDescent="0.25">
      <c r="A788">
        <v>788</v>
      </c>
      <c r="C788" t="str">
        <f t="shared" si="22"/>
        <v/>
      </c>
    </row>
    <row r="789" spans="1:3" hidden="1" x14ac:dyDescent="0.25">
      <c r="A789">
        <v>789</v>
      </c>
      <c r="C789" t="str">
        <f t="shared" si="22"/>
        <v/>
      </c>
    </row>
    <row r="790" spans="1:3" hidden="1" x14ac:dyDescent="0.25">
      <c r="A790">
        <v>790</v>
      </c>
      <c r="C790" t="str">
        <f t="shared" si="22"/>
        <v/>
      </c>
    </row>
    <row r="791" spans="1:3" hidden="1" x14ac:dyDescent="0.25">
      <c r="A791">
        <v>791</v>
      </c>
      <c r="C791" t="str">
        <f t="shared" si="22"/>
        <v/>
      </c>
    </row>
    <row r="792" spans="1:3" hidden="1" x14ac:dyDescent="0.25">
      <c r="A792">
        <v>792</v>
      </c>
      <c r="C792" t="str">
        <f t="shared" si="22"/>
        <v/>
      </c>
    </row>
    <row r="793" spans="1:3" hidden="1" x14ac:dyDescent="0.25">
      <c r="A793">
        <v>793</v>
      </c>
      <c r="C793" t="str">
        <f t="shared" si="22"/>
        <v/>
      </c>
    </row>
    <row r="794" spans="1:3" hidden="1" x14ac:dyDescent="0.25">
      <c r="A794">
        <v>794</v>
      </c>
      <c r="C794" t="str">
        <f t="shared" si="22"/>
        <v/>
      </c>
    </row>
    <row r="795" spans="1:3" hidden="1" x14ac:dyDescent="0.25">
      <c r="A795">
        <v>795</v>
      </c>
      <c r="C795" t="str">
        <f t="shared" si="22"/>
        <v/>
      </c>
    </row>
    <row r="796" spans="1:3" hidden="1" x14ac:dyDescent="0.25">
      <c r="A796">
        <v>796</v>
      </c>
      <c r="C796" t="str">
        <f t="shared" si="22"/>
        <v/>
      </c>
    </row>
    <row r="797" spans="1:3" hidden="1" x14ac:dyDescent="0.25">
      <c r="A797">
        <v>797</v>
      </c>
      <c r="C797" t="str">
        <f t="shared" si="22"/>
        <v/>
      </c>
    </row>
    <row r="798" spans="1:3" hidden="1" x14ac:dyDescent="0.25">
      <c r="A798">
        <v>798</v>
      </c>
      <c r="C798" t="str">
        <f t="shared" si="22"/>
        <v/>
      </c>
    </row>
    <row r="799" spans="1:3" hidden="1" x14ac:dyDescent="0.25">
      <c r="A799">
        <v>799</v>
      </c>
      <c r="C799" t="str">
        <f t="shared" si="22"/>
        <v/>
      </c>
    </row>
    <row r="800" spans="1:3" hidden="1" x14ac:dyDescent="0.25">
      <c r="A800">
        <v>800</v>
      </c>
      <c r="C800" t="str">
        <f t="shared" si="22"/>
        <v/>
      </c>
    </row>
    <row r="801" spans="1:3" hidden="1" x14ac:dyDescent="0.25">
      <c r="A801">
        <v>801</v>
      </c>
      <c r="C801" t="str">
        <f t="shared" si="22"/>
        <v/>
      </c>
    </row>
    <row r="802" spans="1:3" hidden="1" x14ac:dyDescent="0.25">
      <c r="A802">
        <v>802</v>
      </c>
      <c r="C802" t="str">
        <f t="shared" si="22"/>
        <v/>
      </c>
    </row>
    <row r="803" spans="1:3" hidden="1" x14ac:dyDescent="0.25">
      <c r="A803">
        <v>803</v>
      </c>
      <c r="C803" t="str">
        <f t="shared" si="22"/>
        <v/>
      </c>
    </row>
    <row r="804" spans="1:3" hidden="1" x14ac:dyDescent="0.25">
      <c r="A804">
        <v>804</v>
      </c>
      <c r="C804" t="str">
        <f t="shared" si="22"/>
        <v/>
      </c>
    </row>
    <row r="805" spans="1:3" hidden="1" x14ac:dyDescent="0.25">
      <c r="A805">
        <v>805</v>
      </c>
      <c r="C805" t="str">
        <f t="shared" si="22"/>
        <v/>
      </c>
    </row>
    <row r="806" spans="1:3" hidden="1" x14ac:dyDescent="0.25">
      <c r="A806">
        <v>806</v>
      </c>
      <c r="C806" t="str">
        <f t="shared" si="22"/>
        <v/>
      </c>
    </row>
    <row r="807" spans="1:3" hidden="1" x14ac:dyDescent="0.25">
      <c r="A807">
        <v>807</v>
      </c>
      <c r="C807" t="str">
        <f t="shared" si="22"/>
        <v/>
      </c>
    </row>
    <row r="808" spans="1:3" hidden="1" x14ac:dyDescent="0.25">
      <c r="A808">
        <v>808</v>
      </c>
      <c r="C808" t="str">
        <f t="shared" si="22"/>
        <v/>
      </c>
    </row>
    <row r="809" spans="1:3" hidden="1" x14ac:dyDescent="0.25">
      <c r="A809">
        <v>809</v>
      </c>
      <c r="C809" t="str">
        <f t="shared" si="22"/>
        <v/>
      </c>
    </row>
    <row r="810" spans="1:3" hidden="1" x14ac:dyDescent="0.25">
      <c r="A810">
        <v>810</v>
      </c>
      <c r="C810" t="str">
        <f t="shared" si="22"/>
        <v/>
      </c>
    </row>
    <row r="811" spans="1:3" hidden="1" x14ac:dyDescent="0.25">
      <c r="A811">
        <v>811</v>
      </c>
      <c r="C811" t="str">
        <f t="shared" si="22"/>
        <v/>
      </c>
    </row>
    <row r="812" spans="1:3" hidden="1" x14ac:dyDescent="0.25">
      <c r="A812">
        <v>812</v>
      </c>
      <c r="C812" t="str">
        <f t="shared" si="22"/>
        <v/>
      </c>
    </row>
    <row r="813" spans="1:3" hidden="1" x14ac:dyDescent="0.25">
      <c r="A813">
        <v>813</v>
      </c>
      <c r="C813" t="str">
        <f t="shared" si="22"/>
        <v/>
      </c>
    </row>
    <row r="814" spans="1:3" hidden="1" x14ac:dyDescent="0.25">
      <c r="A814">
        <v>814</v>
      </c>
      <c r="C814" t="str">
        <f t="shared" si="22"/>
        <v/>
      </c>
    </row>
    <row r="815" spans="1:3" hidden="1" x14ac:dyDescent="0.25">
      <c r="A815">
        <v>815</v>
      </c>
      <c r="C815" t="str">
        <f t="shared" si="22"/>
        <v/>
      </c>
    </row>
    <row r="816" spans="1:3" hidden="1" x14ac:dyDescent="0.25">
      <c r="A816">
        <v>816</v>
      </c>
      <c r="C816" t="str">
        <f t="shared" si="22"/>
        <v/>
      </c>
    </row>
    <row r="817" spans="1:3" hidden="1" x14ac:dyDescent="0.25">
      <c r="A817">
        <v>817</v>
      </c>
      <c r="C817" t="str">
        <f t="shared" si="22"/>
        <v/>
      </c>
    </row>
    <row r="818" spans="1:3" hidden="1" x14ac:dyDescent="0.25">
      <c r="A818">
        <v>818</v>
      </c>
      <c r="C818" t="str">
        <f t="shared" si="22"/>
        <v/>
      </c>
    </row>
    <row r="819" spans="1:3" hidden="1" x14ac:dyDescent="0.25">
      <c r="A819">
        <v>819</v>
      </c>
      <c r="C819" t="str">
        <f t="shared" si="22"/>
        <v/>
      </c>
    </row>
    <row r="820" spans="1:3" hidden="1" x14ac:dyDescent="0.25">
      <c r="A820">
        <v>820</v>
      </c>
      <c r="C820" t="str">
        <f t="shared" si="22"/>
        <v/>
      </c>
    </row>
    <row r="821" spans="1:3" hidden="1" x14ac:dyDescent="0.25">
      <c r="A821">
        <v>821</v>
      </c>
      <c r="C821" t="str">
        <f t="shared" si="22"/>
        <v/>
      </c>
    </row>
    <row r="822" spans="1:3" hidden="1" x14ac:dyDescent="0.25">
      <c r="A822">
        <v>822</v>
      </c>
      <c r="C822" t="str">
        <f t="shared" si="22"/>
        <v/>
      </c>
    </row>
    <row r="823" spans="1:3" hidden="1" x14ac:dyDescent="0.25">
      <c r="A823">
        <v>823</v>
      </c>
      <c r="C823" t="str">
        <f t="shared" si="22"/>
        <v/>
      </c>
    </row>
    <row r="824" spans="1:3" hidden="1" x14ac:dyDescent="0.25">
      <c r="A824">
        <v>824</v>
      </c>
      <c r="C824" t="str">
        <f t="shared" si="22"/>
        <v/>
      </c>
    </row>
    <row r="825" spans="1:3" hidden="1" x14ac:dyDescent="0.25">
      <c r="A825">
        <v>825</v>
      </c>
      <c r="C825" t="str">
        <f t="shared" si="22"/>
        <v/>
      </c>
    </row>
    <row r="826" spans="1:3" hidden="1" x14ac:dyDescent="0.25">
      <c r="A826">
        <v>826</v>
      </c>
      <c r="C826" t="str">
        <f t="shared" si="22"/>
        <v/>
      </c>
    </row>
    <row r="827" spans="1:3" hidden="1" x14ac:dyDescent="0.25">
      <c r="A827">
        <v>827</v>
      </c>
      <c r="C827" t="str">
        <f t="shared" si="22"/>
        <v/>
      </c>
    </row>
    <row r="828" spans="1:3" hidden="1" x14ac:dyDescent="0.25">
      <c r="A828">
        <v>828</v>
      </c>
      <c r="C828" t="str">
        <f t="shared" si="22"/>
        <v/>
      </c>
    </row>
    <row r="829" spans="1:3" hidden="1" x14ac:dyDescent="0.25">
      <c r="A829">
        <v>829</v>
      </c>
      <c r="C829" t="str">
        <f t="shared" si="22"/>
        <v/>
      </c>
    </row>
    <row r="830" spans="1:3" hidden="1" x14ac:dyDescent="0.25">
      <c r="A830">
        <v>830</v>
      </c>
      <c r="C830" t="str">
        <f t="shared" si="22"/>
        <v/>
      </c>
    </row>
    <row r="831" spans="1:3" hidden="1" x14ac:dyDescent="0.25">
      <c r="A831">
        <v>831</v>
      </c>
      <c r="C831" t="str">
        <f t="shared" si="22"/>
        <v/>
      </c>
    </row>
    <row r="832" spans="1:3" hidden="1" x14ac:dyDescent="0.25">
      <c r="A832">
        <v>832</v>
      </c>
      <c r="C832" t="str">
        <f t="shared" si="22"/>
        <v/>
      </c>
    </row>
    <row r="833" spans="1:3" hidden="1" x14ac:dyDescent="0.25">
      <c r="A833">
        <v>833</v>
      </c>
      <c r="C833" t="str">
        <f t="shared" si="22"/>
        <v/>
      </c>
    </row>
    <row r="834" spans="1:3" hidden="1" x14ac:dyDescent="0.25">
      <c r="A834">
        <v>834</v>
      </c>
      <c r="C834" t="str">
        <f t="shared" si="22"/>
        <v/>
      </c>
    </row>
    <row r="835" spans="1:3" hidden="1" x14ac:dyDescent="0.25">
      <c r="A835">
        <v>835</v>
      </c>
      <c r="C835" t="str">
        <f t="shared" ref="C835:C898" si="23">IF(B835="ARTISZEE","Cardiología","")</f>
        <v/>
      </c>
    </row>
    <row r="836" spans="1:3" hidden="1" x14ac:dyDescent="0.25">
      <c r="A836">
        <v>836</v>
      </c>
      <c r="C836" t="str">
        <f t="shared" si="23"/>
        <v/>
      </c>
    </row>
    <row r="837" spans="1:3" hidden="1" x14ac:dyDescent="0.25">
      <c r="A837">
        <v>837</v>
      </c>
      <c r="C837" t="str">
        <f t="shared" si="23"/>
        <v/>
      </c>
    </row>
    <row r="838" spans="1:3" hidden="1" x14ac:dyDescent="0.25">
      <c r="A838">
        <v>838</v>
      </c>
      <c r="C838" t="str">
        <f t="shared" si="23"/>
        <v/>
      </c>
    </row>
    <row r="839" spans="1:3" hidden="1" x14ac:dyDescent="0.25">
      <c r="A839">
        <v>839</v>
      </c>
      <c r="C839" t="str">
        <f t="shared" si="23"/>
        <v/>
      </c>
    </row>
    <row r="840" spans="1:3" hidden="1" x14ac:dyDescent="0.25">
      <c r="A840">
        <v>840</v>
      </c>
      <c r="C840" t="str">
        <f t="shared" si="23"/>
        <v/>
      </c>
    </row>
    <row r="841" spans="1:3" hidden="1" x14ac:dyDescent="0.25">
      <c r="A841">
        <v>841</v>
      </c>
      <c r="C841" t="str">
        <f t="shared" si="23"/>
        <v/>
      </c>
    </row>
    <row r="842" spans="1:3" hidden="1" x14ac:dyDescent="0.25">
      <c r="A842">
        <v>842</v>
      </c>
      <c r="C842" t="str">
        <f t="shared" si="23"/>
        <v/>
      </c>
    </row>
    <row r="843" spans="1:3" hidden="1" x14ac:dyDescent="0.25">
      <c r="A843">
        <v>843</v>
      </c>
      <c r="C843" t="str">
        <f t="shared" si="23"/>
        <v/>
      </c>
    </row>
    <row r="844" spans="1:3" hidden="1" x14ac:dyDescent="0.25">
      <c r="A844">
        <v>844</v>
      </c>
      <c r="C844" t="str">
        <f t="shared" si="23"/>
        <v/>
      </c>
    </row>
    <row r="845" spans="1:3" hidden="1" x14ac:dyDescent="0.25">
      <c r="A845">
        <v>845</v>
      </c>
      <c r="C845" t="str">
        <f t="shared" si="23"/>
        <v/>
      </c>
    </row>
    <row r="846" spans="1:3" hidden="1" x14ac:dyDescent="0.25">
      <c r="A846">
        <v>846</v>
      </c>
      <c r="C846" t="str">
        <f t="shared" si="23"/>
        <v/>
      </c>
    </row>
    <row r="847" spans="1:3" hidden="1" x14ac:dyDescent="0.25">
      <c r="A847">
        <v>847</v>
      </c>
      <c r="C847" t="str">
        <f t="shared" si="23"/>
        <v/>
      </c>
    </row>
    <row r="848" spans="1:3" hidden="1" x14ac:dyDescent="0.25">
      <c r="A848">
        <v>848</v>
      </c>
      <c r="C848" t="str">
        <f t="shared" si="23"/>
        <v/>
      </c>
    </row>
    <row r="849" spans="1:3" hidden="1" x14ac:dyDescent="0.25">
      <c r="A849">
        <v>849</v>
      </c>
      <c r="C849" t="str">
        <f t="shared" si="23"/>
        <v/>
      </c>
    </row>
    <row r="850" spans="1:3" hidden="1" x14ac:dyDescent="0.25">
      <c r="A850">
        <v>850</v>
      </c>
      <c r="C850" t="str">
        <f t="shared" si="23"/>
        <v/>
      </c>
    </row>
    <row r="851" spans="1:3" hidden="1" x14ac:dyDescent="0.25">
      <c r="A851">
        <v>851</v>
      </c>
      <c r="C851" t="str">
        <f t="shared" si="23"/>
        <v/>
      </c>
    </row>
    <row r="852" spans="1:3" hidden="1" x14ac:dyDescent="0.25">
      <c r="A852">
        <v>852</v>
      </c>
      <c r="C852" t="str">
        <f t="shared" si="23"/>
        <v/>
      </c>
    </row>
    <row r="853" spans="1:3" hidden="1" x14ac:dyDescent="0.25">
      <c r="A853">
        <v>853</v>
      </c>
      <c r="C853" t="str">
        <f t="shared" si="23"/>
        <v/>
      </c>
    </row>
    <row r="854" spans="1:3" hidden="1" x14ac:dyDescent="0.25">
      <c r="A854">
        <v>854</v>
      </c>
      <c r="C854" t="str">
        <f t="shared" si="23"/>
        <v/>
      </c>
    </row>
    <row r="855" spans="1:3" hidden="1" x14ac:dyDescent="0.25">
      <c r="A855">
        <v>855</v>
      </c>
      <c r="C855" t="str">
        <f t="shared" si="23"/>
        <v/>
      </c>
    </row>
    <row r="856" spans="1:3" hidden="1" x14ac:dyDescent="0.25">
      <c r="A856">
        <v>856</v>
      </c>
      <c r="C856" t="str">
        <f t="shared" si="23"/>
        <v/>
      </c>
    </row>
    <row r="857" spans="1:3" hidden="1" x14ac:dyDescent="0.25">
      <c r="A857">
        <v>857</v>
      </c>
      <c r="C857" t="str">
        <f t="shared" si="23"/>
        <v/>
      </c>
    </row>
    <row r="858" spans="1:3" hidden="1" x14ac:dyDescent="0.25">
      <c r="A858">
        <v>858</v>
      </c>
      <c r="C858" t="str">
        <f t="shared" si="23"/>
        <v/>
      </c>
    </row>
    <row r="859" spans="1:3" hidden="1" x14ac:dyDescent="0.25">
      <c r="A859">
        <v>859</v>
      </c>
      <c r="C859" t="str">
        <f t="shared" si="23"/>
        <v/>
      </c>
    </row>
    <row r="860" spans="1:3" hidden="1" x14ac:dyDescent="0.25">
      <c r="A860">
        <v>860</v>
      </c>
      <c r="C860" t="str">
        <f t="shared" si="23"/>
        <v/>
      </c>
    </row>
    <row r="861" spans="1:3" hidden="1" x14ac:dyDescent="0.25">
      <c r="A861">
        <v>861</v>
      </c>
      <c r="C861" t="str">
        <f t="shared" si="23"/>
        <v/>
      </c>
    </row>
    <row r="862" spans="1:3" hidden="1" x14ac:dyDescent="0.25">
      <c r="A862">
        <v>862</v>
      </c>
      <c r="C862" t="str">
        <f t="shared" si="23"/>
        <v/>
      </c>
    </row>
    <row r="863" spans="1:3" hidden="1" x14ac:dyDescent="0.25">
      <c r="A863">
        <v>863</v>
      </c>
      <c r="C863" t="str">
        <f t="shared" si="23"/>
        <v/>
      </c>
    </row>
    <row r="864" spans="1:3" hidden="1" x14ac:dyDescent="0.25">
      <c r="A864">
        <v>864</v>
      </c>
      <c r="C864" t="str">
        <f t="shared" si="23"/>
        <v/>
      </c>
    </row>
    <row r="865" spans="1:3" hidden="1" x14ac:dyDescent="0.25">
      <c r="A865">
        <v>865</v>
      </c>
      <c r="C865" t="str">
        <f t="shared" si="23"/>
        <v/>
      </c>
    </row>
    <row r="866" spans="1:3" hidden="1" x14ac:dyDescent="0.25">
      <c r="A866">
        <v>866</v>
      </c>
      <c r="C866" t="str">
        <f t="shared" si="23"/>
        <v/>
      </c>
    </row>
    <row r="867" spans="1:3" hidden="1" x14ac:dyDescent="0.25">
      <c r="A867">
        <v>867</v>
      </c>
      <c r="C867" t="str">
        <f t="shared" si="23"/>
        <v/>
      </c>
    </row>
    <row r="868" spans="1:3" hidden="1" x14ac:dyDescent="0.25">
      <c r="A868">
        <v>868</v>
      </c>
      <c r="C868" t="str">
        <f t="shared" si="23"/>
        <v/>
      </c>
    </row>
    <row r="869" spans="1:3" hidden="1" x14ac:dyDescent="0.25">
      <c r="A869">
        <v>869</v>
      </c>
      <c r="C869" t="str">
        <f t="shared" si="23"/>
        <v/>
      </c>
    </row>
    <row r="870" spans="1:3" hidden="1" x14ac:dyDescent="0.25">
      <c r="A870">
        <v>870</v>
      </c>
      <c r="C870" t="str">
        <f t="shared" si="23"/>
        <v/>
      </c>
    </row>
    <row r="871" spans="1:3" hidden="1" x14ac:dyDescent="0.25">
      <c r="A871">
        <v>871</v>
      </c>
      <c r="C871" t="str">
        <f t="shared" si="23"/>
        <v/>
      </c>
    </row>
    <row r="872" spans="1:3" hidden="1" x14ac:dyDescent="0.25">
      <c r="A872">
        <v>872</v>
      </c>
      <c r="C872" t="str">
        <f t="shared" si="23"/>
        <v/>
      </c>
    </row>
    <row r="873" spans="1:3" hidden="1" x14ac:dyDescent="0.25">
      <c r="A873">
        <v>873</v>
      </c>
      <c r="C873" t="str">
        <f t="shared" si="23"/>
        <v/>
      </c>
    </row>
    <row r="874" spans="1:3" hidden="1" x14ac:dyDescent="0.25">
      <c r="A874">
        <v>874</v>
      </c>
      <c r="C874" t="str">
        <f t="shared" si="23"/>
        <v/>
      </c>
    </row>
    <row r="875" spans="1:3" hidden="1" x14ac:dyDescent="0.25">
      <c r="A875">
        <v>875</v>
      </c>
      <c r="C875" t="str">
        <f t="shared" si="23"/>
        <v/>
      </c>
    </row>
    <row r="876" spans="1:3" hidden="1" x14ac:dyDescent="0.25">
      <c r="A876">
        <v>876</v>
      </c>
      <c r="C876" t="str">
        <f t="shared" si="23"/>
        <v/>
      </c>
    </row>
    <row r="877" spans="1:3" hidden="1" x14ac:dyDescent="0.25">
      <c r="A877">
        <v>877</v>
      </c>
      <c r="C877" t="str">
        <f t="shared" si="23"/>
        <v/>
      </c>
    </row>
    <row r="878" spans="1:3" hidden="1" x14ac:dyDescent="0.25">
      <c r="A878">
        <v>878</v>
      </c>
      <c r="C878" t="str">
        <f t="shared" si="23"/>
        <v/>
      </c>
    </row>
    <row r="879" spans="1:3" hidden="1" x14ac:dyDescent="0.25">
      <c r="A879">
        <v>879</v>
      </c>
      <c r="C879" t="str">
        <f t="shared" si="23"/>
        <v/>
      </c>
    </row>
    <row r="880" spans="1:3" hidden="1" x14ac:dyDescent="0.25">
      <c r="A880">
        <v>880</v>
      </c>
      <c r="C880" t="str">
        <f t="shared" si="23"/>
        <v/>
      </c>
    </row>
    <row r="881" spans="1:3" hidden="1" x14ac:dyDescent="0.25">
      <c r="A881">
        <v>881</v>
      </c>
      <c r="C881" t="str">
        <f t="shared" si="23"/>
        <v/>
      </c>
    </row>
    <row r="882" spans="1:3" hidden="1" x14ac:dyDescent="0.25">
      <c r="A882">
        <v>882</v>
      </c>
      <c r="C882" t="str">
        <f t="shared" si="23"/>
        <v/>
      </c>
    </row>
    <row r="883" spans="1:3" hidden="1" x14ac:dyDescent="0.25">
      <c r="A883">
        <v>883</v>
      </c>
      <c r="C883" t="str">
        <f t="shared" si="23"/>
        <v/>
      </c>
    </row>
    <row r="884" spans="1:3" hidden="1" x14ac:dyDescent="0.25">
      <c r="A884">
        <v>884</v>
      </c>
      <c r="C884" t="str">
        <f t="shared" si="23"/>
        <v/>
      </c>
    </row>
    <row r="885" spans="1:3" hidden="1" x14ac:dyDescent="0.25">
      <c r="A885">
        <v>885</v>
      </c>
      <c r="C885" t="str">
        <f t="shared" si="23"/>
        <v/>
      </c>
    </row>
    <row r="886" spans="1:3" hidden="1" x14ac:dyDescent="0.25">
      <c r="A886">
        <v>886</v>
      </c>
      <c r="C886" t="str">
        <f t="shared" si="23"/>
        <v/>
      </c>
    </row>
    <row r="887" spans="1:3" hidden="1" x14ac:dyDescent="0.25">
      <c r="A887">
        <v>887</v>
      </c>
      <c r="C887" t="str">
        <f t="shared" si="23"/>
        <v/>
      </c>
    </row>
    <row r="888" spans="1:3" hidden="1" x14ac:dyDescent="0.25">
      <c r="A888">
        <v>888</v>
      </c>
      <c r="C888" t="str">
        <f t="shared" si="23"/>
        <v/>
      </c>
    </row>
    <row r="889" spans="1:3" hidden="1" x14ac:dyDescent="0.25">
      <c r="A889">
        <v>889</v>
      </c>
      <c r="C889" t="str">
        <f t="shared" si="23"/>
        <v/>
      </c>
    </row>
    <row r="890" spans="1:3" hidden="1" x14ac:dyDescent="0.25">
      <c r="A890">
        <v>890</v>
      </c>
      <c r="C890" t="str">
        <f t="shared" si="23"/>
        <v/>
      </c>
    </row>
    <row r="891" spans="1:3" hidden="1" x14ac:dyDescent="0.25">
      <c r="A891">
        <v>891</v>
      </c>
      <c r="C891" t="str">
        <f t="shared" si="23"/>
        <v/>
      </c>
    </row>
    <row r="892" spans="1:3" hidden="1" x14ac:dyDescent="0.25">
      <c r="A892">
        <v>892</v>
      </c>
      <c r="C892" t="str">
        <f t="shared" si="23"/>
        <v/>
      </c>
    </row>
    <row r="893" spans="1:3" hidden="1" x14ac:dyDescent="0.25">
      <c r="A893">
        <v>893</v>
      </c>
      <c r="C893" t="str">
        <f t="shared" si="23"/>
        <v/>
      </c>
    </row>
    <row r="894" spans="1:3" hidden="1" x14ac:dyDescent="0.25">
      <c r="A894">
        <v>894</v>
      </c>
      <c r="C894" t="str">
        <f t="shared" si="23"/>
        <v/>
      </c>
    </row>
    <row r="895" spans="1:3" hidden="1" x14ac:dyDescent="0.25">
      <c r="A895">
        <v>895</v>
      </c>
      <c r="C895" t="str">
        <f t="shared" si="23"/>
        <v/>
      </c>
    </row>
    <row r="896" spans="1:3" hidden="1" x14ac:dyDescent="0.25">
      <c r="A896">
        <v>896</v>
      </c>
      <c r="C896" t="str">
        <f t="shared" si="23"/>
        <v/>
      </c>
    </row>
    <row r="897" spans="1:3" hidden="1" x14ac:dyDescent="0.25">
      <c r="A897">
        <v>897</v>
      </c>
      <c r="C897" t="str">
        <f t="shared" si="23"/>
        <v/>
      </c>
    </row>
    <row r="898" spans="1:3" hidden="1" x14ac:dyDescent="0.25">
      <c r="A898">
        <v>898</v>
      </c>
      <c r="C898" t="str">
        <f t="shared" si="23"/>
        <v/>
      </c>
    </row>
    <row r="899" spans="1:3" hidden="1" x14ac:dyDescent="0.25">
      <c r="A899">
        <v>899</v>
      </c>
      <c r="C899" t="str">
        <f t="shared" ref="C899:C962" si="24">IF(B899="ARTISZEE","Cardiología","")</f>
        <v/>
      </c>
    </row>
    <row r="900" spans="1:3" hidden="1" x14ac:dyDescent="0.25">
      <c r="A900">
        <v>900</v>
      </c>
      <c r="C900" t="str">
        <f t="shared" si="24"/>
        <v/>
      </c>
    </row>
    <row r="901" spans="1:3" hidden="1" x14ac:dyDescent="0.25">
      <c r="A901">
        <v>901</v>
      </c>
      <c r="C901" t="str">
        <f t="shared" si="24"/>
        <v/>
      </c>
    </row>
    <row r="902" spans="1:3" hidden="1" x14ac:dyDescent="0.25">
      <c r="A902">
        <v>902</v>
      </c>
      <c r="C902" t="str">
        <f t="shared" si="24"/>
        <v/>
      </c>
    </row>
    <row r="903" spans="1:3" hidden="1" x14ac:dyDescent="0.25">
      <c r="A903">
        <v>903</v>
      </c>
      <c r="C903" t="str">
        <f t="shared" si="24"/>
        <v/>
      </c>
    </row>
    <row r="904" spans="1:3" hidden="1" x14ac:dyDescent="0.25">
      <c r="A904">
        <v>904</v>
      </c>
      <c r="C904" t="str">
        <f t="shared" si="24"/>
        <v/>
      </c>
    </row>
    <row r="905" spans="1:3" hidden="1" x14ac:dyDescent="0.25">
      <c r="A905">
        <v>905</v>
      </c>
      <c r="C905" t="str">
        <f t="shared" si="24"/>
        <v/>
      </c>
    </row>
    <row r="906" spans="1:3" hidden="1" x14ac:dyDescent="0.25">
      <c r="A906">
        <v>906</v>
      </c>
      <c r="C906" t="str">
        <f t="shared" si="24"/>
        <v/>
      </c>
    </row>
    <row r="907" spans="1:3" hidden="1" x14ac:dyDescent="0.25">
      <c r="A907">
        <v>907</v>
      </c>
      <c r="C907" t="str">
        <f t="shared" si="24"/>
        <v/>
      </c>
    </row>
    <row r="908" spans="1:3" hidden="1" x14ac:dyDescent="0.25">
      <c r="A908">
        <v>908</v>
      </c>
      <c r="C908" t="str">
        <f t="shared" si="24"/>
        <v/>
      </c>
    </row>
    <row r="909" spans="1:3" hidden="1" x14ac:dyDescent="0.25">
      <c r="A909">
        <v>909</v>
      </c>
      <c r="C909" t="str">
        <f t="shared" si="24"/>
        <v/>
      </c>
    </row>
    <row r="910" spans="1:3" hidden="1" x14ac:dyDescent="0.25">
      <c r="A910">
        <v>910</v>
      </c>
      <c r="C910" t="str">
        <f t="shared" si="24"/>
        <v/>
      </c>
    </row>
    <row r="911" spans="1:3" hidden="1" x14ac:dyDescent="0.25">
      <c r="A911">
        <v>911</v>
      </c>
      <c r="C911" t="str">
        <f t="shared" si="24"/>
        <v/>
      </c>
    </row>
    <row r="912" spans="1:3" hidden="1" x14ac:dyDescent="0.25">
      <c r="A912">
        <v>912</v>
      </c>
      <c r="C912" t="str">
        <f t="shared" si="24"/>
        <v/>
      </c>
    </row>
    <row r="913" spans="1:3" hidden="1" x14ac:dyDescent="0.25">
      <c r="A913">
        <v>913</v>
      </c>
      <c r="C913" t="str">
        <f t="shared" si="24"/>
        <v/>
      </c>
    </row>
    <row r="914" spans="1:3" hidden="1" x14ac:dyDescent="0.25">
      <c r="A914">
        <v>914</v>
      </c>
      <c r="C914" t="str">
        <f t="shared" si="24"/>
        <v/>
      </c>
    </row>
    <row r="915" spans="1:3" hidden="1" x14ac:dyDescent="0.25">
      <c r="A915">
        <v>915</v>
      </c>
      <c r="C915" t="str">
        <f t="shared" si="24"/>
        <v/>
      </c>
    </row>
    <row r="916" spans="1:3" hidden="1" x14ac:dyDescent="0.25">
      <c r="A916">
        <v>916</v>
      </c>
      <c r="C916" t="str">
        <f t="shared" si="24"/>
        <v/>
      </c>
    </row>
    <row r="917" spans="1:3" hidden="1" x14ac:dyDescent="0.25">
      <c r="A917">
        <v>917</v>
      </c>
      <c r="C917" t="str">
        <f t="shared" si="24"/>
        <v/>
      </c>
    </row>
    <row r="918" spans="1:3" hidden="1" x14ac:dyDescent="0.25">
      <c r="A918">
        <v>918</v>
      </c>
      <c r="C918" t="str">
        <f t="shared" si="24"/>
        <v/>
      </c>
    </row>
    <row r="919" spans="1:3" hidden="1" x14ac:dyDescent="0.25">
      <c r="A919">
        <v>919</v>
      </c>
      <c r="C919" t="str">
        <f t="shared" si="24"/>
        <v/>
      </c>
    </row>
    <row r="920" spans="1:3" hidden="1" x14ac:dyDescent="0.25">
      <c r="A920">
        <v>920</v>
      </c>
      <c r="C920" t="str">
        <f t="shared" si="24"/>
        <v/>
      </c>
    </row>
    <row r="921" spans="1:3" hidden="1" x14ac:dyDescent="0.25">
      <c r="A921">
        <v>921</v>
      </c>
      <c r="C921" t="str">
        <f t="shared" si="24"/>
        <v/>
      </c>
    </row>
    <row r="922" spans="1:3" hidden="1" x14ac:dyDescent="0.25">
      <c r="A922">
        <v>922</v>
      </c>
      <c r="C922" t="str">
        <f t="shared" si="24"/>
        <v/>
      </c>
    </row>
    <row r="923" spans="1:3" hidden="1" x14ac:dyDescent="0.25">
      <c r="A923">
        <v>923</v>
      </c>
      <c r="C923" t="str">
        <f t="shared" si="24"/>
        <v/>
      </c>
    </row>
    <row r="924" spans="1:3" hidden="1" x14ac:dyDescent="0.25">
      <c r="A924">
        <v>924</v>
      </c>
      <c r="C924" t="str">
        <f t="shared" si="24"/>
        <v/>
      </c>
    </row>
    <row r="925" spans="1:3" hidden="1" x14ac:dyDescent="0.25">
      <c r="A925">
        <v>925</v>
      </c>
      <c r="C925" t="str">
        <f t="shared" si="24"/>
        <v/>
      </c>
    </row>
    <row r="926" spans="1:3" hidden="1" x14ac:dyDescent="0.25">
      <c r="A926">
        <v>926</v>
      </c>
      <c r="C926" t="str">
        <f t="shared" si="24"/>
        <v/>
      </c>
    </row>
    <row r="927" spans="1:3" hidden="1" x14ac:dyDescent="0.25">
      <c r="A927">
        <v>927</v>
      </c>
      <c r="C927" t="str">
        <f t="shared" si="24"/>
        <v/>
      </c>
    </row>
    <row r="928" spans="1:3" hidden="1" x14ac:dyDescent="0.25">
      <c r="A928">
        <v>928</v>
      </c>
      <c r="C928" t="str">
        <f t="shared" si="24"/>
        <v/>
      </c>
    </row>
    <row r="929" spans="1:3" hidden="1" x14ac:dyDescent="0.25">
      <c r="A929">
        <v>929</v>
      </c>
      <c r="C929" t="str">
        <f t="shared" si="24"/>
        <v/>
      </c>
    </row>
    <row r="930" spans="1:3" hidden="1" x14ac:dyDescent="0.25">
      <c r="A930">
        <v>930</v>
      </c>
      <c r="C930" t="str">
        <f t="shared" si="24"/>
        <v/>
      </c>
    </row>
    <row r="931" spans="1:3" hidden="1" x14ac:dyDescent="0.25">
      <c r="A931">
        <v>931</v>
      </c>
      <c r="C931" t="str">
        <f t="shared" si="24"/>
        <v/>
      </c>
    </row>
    <row r="932" spans="1:3" hidden="1" x14ac:dyDescent="0.25">
      <c r="A932">
        <v>932</v>
      </c>
      <c r="C932" t="str">
        <f t="shared" si="24"/>
        <v/>
      </c>
    </row>
    <row r="933" spans="1:3" hidden="1" x14ac:dyDescent="0.25">
      <c r="A933">
        <v>933</v>
      </c>
      <c r="C933" t="str">
        <f t="shared" si="24"/>
        <v/>
      </c>
    </row>
    <row r="934" spans="1:3" hidden="1" x14ac:dyDescent="0.25">
      <c r="A934">
        <v>934</v>
      </c>
      <c r="C934" t="str">
        <f t="shared" si="24"/>
        <v/>
      </c>
    </row>
    <row r="935" spans="1:3" hidden="1" x14ac:dyDescent="0.25">
      <c r="A935">
        <v>935</v>
      </c>
      <c r="C935" t="str">
        <f t="shared" si="24"/>
        <v/>
      </c>
    </row>
    <row r="936" spans="1:3" hidden="1" x14ac:dyDescent="0.25">
      <c r="A936">
        <v>936</v>
      </c>
      <c r="C936" t="str">
        <f t="shared" si="24"/>
        <v/>
      </c>
    </row>
    <row r="937" spans="1:3" hidden="1" x14ac:dyDescent="0.25">
      <c r="A937">
        <v>937</v>
      </c>
      <c r="C937" t="str">
        <f t="shared" si="24"/>
        <v/>
      </c>
    </row>
    <row r="938" spans="1:3" hidden="1" x14ac:dyDescent="0.25">
      <c r="A938">
        <v>938</v>
      </c>
      <c r="C938" t="str">
        <f t="shared" si="24"/>
        <v/>
      </c>
    </row>
    <row r="939" spans="1:3" hidden="1" x14ac:dyDescent="0.25">
      <c r="A939">
        <v>939</v>
      </c>
      <c r="C939" t="str">
        <f t="shared" si="24"/>
        <v/>
      </c>
    </row>
    <row r="940" spans="1:3" hidden="1" x14ac:dyDescent="0.25">
      <c r="A940">
        <v>940</v>
      </c>
      <c r="C940" t="str">
        <f t="shared" si="24"/>
        <v/>
      </c>
    </row>
    <row r="941" spans="1:3" hidden="1" x14ac:dyDescent="0.25">
      <c r="A941">
        <v>941</v>
      </c>
      <c r="C941" t="str">
        <f t="shared" si="24"/>
        <v/>
      </c>
    </row>
    <row r="942" spans="1:3" hidden="1" x14ac:dyDescent="0.25">
      <c r="A942">
        <v>942</v>
      </c>
      <c r="C942" t="str">
        <f t="shared" si="24"/>
        <v/>
      </c>
    </row>
    <row r="943" spans="1:3" hidden="1" x14ac:dyDescent="0.25">
      <c r="A943">
        <v>943</v>
      </c>
      <c r="C943" t="str">
        <f t="shared" si="24"/>
        <v/>
      </c>
    </row>
    <row r="944" spans="1:3" hidden="1" x14ac:dyDescent="0.25">
      <c r="A944">
        <v>944</v>
      </c>
      <c r="C944" t="str">
        <f t="shared" si="24"/>
        <v/>
      </c>
    </row>
    <row r="945" spans="1:3" hidden="1" x14ac:dyDescent="0.25">
      <c r="A945">
        <v>945</v>
      </c>
      <c r="C945" t="str">
        <f t="shared" si="24"/>
        <v/>
      </c>
    </row>
    <row r="946" spans="1:3" hidden="1" x14ac:dyDescent="0.25">
      <c r="A946">
        <v>946</v>
      </c>
      <c r="C946" t="str">
        <f t="shared" si="24"/>
        <v/>
      </c>
    </row>
    <row r="947" spans="1:3" hidden="1" x14ac:dyDescent="0.25">
      <c r="A947">
        <v>947</v>
      </c>
      <c r="C947" t="str">
        <f t="shared" si="24"/>
        <v/>
      </c>
    </row>
    <row r="948" spans="1:3" hidden="1" x14ac:dyDescent="0.25">
      <c r="A948">
        <v>948</v>
      </c>
      <c r="C948" t="str">
        <f t="shared" si="24"/>
        <v/>
      </c>
    </row>
    <row r="949" spans="1:3" hidden="1" x14ac:dyDescent="0.25">
      <c r="A949">
        <v>949</v>
      </c>
      <c r="C949" t="str">
        <f t="shared" si="24"/>
        <v/>
      </c>
    </row>
    <row r="950" spans="1:3" hidden="1" x14ac:dyDescent="0.25">
      <c r="A950">
        <v>950</v>
      </c>
      <c r="C950" t="str">
        <f t="shared" si="24"/>
        <v/>
      </c>
    </row>
    <row r="951" spans="1:3" hidden="1" x14ac:dyDescent="0.25">
      <c r="A951">
        <v>951</v>
      </c>
      <c r="C951" t="str">
        <f t="shared" si="24"/>
        <v/>
      </c>
    </row>
    <row r="952" spans="1:3" hidden="1" x14ac:dyDescent="0.25">
      <c r="A952">
        <v>952</v>
      </c>
      <c r="C952" t="str">
        <f t="shared" si="24"/>
        <v/>
      </c>
    </row>
    <row r="953" spans="1:3" hidden="1" x14ac:dyDescent="0.25">
      <c r="A953">
        <v>953</v>
      </c>
      <c r="C953" t="str">
        <f t="shared" si="24"/>
        <v/>
      </c>
    </row>
    <row r="954" spans="1:3" hidden="1" x14ac:dyDescent="0.25">
      <c r="A954">
        <v>954</v>
      </c>
      <c r="C954" t="str">
        <f t="shared" si="24"/>
        <v/>
      </c>
    </row>
    <row r="955" spans="1:3" hidden="1" x14ac:dyDescent="0.25">
      <c r="A955">
        <v>955</v>
      </c>
      <c r="C955" t="str">
        <f t="shared" si="24"/>
        <v/>
      </c>
    </row>
    <row r="956" spans="1:3" hidden="1" x14ac:dyDescent="0.25">
      <c r="A956">
        <v>956</v>
      </c>
      <c r="C956" t="str">
        <f t="shared" si="24"/>
        <v/>
      </c>
    </row>
    <row r="957" spans="1:3" hidden="1" x14ac:dyDescent="0.25">
      <c r="A957">
        <v>957</v>
      </c>
      <c r="C957" t="str">
        <f t="shared" si="24"/>
        <v/>
      </c>
    </row>
    <row r="958" spans="1:3" hidden="1" x14ac:dyDescent="0.25">
      <c r="A958">
        <v>958</v>
      </c>
      <c r="C958" t="str">
        <f t="shared" si="24"/>
        <v/>
      </c>
    </row>
    <row r="959" spans="1:3" hidden="1" x14ac:dyDescent="0.25">
      <c r="A959">
        <v>959</v>
      </c>
      <c r="C959" t="str">
        <f t="shared" si="24"/>
        <v/>
      </c>
    </row>
    <row r="960" spans="1:3" hidden="1" x14ac:dyDescent="0.25">
      <c r="A960">
        <v>960</v>
      </c>
      <c r="C960" t="str">
        <f t="shared" si="24"/>
        <v/>
      </c>
    </row>
    <row r="961" spans="1:3" hidden="1" x14ac:dyDescent="0.25">
      <c r="A961">
        <v>961</v>
      </c>
      <c r="C961" t="str">
        <f t="shared" si="24"/>
        <v/>
      </c>
    </row>
    <row r="962" spans="1:3" hidden="1" x14ac:dyDescent="0.25">
      <c r="A962">
        <v>962</v>
      </c>
      <c r="C962" t="str">
        <f t="shared" si="24"/>
        <v/>
      </c>
    </row>
    <row r="963" spans="1:3" hidden="1" x14ac:dyDescent="0.25">
      <c r="A963">
        <v>963</v>
      </c>
      <c r="C963" t="str">
        <f t="shared" ref="C963:C1026" si="25">IF(B963="ARTISZEE","Cardiología","")</f>
        <v/>
      </c>
    </row>
    <row r="964" spans="1:3" hidden="1" x14ac:dyDescent="0.25">
      <c r="A964">
        <v>964</v>
      </c>
      <c r="C964" t="str">
        <f t="shared" si="25"/>
        <v/>
      </c>
    </row>
    <row r="965" spans="1:3" hidden="1" x14ac:dyDescent="0.25">
      <c r="A965">
        <v>965</v>
      </c>
      <c r="C965" t="str">
        <f t="shared" si="25"/>
        <v/>
      </c>
    </row>
    <row r="966" spans="1:3" hidden="1" x14ac:dyDescent="0.25">
      <c r="A966">
        <v>966</v>
      </c>
      <c r="C966" t="str">
        <f t="shared" si="25"/>
        <v/>
      </c>
    </row>
    <row r="967" spans="1:3" hidden="1" x14ac:dyDescent="0.25">
      <c r="A967">
        <v>967</v>
      </c>
      <c r="C967" t="str">
        <f t="shared" si="25"/>
        <v/>
      </c>
    </row>
    <row r="968" spans="1:3" hidden="1" x14ac:dyDescent="0.25">
      <c r="A968">
        <v>968</v>
      </c>
      <c r="C968" t="str">
        <f t="shared" si="25"/>
        <v/>
      </c>
    </row>
    <row r="969" spans="1:3" hidden="1" x14ac:dyDescent="0.25">
      <c r="A969">
        <v>969</v>
      </c>
      <c r="C969" t="str">
        <f t="shared" si="25"/>
        <v/>
      </c>
    </row>
    <row r="970" spans="1:3" hidden="1" x14ac:dyDescent="0.25">
      <c r="A970">
        <v>970</v>
      </c>
      <c r="C970" t="str">
        <f t="shared" si="25"/>
        <v/>
      </c>
    </row>
    <row r="971" spans="1:3" hidden="1" x14ac:dyDescent="0.25">
      <c r="A971">
        <v>971</v>
      </c>
      <c r="C971" t="str">
        <f t="shared" si="25"/>
        <v/>
      </c>
    </row>
    <row r="972" spans="1:3" hidden="1" x14ac:dyDescent="0.25">
      <c r="A972">
        <v>972</v>
      </c>
      <c r="C972" t="str">
        <f t="shared" si="25"/>
        <v/>
      </c>
    </row>
    <row r="973" spans="1:3" hidden="1" x14ac:dyDescent="0.25">
      <c r="A973">
        <v>973</v>
      </c>
      <c r="C973" t="str">
        <f t="shared" si="25"/>
        <v/>
      </c>
    </row>
    <row r="974" spans="1:3" hidden="1" x14ac:dyDescent="0.25">
      <c r="A974">
        <v>974</v>
      </c>
      <c r="C974" t="str">
        <f t="shared" si="25"/>
        <v/>
      </c>
    </row>
    <row r="975" spans="1:3" hidden="1" x14ac:dyDescent="0.25">
      <c r="A975">
        <v>975</v>
      </c>
      <c r="C975" t="str">
        <f t="shared" si="25"/>
        <v/>
      </c>
    </row>
    <row r="976" spans="1:3" hidden="1" x14ac:dyDescent="0.25">
      <c r="A976">
        <v>976</v>
      </c>
      <c r="C976" t="str">
        <f t="shared" si="25"/>
        <v/>
      </c>
    </row>
    <row r="977" spans="1:3" hidden="1" x14ac:dyDescent="0.25">
      <c r="A977">
        <v>977</v>
      </c>
      <c r="C977" t="str">
        <f t="shared" si="25"/>
        <v/>
      </c>
    </row>
    <row r="978" spans="1:3" hidden="1" x14ac:dyDescent="0.25">
      <c r="A978">
        <v>978</v>
      </c>
      <c r="C978" t="str">
        <f t="shared" si="25"/>
        <v/>
      </c>
    </row>
    <row r="979" spans="1:3" hidden="1" x14ac:dyDescent="0.25">
      <c r="A979">
        <v>979</v>
      </c>
      <c r="C979" t="str">
        <f t="shared" si="25"/>
        <v/>
      </c>
    </row>
    <row r="980" spans="1:3" hidden="1" x14ac:dyDescent="0.25">
      <c r="A980">
        <v>980</v>
      </c>
      <c r="C980" t="str">
        <f t="shared" si="25"/>
        <v/>
      </c>
    </row>
    <row r="981" spans="1:3" hidden="1" x14ac:dyDescent="0.25">
      <c r="A981">
        <v>981</v>
      </c>
      <c r="C981" t="str">
        <f t="shared" si="25"/>
        <v/>
      </c>
    </row>
    <row r="982" spans="1:3" hidden="1" x14ac:dyDescent="0.25">
      <c r="A982">
        <v>982</v>
      </c>
      <c r="C982" t="str">
        <f t="shared" si="25"/>
        <v/>
      </c>
    </row>
    <row r="983" spans="1:3" hidden="1" x14ac:dyDescent="0.25">
      <c r="A983">
        <v>983</v>
      </c>
      <c r="C983" t="str">
        <f t="shared" si="25"/>
        <v/>
      </c>
    </row>
    <row r="984" spans="1:3" hidden="1" x14ac:dyDescent="0.25">
      <c r="A984">
        <v>984</v>
      </c>
      <c r="C984" t="str">
        <f t="shared" si="25"/>
        <v/>
      </c>
    </row>
    <row r="985" spans="1:3" hidden="1" x14ac:dyDescent="0.25">
      <c r="A985">
        <v>985</v>
      </c>
      <c r="C985" t="str">
        <f t="shared" si="25"/>
        <v/>
      </c>
    </row>
    <row r="986" spans="1:3" hidden="1" x14ac:dyDescent="0.25">
      <c r="A986">
        <v>986</v>
      </c>
      <c r="C986" t="str">
        <f t="shared" si="25"/>
        <v/>
      </c>
    </row>
    <row r="987" spans="1:3" hidden="1" x14ac:dyDescent="0.25">
      <c r="A987">
        <v>987</v>
      </c>
      <c r="C987" t="str">
        <f t="shared" si="25"/>
        <v/>
      </c>
    </row>
    <row r="988" spans="1:3" hidden="1" x14ac:dyDescent="0.25">
      <c r="A988">
        <v>988</v>
      </c>
      <c r="C988" t="str">
        <f t="shared" si="25"/>
        <v/>
      </c>
    </row>
    <row r="989" spans="1:3" hidden="1" x14ac:dyDescent="0.25">
      <c r="A989">
        <v>989</v>
      </c>
      <c r="C989" t="str">
        <f t="shared" si="25"/>
        <v/>
      </c>
    </row>
    <row r="990" spans="1:3" hidden="1" x14ac:dyDescent="0.25">
      <c r="A990">
        <v>990</v>
      </c>
      <c r="C990" t="str">
        <f t="shared" si="25"/>
        <v/>
      </c>
    </row>
    <row r="991" spans="1:3" hidden="1" x14ac:dyDescent="0.25">
      <c r="A991">
        <v>991</v>
      </c>
      <c r="C991" t="str">
        <f t="shared" si="25"/>
        <v/>
      </c>
    </row>
    <row r="992" spans="1:3" hidden="1" x14ac:dyDescent="0.25">
      <c r="A992">
        <v>992</v>
      </c>
      <c r="C992" t="str">
        <f t="shared" si="25"/>
        <v/>
      </c>
    </row>
    <row r="993" spans="1:3" hidden="1" x14ac:dyDescent="0.25">
      <c r="A993">
        <v>993</v>
      </c>
      <c r="C993" t="str">
        <f t="shared" si="25"/>
        <v/>
      </c>
    </row>
    <row r="994" spans="1:3" hidden="1" x14ac:dyDescent="0.25">
      <c r="A994">
        <v>994</v>
      </c>
      <c r="C994" t="str">
        <f t="shared" si="25"/>
        <v/>
      </c>
    </row>
    <row r="995" spans="1:3" hidden="1" x14ac:dyDescent="0.25">
      <c r="A995">
        <v>995</v>
      </c>
      <c r="C995" t="str">
        <f t="shared" si="25"/>
        <v/>
      </c>
    </row>
    <row r="996" spans="1:3" hidden="1" x14ac:dyDescent="0.25">
      <c r="A996">
        <v>996</v>
      </c>
      <c r="C996" t="str">
        <f t="shared" si="25"/>
        <v/>
      </c>
    </row>
    <row r="997" spans="1:3" hidden="1" x14ac:dyDescent="0.25">
      <c r="A997">
        <v>997</v>
      </c>
      <c r="C997" t="str">
        <f t="shared" si="25"/>
        <v/>
      </c>
    </row>
    <row r="998" spans="1:3" hidden="1" x14ac:dyDescent="0.25">
      <c r="A998">
        <v>998</v>
      </c>
      <c r="C998" t="str">
        <f t="shared" si="25"/>
        <v/>
      </c>
    </row>
    <row r="999" spans="1:3" hidden="1" x14ac:dyDescent="0.25">
      <c r="A999">
        <v>999</v>
      </c>
      <c r="C999" t="str">
        <f t="shared" si="25"/>
        <v/>
      </c>
    </row>
    <row r="1000" spans="1:3" hidden="1" x14ac:dyDescent="0.25">
      <c r="A1000">
        <v>1000</v>
      </c>
      <c r="C1000" t="str">
        <f t="shared" si="25"/>
        <v/>
      </c>
    </row>
    <row r="1001" spans="1:3" hidden="1" x14ac:dyDescent="0.25">
      <c r="A1001">
        <v>1001</v>
      </c>
      <c r="C1001" t="str">
        <f t="shared" si="25"/>
        <v/>
      </c>
    </row>
    <row r="1002" spans="1:3" hidden="1" x14ac:dyDescent="0.25">
      <c r="A1002">
        <v>1002</v>
      </c>
      <c r="C1002" t="str">
        <f t="shared" si="25"/>
        <v/>
      </c>
    </row>
    <row r="1003" spans="1:3" hidden="1" x14ac:dyDescent="0.25">
      <c r="A1003">
        <v>1003</v>
      </c>
      <c r="C1003" t="str">
        <f t="shared" si="25"/>
        <v/>
      </c>
    </row>
    <row r="1004" spans="1:3" hidden="1" x14ac:dyDescent="0.25">
      <c r="A1004">
        <v>1004</v>
      </c>
      <c r="C1004" t="str">
        <f t="shared" si="25"/>
        <v/>
      </c>
    </row>
    <row r="1005" spans="1:3" hidden="1" x14ac:dyDescent="0.25">
      <c r="A1005">
        <v>1005</v>
      </c>
      <c r="C1005" t="str">
        <f t="shared" si="25"/>
        <v/>
      </c>
    </row>
    <row r="1006" spans="1:3" hidden="1" x14ac:dyDescent="0.25">
      <c r="A1006">
        <v>1006</v>
      </c>
      <c r="C1006" t="str">
        <f t="shared" si="25"/>
        <v/>
      </c>
    </row>
    <row r="1007" spans="1:3" hidden="1" x14ac:dyDescent="0.25">
      <c r="A1007">
        <v>1007</v>
      </c>
      <c r="C1007" t="str">
        <f t="shared" si="25"/>
        <v/>
      </c>
    </row>
    <row r="1008" spans="1:3" hidden="1" x14ac:dyDescent="0.25">
      <c r="A1008">
        <v>1008</v>
      </c>
      <c r="C1008" t="str">
        <f t="shared" si="25"/>
        <v/>
      </c>
    </row>
    <row r="1009" spans="1:3" hidden="1" x14ac:dyDescent="0.25">
      <c r="A1009">
        <v>1009</v>
      </c>
      <c r="C1009" t="str">
        <f t="shared" si="25"/>
        <v/>
      </c>
    </row>
    <row r="1010" spans="1:3" hidden="1" x14ac:dyDescent="0.25">
      <c r="A1010">
        <v>1010</v>
      </c>
      <c r="C1010" t="str">
        <f t="shared" si="25"/>
        <v/>
      </c>
    </row>
    <row r="1011" spans="1:3" hidden="1" x14ac:dyDescent="0.25">
      <c r="A1011">
        <v>1011</v>
      </c>
      <c r="C1011" t="str">
        <f t="shared" si="25"/>
        <v/>
      </c>
    </row>
    <row r="1012" spans="1:3" hidden="1" x14ac:dyDescent="0.25">
      <c r="A1012">
        <v>1012</v>
      </c>
      <c r="C1012" t="str">
        <f t="shared" si="25"/>
        <v/>
      </c>
    </row>
    <row r="1013" spans="1:3" hidden="1" x14ac:dyDescent="0.25">
      <c r="A1013">
        <v>1013</v>
      </c>
      <c r="C1013" t="str">
        <f t="shared" si="25"/>
        <v/>
      </c>
    </row>
    <row r="1014" spans="1:3" hidden="1" x14ac:dyDescent="0.25">
      <c r="A1014">
        <v>1014</v>
      </c>
      <c r="C1014" t="str">
        <f t="shared" si="25"/>
        <v/>
      </c>
    </row>
    <row r="1015" spans="1:3" hidden="1" x14ac:dyDescent="0.25">
      <c r="A1015">
        <v>1015</v>
      </c>
      <c r="C1015" t="str">
        <f t="shared" si="25"/>
        <v/>
      </c>
    </row>
    <row r="1016" spans="1:3" hidden="1" x14ac:dyDescent="0.25">
      <c r="A1016">
        <v>1016</v>
      </c>
      <c r="C1016" t="str">
        <f t="shared" si="25"/>
        <v/>
      </c>
    </row>
    <row r="1017" spans="1:3" hidden="1" x14ac:dyDescent="0.25">
      <c r="A1017">
        <v>1017</v>
      </c>
      <c r="C1017" t="str">
        <f t="shared" si="25"/>
        <v/>
      </c>
    </row>
    <row r="1018" spans="1:3" hidden="1" x14ac:dyDescent="0.25">
      <c r="A1018">
        <v>1018</v>
      </c>
      <c r="C1018" t="str">
        <f t="shared" si="25"/>
        <v/>
      </c>
    </row>
    <row r="1019" spans="1:3" hidden="1" x14ac:dyDescent="0.25">
      <c r="A1019">
        <v>1019</v>
      </c>
      <c r="C1019" t="str">
        <f t="shared" si="25"/>
        <v/>
      </c>
    </row>
    <row r="1020" spans="1:3" hidden="1" x14ac:dyDescent="0.25">
      <c r="A1020">
        <v>1020</v>
      </c>
      <c r="C1020" t="str">
        <f t="shared" si="25"/>
        <v/>
      </c>
    </row>
    <row r="1021" spans="1:3" hidden="1" x14ac:dyDescent="0.25">
      <c r="A1021">
        <v>1021</v>
      </c>
      <c r="C1021" t="str">
        <f t="shared" si="25"/>
        <v/>
      </c>
    </row>
    <row r="1022" spans="1:3" hidden="1" x14ac:dyDescent="0.25">
      <c r="A1022">
        <v>1022</v>
      </c>
      <c r="C1022" t="str">
        <f t="shared" si="25"/>
        <v/>
      </c>
    </row>
    <row r="1023" spans="1:3" hidden="1" x14ac:dyDescent="0.25">
      <c r="A1023">
        <v>1023</v>
      </c>
      <c r="C1023" t="str">
        <f t="shared" si="25"/>
        <v/>
      </c>
    </row>
    <row r="1024" spans="1:3" hidden="1" x14ac:dyDescent="0.25">
      <c r="A1024">
        <v>1024</v>
      </c>
      <c r="C1024" t="str">
        <f t="shared" si="25"/>
        <v/>
      </c>
    </row>
    <row r="1025" spans="1:3" hidden="1" x14ac:dyDescent="0.25">
      <c r="A1025">
        <v>1025</v>
      </c>
      <c r="C1025" t="str">
        <f t="shared" si="25"/>
        <v/>
      </c>
    </row>
    <row r="1026" spans="1:3" hidden="1" x14ac:dyDescent="0.25">
      <c r="A1026">
        <v>1026</v>
      </c>
      <c r="C1026" t="str">
        <f t="shared" si="25"/>
        <v/>
      </c>
    </row>
    <row r="1027" spans="1:3" hidden="1" x14ac:dyDescent="0.25">
      <c r="A1027">
        <v>1027</v>
      </c>
      <c r="C1027" t="str">
        <f t="shared" ref="C1027:C1090" si="26">IF(B1027="ARTISZEE","Cardiología","")</f>
        <v/>
      </c>
    </row>
    <row r="1028" spans="1:3" hidden="1" x14ac:dyDescent="0.25">
      <c r="A1028">
        <v>1028</v>
      </c>
      <c r="C1028" t="str">
        <f t="shared" si="26"/>
        <v/>
      </c>
    </row>
    <row r="1029" spans="1:3" hidden="1" x14ac:dyDescent="0.25">
      <c r="A1029">
        <v>1029</v>
      </c>
      <c r="C1029" t="str">
        <f t="shared" si="26"/>
        <v/>
      </c>
    </row>
    <row r="1030" spans="1:3" hidden="1" x14ac:dyDescent="0.25">
      <c r="A1030">
        <v>1030</v>
      </c>
      <c r="C1030" t="str">
        <f t="shared" si="26"/>
        <v/>
      </c>
    </row>
    <row r="1031" spans="1:3" hidden="1" x14ac:dyDescent="0.25">
      <c r="A1031">
        <v>1031</v>
      </c>
      <c r="C1031" t="str">
        <f t="shared" si="26"/>
        <v/>
      </c>
    </row>
    <row r="1032" spans="1:3" hidden="1" x14ac:dyDescent="0.25">
      <c r="A1032">
        <v>1032</v>
      </c>
      <c r="C1032" t="str">
        <f t="shared" si="26"/>
        <v/>
      </c>
    </row>
    <row r="1033" spans="1:3" hidden="1" x14ac:dyDescent="0.25">
      <c r="A1033">
        <v>1033</v>
      </c>
      <c r="C1033" t="str">
        <f t="shared" si="26"/>
        <v/>
      </c>
    </row>
    <row r="1034" spans="1:3" hidden="1" x14ac:dyDescent="0.25">
      <c r="A1034">
        <v>1034</v>
      </c>
      <c r="C1034" t="str">
        <f t="shared" si="26"/>
        <v/>
      </c>
    </row>
    <row r="1035" spans="1:3" hidden="1" x14ac:dyDescent="0.25">
      <c r="A1035">
        <v>1035</v>
      </c>
      <c r="C1035" t="str">
        <f t="shared" si="26"/>
        <v/>
      </c>
    </row>
    <row r="1036" spans="1:3" hidden="1" x14ac:dyDescent="0.25">
      <c r="A1036">
        <v>1036</v>
      </c>
      <c r="C1036" t="str">
        <f t="shared" si="26"/>
        <v/>
      </c>
    </row>
    <row r="1037" spans="1:3" hidden="1" x14ac:dyDescent="0.25">
      <c r="A1037">
        <v>1037</v>
      </c>
      <c r="C1037" t="str">
        <f t="shared" si="26"/>
        <v/>
      </c>
    </row>
    <row r="1038" spans="1:3" hidden="1" x14ac:dyDescent="0.25">
      <c r="A1038">
        <v>1038</v>
      </c>
      <c r="C1038" t="str">
        <f t="shared" si="26"/>
        <v/>
      </c>
    </row>
    <row r="1039" spans="1:3" hidden="1" x14ac:dyDescent="0.25">
      <c r="A1039">
        <v>1039</v>
      </c>
      <c r="C1039" t="str">
        <f t="shared" si="26"/>
        <v/>
      </c>
    </row>
    <row r="1040" spans="1:3" hidden="1" x14ac:dyDescent="0.25">
      <c r="A1040">
        <v>1040</v>
      </c>
      <c r="C1040" t="str">
        <f t="shared" si="26"/>
        <v/>
      </c>
    </row>
    <row r="1041" spans="1:3" hidden="1" x14ac:dyDescent="0.25">
      <c r="A1041">
        <v>1041</v>
      </c>
      <c r="C1041" t="str">
        <f t="shared" si="26"/>
        <v/>
      </c>
    </row>
    <row r="1042" spans="1:3" hidden="1" x14ac:dyDescent="0.25">
      <c r="A1042">
        <v>1042</v>
      </c>
      <c r="C1042" t="str">
        <f t="shared" si="26"/>
        <v/>
      </c>
    </row>
    <row r="1043" spans="1:3" hidden="1" x14ac:dyDescent="0.25">
      <c r="A1043">
        <v>1043</v>
      </c>
      <c r="C1043" t="str">
        <f t="shared" si="26"/>
        <v/>
      </c>
    </row>
    <row r="1044" spans="1:3" hidden="1" x14ac:dyDescent="0.25">
      <c r="A1044">
        <v>1044</v>
      </c>
      <c r="C1044" t="str">
        <f t="shared" si="26"/>
        <v/>
      </c>
    </row>
    <row r="1045" spans="1:3" hidden="1" x14ac:dyDescent="0.25">
      <c r="A1045">
        <v>1045</v>
      </c>
      <c r="C1045" t="str">
        <f t="shared" si="26"/>
        <v/>
      </c>
    </row>
    <row r="1046" spans="1:3" hidden="1" x14ac:dyDescent="0.25">
      <c r="A1046">
        <v>1046</v>
      </c>
      <c r="C1046" t="str">
        <f t="shared" si="26"/>
        <v/>
      </c>
    </row>
    <row r="1047" spans="1:3" hidden="1" x14ac:dyDescent="0.25">
      <c r="A1047">
        <v>1047</v>
      </c>
      <c r="C1047" t="str">
        <f t="shared" si="26"/>
        <v/>
      </c>
    </row>
    <row r="1048" spans="1:3" hidden="1" x14ac:dyDescent="0.25">
      <c r="A1048">
        <v>1048</v>
      </c>
      <c r="C1048" t="str">
        <f t="shared" si="26"/>
        <v/>
      </c>
    </row>
    <row r="1049" spans="1:3" hidden="1" x14ac:dyDescent="0.25">
      <c r="A1049">
        <v>1049</v>
      </c>
      <c r="C1049" t="str">
        <f t="shared" si="26"/>
        <v/>
      </c>
    </row>
    <row r="1050" spans="1:3" hidden="1" x14ac:dyDescent="0.25">
      <c r="A1050">
        <v>1050</v>
      </c>
      <c r="C1050" t="str">
        <f t="shared" si="26"/>
        <v/>
      </c>
    </row>
    <row r="1051" spans="1:3" hidden="1" x14ac:dyDescent="0.25">
      <c r="A1051">
        <v>1051</v>
      </c>
      <c r="C1051" t="str">
        <f t="shared" si="26"/>
        <v/>
      </c>
    </row>
    <row r="1052" spans="1:3" hidden="1" x14ac:dyDescent="0.25">
      <c r="A1052">
        <v>1052</v>
      </c>
      <c r="C1052" t="str">
        <f t="shared" si="26"/>
        <v/>
      </c>
    </row>
    <row r="1053" spans="1:3" hidden="1" x14ac:dyDescent="0.25">
      <c r="A1053">
        <v>1053</v>
      </c>
      <c r="C1053" t="str">
        <f t="shared" si="26"/>
        <v/>
      </c>
    </row>
    <row r="1054" spans="1:3" hidden="1" x14ac:dyDescent="0.25">
      <c r="A1054">
        <v>1054</v>
      </c>
      <c r="C1054" t="str">
        <f t="shared" si="26"/>
        <v/>
      </c>
    </row>
    <row r="1055" spans="1:3" hidden="1" x14ac:dyDescent="0.25">
      <c r="A1055">
        <v>1055</v>
      </c>
      <c r="C1055" t="str">
        <f t="shared" si="26"/>
        <v/>
      </c>
    </row>
    <row r="1056" spans="1:3" hidden="1" x14ac:dyDescent="0.25">
      <c r="A1056">
        <v>1056</v>
      </c>
      <c r="C1056" t="str">
        <f t="shared" si="26"/>
        <v/>
      </c>
    </row>
    <row r="1057" spans="1:3" hidden="1" x14ac:dyDescent="0.25">
      <c r="A1057">
        <v>1057</v>
      </c>
      <c r="C1057" t="str">
        <f t="shared" si="26"/>
        <v/>
      </c>
    </row>
    <row r="1058" spans="1:3" hidden="1" x14ac:dyDescent="0.25">
      <c r="A1058">
        <v>1058</v>
      </c>
      <c r="C1058" t="str">
        <f t="shared" si="26"/>
        <v/>
      </c>
    </row>
    <row r="1059" spans="1:3" hidden="1" x14ac:dyDescent="0.25">
      <c r="A1059">
        <v>1059</v>
      </c>
      <c r="C1059" t="str">
        <f t="shared" si="26"/>
        <v/>
      </c>
    </row>
    <row r="1060" spans="1:3" hidden="1" x14ac:dyDescent="0.25">
      <c r="A1060">
        <v>1060</v>
      </c>
      <c r="C1060" t="str">
        <f t="shared" si="26"/>
        <v/>
      </c>
    </row>
    <row r="1061" spans="1:3" hidden="1" x14ac:dyDescent="0.25">
      <c r="A1061">
        <v>1061</v>
      </c>
      <c r="C1061" t="str">
        <f t="shared" si="26"/>
        <v/>
      </c>
    </row>
    <row r="1062" spans="1:3" hidden="1" x14ac:dyDescent="0.25">
      <c r="A1062">
        <v>1062</v>
      </c>
      <c r="C1062" t="str">
        <f t="shared" si="26"/>
        <v/>
      </c>
    </row>
    <row r="1063" spans="1:3" hidden="1" x14ac:dyDescent="0.25">
      <c r="A1063">
        <v>1063</v>
      </c>
      <c r="C1063" t="str">
        <f t="shared" si="26"/>
        <v/>
      </c>
    </row>
    <row r="1064" spans="1:3" hidden="1" x14ac:dyDescent="0.25">
      <c r="A1064">
        <v>1064</v>
      </c>
      <c r="C1064" t="str">
        <f t="shared" si="26"/>
        <v/>
      </c>
    </row>
    <row r="1065" spans="1:3" hidden="1" x14ac:dyDescent="0.25">
      <c r="A1065">
        <v>1065</v>
      </c>
      <c r="C1065" t="str">
        <f t="shared" si="26"/>
        <v/>
      </c>
    </row>
    <row r="1066" spans="1:3" hidden="1" x14ac:dyDescent="0.25">
      <c r="A1066">
        <v>1066</v>
      </c>
      <c r="C1066" t="str">
        <f t="shared" si="26"/>
        <v/>
      </c>
    </row>
    <row r="1067" spans="1:3" hidden="1" x14ac:dyDescent="0.25">
      <c r="A1067">
        <v>1067</v>
      </c>
      <c r="C1067" t="str">
        <f t="shared" si="26"/>
        <v/>
      </c>
    </row>
    <row r="1068" spans="1:3" hidden="1" x14ac:dyDescent="0.25">
      <c r="A1068">
        <v>1068</v>
      </c>
      <c r="C1068" t="str">
        <f t="shared" si="26"/>
        <v/>
      </c>
    </row>
    <row r="1069" spans="1:3" hidden="1" x14ac:dyDescent="0.25">
      <c r="A1069">
        <v>1069</v>
      </c>
      <c r="C1069" t="str">
        <f t="shared" si="26"/>
        <v/>
      </c>
    </row>
    <row r="1070" spans="1:3" hidden="1" x14ac:dyDescent="0.25">
      <c r="A1070">
        <v>1070</v>
      </c>
      <c r="C1070" t="str">
        <f t="shared" si="26"/>
        <v/>
      </c>
    </row>
    <row r="1071" spans="1:3" hidden="1" x14ac:dyDescent="0.25">
      <c r="A1071">
        <v>1071</v>
      </c>
      <c r="C1071" t="str">
        <f t="shared" si="26"/>
        <v/>
      </c>
    </row>
    <row r="1072" spans="1:3" hidden="1" x14ac:dyDescent="0.25">
      <c r="A1072">
        <v>1072</v>
      </c>
      <c r="C1072" t="str">
        <f t="shared" si="26"/>
        <v/>
      </c>
    </row>
    <row r="1073" spans="1:3" hidden="1" x14ac:dyDescent="0.25">
      <c r="A1073">
        <v>1073</v>
      </c>
      <c r="C1073" t="str">
        <f t="shared" si="26"/>
        <v/>
      </c>
    </row>
    <row r="1074" spans="1:3" hidden="1" x14ac:dyDescent="0.25">
      <c r="A1074">
        <v>1074</v>
      </c>
      <c r="C1074" t="str">
        <f t="shared" si="26"/>
        <v/>
      </c>
    </row>
    <row r="1075" spans="1:3" hidden="1" x14ac:dyDescent="0.25">
      <c r="A1075">
        <v>1075</v>
      </c>
      <c r="C1075" t="str">
        <f t="shared" si="26"/>
        <v/>
      </c>
    </row>
    <row r="1076" spans="1:3" hidden="1" x14ac:dyDescent="0.25">
      <c r="A1076">
        <v>1076</v>
      </c>
      <c r="C1076" t="str">
        <f t="shared" si="26"/>
        <v/>
      </c>
    </row>
    <row r="1077" spans="1:3" hidden="1" x14ac:dyDescent="0.25">
      <c r="A1077">
        <v>1077</v>
      </c>
      <c r="C1077" t="str">
        <f t="shared" si="26"/>
        <v/>
      </c>
    </row>
    <row r="1078" spans="1:3" hidden="1" x14ac:dyDescent="0.25">
      <c r="A1078">
        <v>1078</v>
      </c>
      <c r="C1078" t="str">
        <f t="shared" si="26"/>
        <v/>
      </c>
    </row>
    <row r="1079" spans="1:3" hidden="1" x14ac:dyDescent="0.25">
      <c r="A1079">
        <v>1079</v>
      </c>
      <c r="C1079" t="str">
        <f t="shared" si="26"/>
        <v/>
      </c>
    </row>
    <row r="1080" spans="1:3" hidden="1" x14ac:dyDescent="0.25">
      <c r="A1080">
        <v>1080</v>
      </c>
      <c r="C1080" t="str">
        <f t="shared" si="26"/>
        <v/>
      </c>
    </row>
    <row r="1081" spans="1:3" hidden="1" x14ac:dyDescent="0.25">
      <c r="A1081">
        <v>1081</v>
      </c>
      <c r="C1081" t="str">
        <f t="shared" si="26"/>
        <v/>
      </c>
    </row>
    <row r="1082" spans="1:3" hidden="1" x14ac:dyDescent="0.25">
      <c r="A1082">
        <v>1082</v>
      </c>
      <c r="C1082" t="str">
        <f t="shared" si="26"/>
        <v/>
      </c>
    </row>
    <row r="1083" spans="1:3" hidden="1" x14ac:dyDescent="0.25">
      <c r="A1083">
        <v>1083</v>
      </c>
      <c r="C1083" t="str">
        <f t="shared" si="26"/>
        <v/>
      </c>
    </row>
    <row r="1084" spans="1:3" hidden="1" x14ac:dyDescent="0.25">
      <c r="A1084">
        <v>1084</v>
      </c>
      <c r="C1084" t="str">
        <f t="shared" si="26"/>
        <v/>
      </c>
    </row>
    <row r="1085" spans="1:3" hidden="1" x14ac:dyDescent="0.25">
      <c r="A1085">
        <v>1085</v>
      </c>
      <c r="C1085" t="str">
        <f t="shared" si="26"/>
        <v/>
      </c>
    </row>
    <row r="1086" spans="1:3" hidden="1" x14ac:dyDescent="0.25">
      <c r="A1086">
        <v>1086</v>
      </c>
      <c r="C1086" t="str">
        <f t="shared" si="26"/>
        <v/>
      </c>
    </row>
    <row r="1087" spans="1:3" hidden="1" x14ac:dyDescent="0.25">
      <c r="A1087">
        <v>1087</v>
      </c>
      <c r="C1087" t="str">
        <f t="shared" si="26"/>
        <v/>
      </c>
    </row>
    <row r="1088" spans="1:3" hidden="1" x14ac:dyDescent="0.25">
      <c r="A1088">
        <v>1088</v>
      </c>
      <c r="C1088" t="str">
        <f t="shared" si="26"/>
        <v/>
      </c>
    </row>
    <row r="1089" spans="1:3" hidden="1" x14ac:dyDescent="0.25">
      <c r="A1089">
        <v>1089</v>
      </c>
      <c r="C1089" t="str">
        <f t="shared" si="26"/>
        <v/>
      </c>
    </row>
    <row r="1090" spans="1:3" hidden="1" x14ac:dyDescent="0.25">
      <c r="A1090">
        <v>1090</v>
      </c>
      <c r="C1090" t="str">
        <f t="shared" si="26"/>
        <v/>
      </c>
    </row>
    <row r="1091" spans="1:3" hidden="1" x14ac:dyDescent="0.25">
      <c r="A1091">
        <v>1091</v>
      </c>
      <c r="C1091" t="str">
        <f t="shared" ref="C1091:C1154" si="27">IF(B1091="ARTISZEE","Cardiología","")</f>
        <v/>
      </c>
    </row>
    <row r="1092" spans="1:3" hidden="1" x14ac:dyDescent="0.25">
      <c r="A1092">
        <v>1092</v>
      </c>
      <c r="C1092" t="str">
        <f t="shared" si="27"/>
        <v/>
      </c>
    </row>
    <row r="1093" spans="1:3" hidden="1" x14ac:dyDescent="0.25">
      <c r="A1093">
        <v>1093</v>
      </c>
      <c r="C1093" t="str">
        <f t="shared" si="27"/>
        <v/>
      </c>
    </row>
    <row r="1094" spans="1:3" hidden="1" x14ac:dyDescent="0.25">
      <c r="A1094">
        <v>1094</v>
      </c>
      <c r="C1094" t="str">
        <f t="shared" si="27"/>
        <v/>
      </c>
    </row>
    <row r="1095" spans="1:3" hidden="1" x14ac:dyDescent="0.25">
      <c r="A1095">
        <v>1095</v>
      </c>
      <c r="C1095" t="str">
        <f t="shared" si="27"/>
        <v/>
      </c>
    </row>
    <row r="1096" spans="1:3" hidden="1" x14ac:dyDescent="0.25">
      <c r="A1096">
        <v>1096</v>
      </c>
      <c r="C1096" t="str">
        <f t="shared" si="27"/>
        <v/>
      </c>
    </row>
    <row r="1097" spans="1:3" hidden="1" x14ac:dyDescent="0.25">
      <c r="A1097">
        <v>1097</v>
      </c>
      <c r="C1097" t="str">
        <f t="shared" si="27"/>
        <v/>
      </c>
    </row>
    <row r="1098" spans="1:3" hidden="1" x14ac:dyDescent="0.25">
      <c r="A1098">
        <v>1098</v>
      </c>
      <c r="C1098" t="str">
        <f t="shared" si="27"/>
        <v/>
      </c>
    </row>
    <row r="1099" spans="1:3" hidden="1" x14ac:dyDescent="0.25">
      <c r="A1099">
        <v>1099</v>
      </c>
      <c r="C1099" t="str">
        <f t="shared" si="27"/>
        <v/>
      </c>
    </row>
    <row r="1100" spans="1:3" hidden="1" x14ac:dyDescent="0.25">
      <c r="A1100">
        <v>1100</v>
      </c>
      <c r="C1100" t="str">
        <f t="shared" si="27"/>
        <v/>
      </c>
    </row>
    <row r="1101" spans="1:3" hidden="1" x14ac:dyDescent="0.25">
      <c r="A1101">
        <v>1101</v>
      </c>
      <c r="C1101" t="str">
        <f t="shared" si="27"/>
        <v/>
      </c>
    </row>
    <row r="1102" spans="1:3" hidden="1" x14ac:dyDescent="0.25">
      <c r="A1102">
        <v>1102</v>
      </c>
      <c r="C1102" t="str">
        <f t="shared" si="27"/>
        <v/>
      </c>
    </row>
    <row r="1103" spans="1:3" hidden="1" x14ac:dyDescent="0.25">
      <c r="A1103">
        <v>1103</v>
      </c>
      <c r="C1103" t="str">
        <f t="shared" si="27"/>
        <v/>
      </c>
    </row>
    <row r="1104" spans="1:3" hidden="1" x14ac:dyDescent="0.25">
      <c r="A1104">
        <v>1104</v>
      </c>
      <c r="C1104" t="str">
        <f t="shared" si="27"/>
        <v/>
      </c>
    </row>
    <row r="1105" spans="1:3" hidden="1" x14ac:dyDescent="0.25">
      <c r="A1105">
        <v>1105</v>
      </c>
      <c r="C1105" t="str">
        <f t="shared" si="27"/>
        <v/>
      </c>
    </row>
    <row r="1106" spans="1:3" hidden="1" x14ac:dyDescent="0.25">
      <c r="A1106">
        <v>1106</v>
      </c>
      <c r="C1106" t="str">
        <f t="shared" si="27"/>
        <v/>
      </c>
    </row>
    <row r="1107" spans="1:3" hidden="1" x14ac:dyDescent="0.25">
      <c r="A1107">
        <v>1107</v>
      </c>
      <c r="C1107" t="str">
        <f t="shared" si="27"/>
        <v/>
      </c>
    </row>
    <row r="1108" spans="1:3" hidden="1" x14ac:dyDescent="0.25">
      <c r="A1108">
        <v>1108</v>
      </c>
      <c r="C1108" t="str">
        <f t="shared" si="27"/>
        <v/>
      </c>
    </row>
    <row r="1109" spans="1:3" hidden="1" x14ac:dyDescent="0.25">
      <c r="A1109">
        <v>1109</v>
      </c>
      <c r="C1109" t="str">
        <f t="shared" si="27"/>
        <v/>
      </c>
    </row>
    <row r="1110" spans="1:3" hidden="1" x14ac:dyDescent="0.25">
      <c r="A1110">
        <v>1110</v>
      </c>
      <c r="C1110" t="str">
        <f t="shared" si="27"/>
        <v/>
      </c>
    </row>
    <row r="1111" spans="1:3" hidden="1" x14ac:dyDescent="0.25">
      <c r="A1111">
        <v>1111</v>
      </c>
      <c r="C1111" t="str">
        <f t="shared" si="27"/>
        <v/>
      </c>
    </row>
    <row r="1112" spans="1:3" hidden="1" x14ac:dyDescent="0.25">
      <c r="A1112">
        <v>1112</v>
      </c>
      <c r="C1112" t="str">
        <f t="shared" si="27"/>
        <v/>
      </c>
    </row>
    <row r="1113" spans="1:3" hidden="1" x14ac:dyDescent="0.25">
      <c r="A1113">
        <v>1113</v>
      </c>
      <c r="C1113" t="str">
        <f t="shared" si="27"/>
        <v/>
      </c>
    </row>
    <row r="1114" spans="1:3" hidden="1" x14ac:dyDescent="0.25">
      <c r="A1114">
        <v>1114</v>
      </c>
      <c r="C1114" t="str">
        <f t="shared" si="27"/>
        <v/>
      </c>
    </row>
    <row r="1115" spans="1:3" hidden="1" x14ac:dyDescent="0.25">
      <c r="A1115">
        <v>1115</v>
      </c>
      <c r="C1115" t="str">
        <f t="shared" si="27"/>
        <v/>
      </c>
    </row>
    <row r="1116" spans="1:3" hidden="1" x14ac:dyDescent="0.25">
      <c r="A1116">
        <v>1116</v>
      </c>
      <c r="C1116" t="str">
        <f t="shared" si="27"/>
        <v/>
      </c>
    </row>
    <row r="1117" spans="1:3" hidden="1" x14ac:dyDescent="0.25">
      <c r="A1117">
        <v>1117</v>
      </c>
      <c r="C1117" t="str">
        <f t="shared" si="27"/>
        <v/>
      </c>
    </row>
    <row r="1118" spans="1:3" hidden="1" x14ac:dyDescent="0.25">
      <c r="A1118">
        <v>1118</v>
      </c>
      <c r="C1118" t="str">
        <f t="shared" si="27"/>
        <v/>
      </c>
    </row>
    <row r="1119" spans="1:3" hidden="1" x14ac:dyDescent="0.25">
      <c r="A1119">
        <v>1119</v>
      </c>
      <c r="C1119" t="str">
        <f t="shared" si="27"/>
        <v/>
      </c>
    </row>
    <row r="1120" spans="1:3" hidden="1" x14ac:dyDescent="0.25">
      <c r="A1120">
        <v>1120</v>
      </c>
      <c r="C1120" t="str">
        <f t="shared" si="27"/>
        <v/>
      </c>
    </row>
    <row r="1121" spans="1:3" hidden="1" x14ac:dyDescent="0.25">
      <c r="A1121">
        <v>1121</v>
      </c>
      <c r="C1121" t="str">
        <f t="shared" si="27"/>
        <v/>
      </c>
    </row>
    <row r="1122" spans="1:3" hidden="1" x14ac:dyDescent="0.25">
      <c r="A1122">
        <v>1122</v>
      </c>
      <c r="C1122" t="str">
        <f t="shared" si="27"/>
        <v/>
      </c>
    </row>
    <row r="1123" spans="1:3" hidden="1" x14ac:dyDescent="0.25">
      <c r="A1123">
        <v>1123</v>
      </c>
      <c r="C1123" t="str">
        <f t="shared" si="27"/>
        <v/>
      </c>
    </row>
    <row r="1124" spans="1:3" hidden="1" x14ac:dyDescent="0.25">
      <c r="A1124">
        <v>1124</v>
      </c>
      <c r="C1124" t="str">
        <f t="shared" si="27"/>
        <v/>
      </c>
    </row>
    <row r="1125" spans="1:3" hidden="1" x14ac:dyDescent="0.25">
      <c r="A1125">
        <v>1125</v>
      </c>
      <c r="C1125" t="str">
        <f t="shared" si="27"/>
        <v/>
      </c>
    </row>
    <row r="1126" spans="1:3" hidden="1" x14ac:dyDescent="0.25">
      <c r="A1126">
        <v>1126</v>
      </c>
      <c r="C1126" t="str">
        <f t="shared" si="27"/>
        <v/>
      </c>
    </row>
    <row r="1127" spans="1:3" hidden="1" x14ac:dyDescent="0.25">
      <c r="A1127">
        <v>1127</v>
      </c>
      <c r="C1127" t="str">
        <f t="shared" si="27"/>
        <v/>
      </c>
    </row>
    <row r="1128" spans="1:3" hidden="1" x14ac:dyDescent="0.25">
      <c r="A1128">
        <v>1128</v>
      </c>
      <c r="C1128" t="str">
        <f t="shared" si="27"/>
        <v/>
      </c>
    </row>
    <row r="1129" spans="1:3" hidden="1" x14ac:dyDescent="0.25">
      <c r="A1129">
        <v>1129</v>
      </c>
      <c r="C1129" t="str">
        <f t="shared" si="27"/>
        <v/>
      </c>
    </row>
    <row r="1130" spans="1:3" hidden="1" x14ac:dyDescent="0.25">
      <c r="A1130">
        <v>1130</v>
      </c>
      <c r="C1130" t="str">
        <f t="shared" si="27"/>
        <v/>
      </c>
    </row>
    <row r="1131" spans="1:3" hidden="1" x14ac:dyDescent="0.25">
      <c r="A1131">
        <v>1131</v>
      </c>
      <c r="C1131" t="str">
        <f t="shared" si="27"/>
        <v/>
      </c>
    </row>
    <row r="1132" spans="1:3" hidden="1" x14ac:dyDescent="0.25">
      <c r="A1132">
        <v>1132</v>
      </c>
      <c r="C1132" t="str">
        <f t="shared" si="27"/>
        <v/>
      </c>
    </row>
    <row r="1133" spans="1:3" hidden="1" x14ac:dyDescent="0.25">
      <c r="A1133">
        <v>1133</v>
      </c>
      <c r="C1133" t="str">
        <f t="shared" si="27"/>
        <v/>
      </c>
    </row>
    <row r="1134" spans="1:3" hidden="1" x14ac:dyDescent="0.25">
      <c r="A1134">
        <v>1134</v>
      </c>
      <c r="C1134" t="str">
        <f t="shared" si="27"/>
        <v/>
      </c>
    </row>
    <row r="1135" spans="1:3" hidden="1" x14ac:dyDescent="0.25">
      <c r="A1135">
        <v>1135</v>
      </c>
      <c r="C1135" t="str">
        <f t="shared" si="27"/>
        <v/>
      </c>
    </row>
    <row r="1136" spans="1:3" hidden="1" x14ac:dyDescent="0.25">
      <c r="A1136">
        <v>1136</v>
      </c>
      <c r="C1136" t="str">
        <f t="shared" si="27"/>
        <v/>
      </c>
    </row>
    <row r="1137" spans="1:3" hidden="1" x14ac:dyDescent="0.25">
      <c r="A1137">
        <v>1137</v>
      </c>
      <c r="C1137" t="str">
        <f t="shared" si="27"/>
        <v/>
      </c>
    </row>
    <row r="1138" spans="1:3" hidden="1" x14ac:dyDescent="0.25">
      <c r="A1138">
        <v>1138</v>
      </c>
      <c r="C1138" t="str">
        <f t="shared" si="27"/>
        <v/>
      </c>
    </row>
    <row r="1139" spans="1:3" hidden="1" x14ac:dyDescent="0.25">
      <c r="A1139">
        <v>1139</v>
      </c>
      <c r="C1139" t="str">
        <f t="shared" si="27"/>
        <v/>
      </c>
    </row>
    <row r="1140" spans="1:3" hidden="1" x14ac:dyDescent="0.25">
      <c r="A1140">
        <v>1140</v>
      </c>
      <c r="C1140" t="str">
        <f t="shared" si="27"/>
        <v/>
      </c>
    </row>
    <row r="1141" spans="1:3" hidden="1" x14ac:dyDescent="0.25">
      <c r="A1141">
        <v>1141</v>
      </c>
      <c r="C1141" t="str">
        <f t="shared" si="27"/>
        <v/>
      </c>
    </row>
    <row r="1142" spans="1:3" hidden="1" x14ac:dyDescent="0.25">
      <c r="A1142">
        <v>1142</v>
      </c>
      <c r="C1142" t="str">
        <f t="shared" si="27"/>
        <v/>
      </c>
    </row>
    <row r="1143" spans="1:3" hidden="1" x14ac:dyDescent="0.25">
      <c r="A1143">
        <v>1143</v>
      </c>
      <c r="C1143" t="str">
        <f t="shared" si="27"/>
        <v/>
      </c>
    </row>
    <row r="1144" spans="1:3" hidden="1" x14ac:dyDescent="0.25">
      <c r="A1144">
        <v>1144</v>
      </c>
      <c r="C1144" t="str">
        <f t="shared" si="27"/>
        <v/>
      </c>
    </row>
    <row r="1145" spans="1:3" hidden="1" x14ac:dyDescent="0.25">
      <c r="A1145">
        <v>1145</v>
      </c>
      <c r="C1145" t="str">
        <f t="shared" si="27"/>
        <v/>
      </c>
    </row>
    <row r="1146" spans="1:3" hidden="1" x14ac:dyDescent="0.25">
      <c r="A1146">
        <v>1146</v>
      </c>
      <c r="C1146" t="str">
        <f t="shared" si="27"/>
        <v/>
      </c>
    </row>
    <row r="1147" spans="1:3" hidden="1" x14ac:dyDescent="0.25">
      <c r="A1147">
        <v>1147</v>
      </c>
      <c r="C1147" t="str">
        <f t="shared" si="27"/>
        <v/>
      </c>
    </row>
    <row r="1148" spans="1:3" hidden="1" x14ac:dyDescent="0.25">
      <c r="A1148">
        <v>1148</v>
      </c>
      <c r="C1148" t="str">
        <f t="shared" si="27"/>
        <v/>
      </c>
    </row>
    <row r="1149" spans="1:3" hidden="1" x14ac:dyDescent="0.25">
      <c r="A1149">
        <v>1149</v>
      </c>
      <c r="C1149" t="str">
        <f t="shared" si="27"/>
        <v/>
      </c>
    </row>
    <row r="1150" spans="1:3" hidden="1" x14ac:dyDescent="0.25">
      <c r="A1150">
        <v>1150</v>
      </c>
      <c r="C1150" t="str">
        <f t="shared" si="27"/>
        <v/>
      </c>
    </row>
    <row r="1151" spans="1:3" hidden="1" x14ac:dyDescent="0.25">
      <c r="A1151">
        <v>1151</v>
      </c>
      <c r="C1151" t="str">
        <f t="shared" si="27"/>
        <v/>
      </c>
    </row>
    <row r="1152" spans="1:3" hidden="1" x14ac:dyDescent="0.25">
      <c r="A1152">
        <v>1152</v>
      </c>
      <c r="C1152" t="str">
        <f t="shared" si="27"/>
        <v/>
      </c>
    </row>
    <row r="1153" spans="1:3" hidden="1" x14ac:dyDescent="0.25">
      <c r="A1153">
        <v>1153</v>
      </c>
      <c r="C1153" t="str">
        <f t="shared" si="27"/>
        <v/>
      </c>
    </row>
    <row r="1154" spans="1:3" hidden="1" x14ac:dyDescent="0.25">
      <c r="A1154">
        <v>1154</v>
      </c>
      <c r="C1154" t="str">
        <f t="shared" si="27"/>
        <v/>
      </c>
    </row>
    <row r="1155" spans="1:3" hidden="1" x14ac:dyDescent="0.25">
      <c r="A1155">
        <v>1155</v>
      </c>
      <c r="C1155" t="str">
        <f t="shared" ref="C1155:C1218" si="28">IF(B1155="ARTISZEE","Cardiología","")</f>
        <v/>
      </c>
    </row>
    <row r="1156" spans="1:3" hidden="1" x14ac:dyDescent="0.25">
      <c r="A1156">
        <v>1156</v>
      </c>
      <c r="C1156" t="str">
        <f t="shared" si="28"/>
        <v/>
      </c>
    </row>
    <row r="1157" spans="1:3" hidden="1" x14ac:dyDescent="0.25">
      <c r="A1157">
        <v>1157</v>
      </c>
      <c r="C1157" t="str">
        <f t="shared" si="28"/>
        <v/>
      </c>
    </row>
    <row r="1158" spans="1:3" hidden="1" x14ac:dyDescent="0.25">
      <c r="A1158">
        <v>1158</v>
      </c>
      <c r="C1158" t="str">
        <f t="shared" si="28"/>
        <v/>
      </c>
    </row>
    <row r="1159" spans="1:3" hidden="1" x14ac:dyDescent="0.25">
      <c r="A1159">
        <v>1159</v>
      </c>
      <c r="C1159" t="str">
        <f t="shared" si="28"/>
        <v/>
      </c>
    </row>
    <row r="1160" spans="1:3" hidden="1" x14ac:dyDescent="0.25">
      <c r="A1160">
        <v>1160</v>
      </c>
      <c r="C1160" t="str">
        <f t="shared" si="28"/>
        <v/>
      </c>
    </row>
    <row r="1161" spans="1:3" hidden="1" x14ac:dyDescent="0.25">
      <c r="A1161">
        <v>1161</v>
      </c>
      <c r="C1161" t="str">
        <f t="shared" si="28"/>
        <v/>
      </c>
    </row>
    <row r="1162" spans="1:3" hidden="1" x14ac:dyDescent="0.25">
      <c r="A1162">
        <v>1162</v>
      </c>
      <c r="C1162" t="str">
        <f t="shared" si="28"/>
        <v/>
      </c>
    </row>
    <row r="1163" spans="1:3" hidden="1" x14ac:dyDescent="0.25">
      <c r="A1163">
        <v>1163</v>
      </c>
      <c r="C1163" t="str">
        <f t="shared" si="28"/>
        <v/>
      </c>
    </row>
    <row r="1164" spans="1:3" hidden="1" x14ac:dyDescent="0.25">
      <c r="A1164">
        <v>1164</v>
      </c>
      <c r="C1164" t="str">
        <f t="shared" si="28"/>
        <v/>
      </c>
    </row>
    <row r="1165" spans="1:3" hidden="1" x14ac:dyDescent="0.25">
      <c r="A1165">
        <v>1165</v>
      </c>
      <c r="C1165" t="str">
        <f t="shared" si="28"/>
        <v/>
      </c>
    </row>
    <row r="1166" spans="1:3" hidden="1" x14ac:dyDescent="0.25">
      <c r="A1166">
        <v>1166</v>
      </c>
      <c r="C1166" t="str">
        <f t="shared" si="28"/>
        <v/>
      </c>
    </row>
    <row r="1167" spans="1:3" hidden="1" x14ac:dyDescent="0.25">
      <c r="A1167">
        <v>1167</v>
      </c>
      <c r="C1167" t="str">
        <f t="shared" si="28"/>
        <v/>
      </c>
    </row>
    <row r="1168" spans="1:3" hidden="1" x14ac:dyDescent="0.25">
      <c r="A1168">
        <v>1168</v>
      </c>
      <c r="C1168" t="str">
        <f t="shared" si="28"/>
        <v/>
      </c>
    </row>
    <row r="1169" spans="1:3" hidden="1" x14ac:dyDescent="0.25">
      <c r="A1169">
        <v>1169</v>
      </c>
      <c r="C1169" t="str">
        <f t="shared" si="28"/>
        <v/>
      </c>
    </row>
    <row r="1170" spans="1:3" hidden="1" x14ac:dyDescent="0.25">
      <c r="A1170">
        <v>1170</v>
      </c>
      <c r="C1170" t="str">
        <f t="shared" si="28"/>
        <v/>
      </c>
    </row>
    <row r="1171" spans="1:3" hidden="1" x14ac:dyDescent="0.25">
      <c r="A1171">
        <v>1171</v>
      </c>
      <c r="C1171" t="str">
        <f t="shared" si="28"/>
        <v/>
      </c>
    </row>
    <row r="1172" spans="1:3" hidden="1" x14ac:dyDescent="0.25">
      <c r="A1172">
        <v>1172</v>
      </c>
      <c r="C1172" t="str">
        <f t="shared" si="28"/>
        <v/>
      </c>
    </row>
    <row r="1173" spans="1:3" hidden="1" x14ac:dyDescent="0.25">
      <c r="A1173">
        <v>1173</v>
      </c>
      <c r="C1173" t="str">
        <f t="shared" si="28"/>
        <v/>
      </c>
    </row>
    <row r="1174" spans="1:3" hidden="1" x14ac:dyDescent="0.25">
      <c r="A1174">
        <v>1174</v>
      </c>
      <c r="C1174" t="str">
        <f t="shared" si="28"/>
        <v/>
      </c>
    </row>
    <row r="1175" spans="1:3" hidden="1" x14ac:dyDescent="0.25">
      <c r="A1175">
        <v>1175</v>
      </c>
      <c r="C1175" t="str">
        <f t="shared" si="28"/>
        <v/>
      </c>
    </row>
    <row r="1176" spans="1:3" hidden="1" x14ac:dyDescent="0.25">
      <c r="A1176">
        <v>1176</v>
      </c>
      <c r="C1176" t="str">
        <f t="shared" si="28"/>
        <v/>
      </c>
    </row>
    <row r="1177" spans="1:3" hidden="1" x14ac:dyDescent="0.25">
      <c r="A1177">
        <v>1177</v>
      </c>
      <c r="C1177" t="str">
        <f t="shared" si="28"/>
        <v/>
      </c>
    </row>
    <row r="1178" spans="1:3" hidden="1" x14ac:dyDescent="0.25">
      <c r="A1178">
        <v>1178</v>
      </c>
      <c r="C1178" t="str">
        <f t="shared" si="28"/>
        <v/>
      </c>
    </row>
    <row r="1179" spans="1:3" hidden="1" x14ac:dyDescent="0.25">
      <c r="A1179">
        <v>1179</v>
      </c>
      <c r="C1179" t="str">
        <f t="shared" si="28"/>
        <v/>
      </c>
    </row>
    <row r="1180" spans="1:3" hidden="1" x14ac:dyDescent="0.25">
      <c r="A1180">
        <v>1180</v>
      </c>
      <c r="C1180" t="str">
        <f t="shared" si="28"/>
        <v/>
      </c>
    </row>
    <row r="1181" spans="1:3" hidden="1" x14ac:dyDescent="0.25">
      <c r="A1181">
        <v>1181</v>
      </c>
      <c r="C1181" t="str">
        <f t="shared" si="28"/>
        <v/>
      </c>
    </row>
    <row r="1182" spans="1:3" hidden="1" x14ac:dyDescent="0.25">
      <c r="A1182">
        <v>1182</v>
      </c>
      <c r="C1182" t="str">
        <f t="shared" si="28"/>
        <v/>
      </c>
    </row>
    <row r="1183" spans="1:3" hidden="1" x14ac:dyDescent="0.25">
      <c r="A1183">
        <v>1183</v>
      </c>
      <c r="C1183" t="str">
        <f t="shared" si="28"/>
        <v/>
      </c>
    </row>
    <row r="1184" spans="1:3" hidden="1" x14ac:dyDescent="0.25">
      <c r="A1184">
        <v>1184</v>
      </c>
      <c r="C1184" t="str">
        <f t="shared" si="28"/>
        <v/>
      </c>
    </row>
    <row r="1185" spans="1:3" hidden="1" x14ac:dyDescent="0.25">
      <c r="A1185">
        <v>1185</v>
      </c>
      <c r="C1185" t="str">
        <f t="shared" si="28"/>
        <v/>
      </c>
    </row>
    <row r="1186" spans="1:3" hidden="1" x14ac:dyDescent="0.25">
      <c r="A1186">
        <v>1186</v>
      </c>
      <c r="C1186" t="str">
        <f t="shared" si="28"/>
        <v/>
      </c>
    </row>
    <row r="1187" spans="1:3" hidden="1" x14ac:dyDescent="0.25">
      <c r="A1187">
        <v>1187</v>
      </c>
      <c r="C1187" t="str">
        <f t="shared" si="28"/>
        <v/>
      </c>
    </row>
    <row r="1188" spans="1:3" hidden="1" x14ac:dyDescent="0.25">
      <c r="A1188">
        <v>1188</v>
      </c>
      <c r="C1188" t="str">
        <f t="shared" si="28"/>
        <v/>
      </c>
    </row>
    <row r="1189" spans="1:3" hidden="1" x14ac:dyDescent="0.25">
      <c r="A1189">
        <v>1189</v>
      </c>
      <c r="C1189" t="str">
        <f t="shared" si="28"/>
        <v/>
      </c>
    </row>
    <row r="1190" spans="1:3" hidden="1" x14ac:dyDescent="0.25">
      <c r="A1190">
        <v>1190</v>
      </c>
      <c r="C1190" t="str">
        <f t="shared" si="28"/>
        <v/>
      </c>
    </row>
    <row r="1191" spans="1:3" hidden="1" x14ac:dyDescent="0.25">
      <c r="A1191">
        <v>1191</v>
      </c>
      <c r="C1191" t="str">
        <f t="shared" si="28"/>
        <v/>
      </c>
    </row>
    <row r="1192" spans="1:3" hidden="1" x14ac:dyDescent="0.25">
      <c r="A1192">
        <v>1192</v>
      </c>
      <c r="C1192" t="str">
        <f t="shared" si="28"/>
        <v/>
      </c>
    </row>
    <row r="1193" spans="1:3" hidden="1" x14ac:dyDescent="0.25">
      <c r="A1193">
        <v>1193</v>
      </c>
      <c r="C1193" t="str">
        <f t="shared" si="28"/>
        <v/>
      </c>
    </row>
    <row r="1194" spans="1:3" hidden="1" x14ac:dyDescent="0.25">
      <c r="A1194">
        <v>1194</v>
      </c>
      <c r="C1194" t="str">
        <f t="shared" si="28"/>
        <v/>
      </c>
    </row>
    <row r="1195" spans="1:3" hidden="1" x14ac:dyDescent="0.25">
      <c r="A1195">
        <v>1195</v>
      </c>
      <c r="C1195" t="str">
        <f t="shared" si="28"/>
        <v/>
      </c>
    </row>
    <row r="1196" spans="1:3" hidden="1" x14ac:dyDescent="0.25">
      <c r="A1196">
        <v>1196</v>
      </c>
      <c r="C1196" t="str">
        <f t="shared" si="28"/>
        <v/>
      </c>
    </row>
    <row r="1197" spans="1:3" hidden="1" x14ac:dyDescent="0.25">
      <c r="A1197">
        <v>1197</v>
      </c>
      <c r="C1197" t="str">
        <f t="shared" si="28"/>
        <v/>
      </c>
    </row>
    <row r="1198" spans="1:3" hidden="1" x14ac:dyDescent="0.25">
      <c r="A1198">
        <v>1198</v>
      </c>
      <c r="C1198" t="str">
        <f t="shared" si="28"/>
        <v/>
      </c>
    </row>
    <row r="1199" spans="1:3" hidden="1" x14ac:dyDescent="0.25">
      <c r="A1199">
        <v>1199</v>
      </c>
      <c r="C1199" t="str">
        <f t="shared" si="28"/>
        <v/>
      </c>
    </row>
    <row r="1200" spans="1:3" hidden="1" x14ac:dyDescent="0.25">
      <c r="A1200">
        <v>1200</v>
      </c>
      <c r="C1200" t="str">
        <f t="shared" si="28"/>
        <v/>
      </c>
    </row>
    <row r="1201" spans="1:3" hidden="1" x14ac:dyDescent="0.25">
      <c r="A1201">
        <v>1201</v>
      </c>
      <c r="C1201" t="str">
        <f t="shared" si="28"/>
        <v/>
      </c>
    </row>
    <row r="1202" spans="1:3" hidden="1" x14ac:dyDescent="0.25">
      <c r="A1202">
        <v>1202</v>
      </c>
      <c r="C1202" t="str">
        <f t="shared" si="28"/>
        <v/>
      </c>
    </row>
    <row r="1203" spans="1:3" hidden="1" x14ac:dyDescent="0.25">
      <c r="A1203">
        <v>1203</v>
      </c>
      <c r="C1203" t="str">
        <f t="shared" si="28"/>
        <v/>
      </c>
    </row>
    <row r="1204" spans="1:3" hidden="1" x14ac:dyDescent="0.25">
      <c r="A1204">
        <v>1204</v>
      </c>
      <c r="C1204" t="str">
        <f t="shared" si="28"/>
        <v/>
      </c>
    </row>
    <row r="1205" spans="1:3" hidden="1" x14ac:dyDescent="0.25">
      <c r="A1205">
        <v>1205</v>
      </c>
      <c r="C1205" t="str">
        <f t="shared" si="28"/>
        <v/>
      </c>
    </row>
    <row r="1206" spans="1:3" hidden="1" x14ac:dyDescent="0.25">
      <c r="A1206">
        <v>1206</v>
      </c>
      <c r="C1206" t="str">
        <f t="shared" si="28"/>
        <v/>
      </c>
    </row>
    <row r="1207" spans="1:3" hidden="1" x14ac:dyDescent="0.25">
      <c r="A1207">
        <v>1207</v>
      </c>
      <c r="C1207" t="str">
        <f t="shared" si="28"/>
        <v/>
      </c>
    </row>
    <row r="1208" spans="1:3" hidden="1" x14ac:dyDescent="0.25">
      <c r="A1208">
        <v>1208</v>
      </c>
      <c r="C1208" t="str">
        <f t="shared" si="28"/>
        <v/>
      </c>
    </row>
    <row r="1209" spans="1:3" hidden="1" x14ac:dyDescent="0.25">
      <c r="A1209">
        <v>1209</v>
      </c>
      <c r="C1209" t="str">
        <f t="shared" si="28"/>
        <v/>
      </c>
    </row>
    <row r="1210" spans="1:3" hidden="1" x14ac:dyDescent="0.25">
      <c r="A1210">
        <v>1210</v>
      </c>
      <c r="C1210" t="str">
        <f t="shared" si="28"/>
        <v/>
      </c>
    </row>
    <row r="1211" spans="1:3" hidden="1" x14ac:dyDescent="0.25">
      <c r="A1211">
        <v>1211</v>
      </c>
      <c r="C1211" t="str">
        <f t="shared" si="28"/>
        <v/>
      </c>
    </row>
    <row r="1212" spans="1:3" hidden="1" x14ac:dyDescent="0.25">
      <c r="A1212">
        <v>1212</v>
      </c>
      <c r="C1212" t="str">
        <f t="shared" si="28"/>
        <v/>
      </c>
    </row>
    <row r="1213" spans="1:3" hidden="1" x14ac:dyDescent="0.25">
      <c r="A1213">
        <v>1213</v>
      </c>
      <c r="C1213" t="str">
        <f t="shared" si="28"/>
        <v/>
      </c>
    </row>
    <row r="1214" spans="1:3" hidden="1" x14ac:dyDescent="0.25">
      <c r="A1214">
        <v>1214</v>
      </c>
      <c r="C1214" t="str">
        <f t="shared" si="28"/>
        <v/>
      </c>
    </row>
    <row r="1215" spans="1:3" hidden="1" x14ac:dyDescent="0.25">
      <c r="A1215">
        <v>1215</v>
      </c>
      <c r="C1215" t="str">
        <f t="shared" si="28"/>
        <v/>
      </c>
    </row>
    <row r="1216" spans="1:3" hidden="1" x14ac:dyDescent="0.25">
      <c r="A1216">
        <v>1216</v>
      </c>
      <c r="C1216" t="str">
        <f t="shared" si="28"/>
        <v/>
      </c>
    </row>
    <row r="1217" spans="1:3" hidden="1" x14ac:dyDescent="0.25">
      <c r="A1217">
        <v>1217</v>
      </c>
      <c r="C1217" t="str">
        <f t="shared" si="28"/>
        <v/>
      </c>
    </row>
    <row r="1218" spans="1:3" hidden="1" x14ac:dyDescent="0.25">
      <c r="A1218">
        <v>1218</v>
      </c>
      <c r="C1218" t="str">
        <f t="shared" si="28"/>
        <v/>
      </c>
    </row>
    <row r="1219" spans="1:3" hidden="1" x14ac:dyDescent="0.25">
      <c r="A1219">
        <v>1219</v>
      </c>
      <c r="C1219" t="str">
        <f t="shared" ref="C1219:C1282" si="29">IF(B1219="ARTISZEE","Cardiología","")</f>
        <v/>
      </c>
    </row>
    <row r="1220" spans="1:3" hidden="1" x14ac:dyDescent="0.25">
      <c r="A1220">
        <v>1220</v>
      </c>
      <c r="C1220" t="str">
        <f t="shared" si="29"/>
        <v/>
      </c>
    </row>
    <row r="1221" spans="1:3" hidden="1" x14ac:dyDescent="0.25">
      <c r="A1221">
        <v>1221</v>
      </c>
      <c r="C1221" t="str">
        <f t="shared" si="29"/>
        <v/>
      </c>
    </row>
    <row r="1222" spans="1:3" hidden="1" x14ac:dyDescent="0.25">
      <c r="A1222">
        <v>1222</v>
      </c>
      <c r="C1222" t="str">
        <f t="shared" si="29"/>
        <v/>
      </c>
    </row>
    <row r="1223" spans="1:3" hidden="1" x14ac:dyDescent="0.25">
      <c r="A1223">
        <v>1223</v>
      </c>
      <c r="C1223" t="str">
        <f t="shared" si="29"/>
        <v/>
      </c>
    </row>
    <row r="1224" spans="1:3" hidden="1" x14ac:dyDescent="0.25">
      <c r="A1224">
        <v>1224</v>
      </c>
      <c r="C1224" t="str">
        <f t="shared" si="29"/>
        <v/>
      </c>
    </row>
    <row r="1225" spans="1:3" hidden="1" x14ac:dyDescent="0.25">
      <c r="A1225">
        <v>1225</v>
      </c>
      <c r="C1225" t="str">
        <f t="shared" si="29"/>
        <v/>
      </c>
    </row>
    <row r="1226" spans="1:3" hidden="1" x14ac:dyDescent="0.25">
      <c r="A1226">
        <v>1226</v>
      </c>
      <c r="C1226" t="str">
        <f t="shared" si="29"/>
        <v/>
      </c>
    </row>
    <row r="1227" spans="1:3" hidden="1" x14ac:dyDescent="0.25">
      <c r="A1227">
        <v>1227</v>
      </c>
      <c r="C1227" t="str">
        <f t="shared" si="29"/>
        <v/>
      </c>
    </row>
    <row r="1228" spans="1:3" hidden="1" x14ac:dyDescent="0.25">
      <c r="A1228">
        <v>1228</v>
      </c>
      <c r="C1228" t="str">
        <f t="shared" si="29"/>
        <v/>
      </c>
    </row>
    <row r="1229" spans="1:3" hidden="1" x14ac:dyDescent="0.25">
      <c r="A1229">
        <v>1229</v>
      </c>
      <c r="C1229" t="str">
        <f t="shared" si="29"/>
        <v/>
      </c>
    </row>
    <row r="1230" spans="1:3" hidden="1" x14ac:dyDescent="0.25">
      <c r="A1230">
        <v>1230</v>
      </c>
      <c r="C1230" t="str">
        <f t="shared" si="29"/>
        <v/>
      </c>
    </row>
    <row r="1231" spans="1:3" hidden="1" x14ac:dyDescent="0.25">
      <c r="A1231">
        <v>1231</v>
      </c>
      <c r="C1231" t="str">
        <f t="shared" si="29"/>
        <v/>
      </c>
    </row>
    <row r="1232" spans="1:3" hidden="1" x14ac:dyDescent="0.25">
      <c r="A1232">
        <v>1232</v>
      </c>
      <c r="C1232" t="str">
        <f t="shared" si="29"/>
        <v/>
      </c>
    </row>
    <row r="1233" spans="1:3" hidden="1" x14ac:dyDescent="0.25">
      <c r="A1233">
        <v>1233</v>
      </c>
      <c r="C1233" t="str">
        <f t="shared" si="29"/>
        <v/>
      </c>
    </row>
    <row r="1234" spans="1:3" hidden="1" x14ac:dyDescent="0.25">
      <c r="A1234">
        <v>1234</v>
      </c>
      <c r="C1234" t="str">
        <f t="shared" si="29"/>
        <v/>
      </c>
    </row>
    <row r="1235" spans="1:3" hidden="1" x14ac:dyDescent="0.25">
      <c r="A1235">
        <v>1235</v>
      </c>
      <c r="C1235" t="str">
        <f t="shared" si="29"/>
        <v/>
      </c>
    </row>
    <row r="1236" spans="1:3" hidden="1" x14ac:dyDescent="0.25">
      <c r="A1236">
        <v>1236</v>
      </c>
      <c r="C1236" t="str">
        <f t="shared" si="29"/>
        <v/>
      </c>
    </row>
    <row r="1237" spans="1:3" hidden="1" x14ac:dyDescent="0.25">
      <c r="A1237">
        <v>1237</v>
      </c>
      <c r="C1237" t="str">
        <f t="shared" si="29"/>
        <v/>
      </c>
    </row>
    <row r="1238" spans="1:3" hidden="1" x14ac:dyDescent="0.25">
      <c r="A1238">
        <v>1238</v>
      </c>
      <c r="C1238" t="str">
        <f t="shared" si="29"/>
        <v/>
      </c>
    </row>
    <row r="1239" spans="1:3" hidden="1" x14ac:dyDescent="0.25">
      <c r="A1239">
        <v>1239</v>
      </c>
      <c r="C1239" t="str">
        <f t="shared" si="29"/>
        <v/>
      </c>
    </row>
    <row r="1240" spans="1:3" hidden="1" x14ac:dyDescent="0.25">
      <c r="A1240">
        <v>1240</v>
      </c>
      <c r="C1240" t="str">
        <f t="shared" si="29"/>
        <v/>
      </c>
    </row>
    <row r="1241" spans="1:3" hidden="1" x14ac:dyDescent="0.25">
      <c r="A1241">
        <v>1241</v>
      </c>
      <c r="C1241" t="str">
        <f t="shared" si="29"/>
        <v/>
      </c>
    </row>
    <row r="1242" spans="1:3" hidden="1" x14ac:dyDescent="0.25">
      <c r="A1242">
        <v>1242</v>
      </c>
      <c r="C1242" t="str">
        <f t="shared" si="29"/>
        <v/>
      </c>
    </row>
    <row r="1243" spans="1:3" hidden="1" x14ac:dyDescent="0.25">
      <c r="A1243">
        <v>1243</v>
      </c>
      <c r="C1243" t="str">
        <f t="shared" si="29"/>
        <v/>
      </c>
    </row>
    <row r="1244" spans="1:3" hidden="1" x14ac:dyDescent="0.25">
      <c r="A1244">
        <v>1244</v>
      </c>
      <c r="C1244" t="str">
        <f t="shared" si="29"/>
        <v/>
      </c>
    </row>
    <row r="1245" spans="1:3" hidden="1" x14ac:dyDescent="0.25">
      <c r="A1245">
        <v>1245</v>
      </c>
      <c r="C1245" t="str">
        <f t="shared" si="29"/>
        <v/>
      </c>
    </row>
    <row r="1246" spans="1:3" hidden="1" x14ac:dyDescent="0.25">
      <c r="A1246">
        <v>1246</v>
      </c>
      <c r="C1246" t="str">
        <f t="shared" si="29"/>
        <v/>
      </c>
    </row>
    <row r="1247" spans="1:3" hidden="1" x14ac:dyDescent="0.25">
      <c r="A1247">
        <v>1247</v>
      </c>
      <c r="C1247" t="str">
        <f t="shared" si="29"/>
        <v/>
      </c>
    </row>
    <row r="1248" spans="1:3" hidden="1" x14ac:dyDescent="0.25">
      <c r="A1248">
        <v>1248</v>
      </c>
      <c r="C1248" t="str">
        <f t="shared" si="29"/>
        <v/>
      </c>
    </row>
    <row r="1249" spans="1:3" hidden="1" x14ac:dyDescent="0.25">
      <c r="A1249">
        <v>1249</v>
      </c>
      <c r="C1249" t="str">
        <f t="shared" si="29"/>
        <v/>
      </c>
    </row>
    <row r="1250" spans="1:3" hidden="1" x14ac:dyDescent="0.25">
      <c r="A1250">
        <v>1250</v>
      </c>
      <c r="C1250" t="str">
        <f t="shared" si="29"/>
        <v/>
      </c>
    </row>
    <row r="1251" spans="1:3" hidden="1" x14ac:dyDescent="0.25">
      <c r="A1251">
        <v>1251</v>
      </c>
      <c r="C1251" t="str">
        <f t="shared" si="29"/>
        <v/>
      </c>
    </row>
    <row r="1252" spans="1:3" hidden="1" x14ac:dyDescent="0.25">
      <c r="A1252">
        <v>1252</v>
      </c>
      <c r="C1252" t="str">
        <f t="shared" si="29"/>
        <v/>
      </c>
    </row>
    <row r="1253" spans="1:3" hidden="1" x14ac:dyDescent="0.25">
      <c r="A1253">
        <v>1253</v>
      </c>
      <c r="C1253" t="str">
        <f t="shared" si="29"/>
        <v/>
      </c>
    </row>
    <row r="1254" spans="1:3" hidden="1" x14ac:dyDescent="0.25">
      <c r="A1254">
        <v>1254</v>
      </c>
      <c r="C1254" t="str">
        <f t="shared" si="29"/>
        <v/>
      </c>
    </row>
    <row r="1255" spans="1:3" hidden="1" x14ac:dyDescent="0.25">
      <c r="A1255">
        <v>1255</v>
      </c>
      <c r="C1255" t="str">
        <f t="shared" si="29"/>
        <v/>
      </c>
    </row>
    <row r="1256" spans="1:3" hidden="1" x14ac:dyDescent="0.25">
      <c r="A1256">
        <v>1256</v>
      </c>
      <c r="C1256" t="str">
        <f t="shared" si="29"/>
        <v/>
      </c>
    </row>
    <row r="1257" spans="1:3" hidden="1" x14ac:dyDescent="0.25">
      <c r="A1257">
        <v>1257</v>
      </c>
      <c r="C1257" t="str">
        <f t="shared" si="29"/>
        <v/>
      </c>
    </row>
    <row r="1258" spans="1:3" hidden="1" x14ac:dyDescent="0.25">
      <c r="A1258">
        <v>1258</v>
      </c>
      <c r="C1258" t="str">
        <f t="shared" si="29"/>
        <v/>
      </c>
    </row>
    <row r="1259" spans="1:3" hidden="1" x14ac:dyDescent="0.25">
      <c r="A1259">
        <v>1259</v>
      </c>
      <c r="C1259" t="str">
        <f t="shared" si="29"/>
        <v/>
      </c>
    </row>
    <row r="1260" spans="1:3" hidden="1" x14ac:dyDescent="0.25">
      <c r="A1260">
        <v>1260</v>
      </c>
      <c r="C1260" t="str">
        <f t="shared" si="29"/>
        <v/>
      </c>
    </row>
    <row r="1261" spans="1:3" hidden="1" x14ac:dyDescent="0.25">
      <c r="A1261">
        <v>1261</v>
      </c>
      <c r="C1261" t="str">
        <f t="shared" si="29"/>
        <v/>
      </c>
    </row>
    <row r="1262" spans="1:3" hidden="1" x14ac:dyDescent="0.25">
      <c r="A1262">
        <v>1262</v>
      </c>
      <c r="C1262" t="str">
        <f t="shared" si="29"/>
        <v/>
      </c>
    </row>
    <row r="1263" spans="1:3" hidden="1" x14ac:dyDescent="0.25">
      <c r="A1263">
        <v>1263</v>
      </c>
      <c r="C1263" t="str">
        <f t="shared" si="29"/>
        <v/>
      </c>
    </row>
    <row r="1264" spans="1:3" hidden="1" x14ac:dyDescent="0.25">
      <c r="A1264">
        <v>1264</v>
      </c>
      <c r="C1264" t="str">
        <f t="shared" si="29"/>
        <v/>
      </c>
    </row>
    <row r="1265" spans="1:3" hidden="1" x14ac:dyDescent="0.25">
      <c r="A1265">
        <v>1265</v>
      </c>
      <c r="C1265" t="str">
        <f t="shared" si="29"/>
        <v/>
      </c>
    </row>
    <row r="1266" spans="1:3" hidden="1" x14ac:dyDescent="0.25">
      <c r="A1266">
        <v>1266</v>
      </c>
      <c r="C1266" t="str">
        <f t="shared" si="29"/>
        <v/>
      </c>
    </row>
    <row r="1267" spans="1:3" hidden="1" x14ac:dyDescent="0.25">
      <c r="A1267">
        <v>1267</v>
      </c>
      <c r="C1267" t="str">
        <f t="shared" si="29"/>
        <v/>
      </c>
    </row>
    <row r="1268" spans="1:3" hidden="1" x14ac:dyDescent="0.25">
      <c r="A1268">
        <v>1268</v>
      </c>
      <c r="C1268" t="str">
        <f t="shared" si="29"/>
        <v/>
      </c>
    </row>
    <row r="1269" spans="1:3" hidden="1" x14ac:dyDescent="0.25">
      <c r="A1269">
        <v>1269</v>
      </c>
      <c r="C1269" t="str">
        <f t="shared" si="29"/>
        <v/>
      </c>
    </row>
    <row r="1270" spans="1:3" hidden="1" x14ac:dyDescent="0.25">
      <c r="A1270">
        <v>1270</v>
      </c>
      <c r="C1270" t="str">
        <f t="shared" si="29"/>
        <v/>
      </c>
    </row>
    <row r="1271" spans="1:3" hidden="1" x14ac:dyDescent="0.25">
      <c r="A1271">
        <v>1271</v>
      </c>
      <c r="C1271" t="str">
        <f t="shared" si="29"/>
        <v/>
      </c>
    </row>
    <row r="1272" spans="1:3" hidden="1" x14ac:dyDescent="0.25">
      <c r="A1272">
        <v>1272</v>
      </c>
      <c r="C1272" t="str">
        <f t="shared" si="29"/>
        <v/>
      </c>
    </row>
    <row r="1273" spans="1:3" hidden="1" x14ac:dyDescent="0.25">
      <c r="A1273">
        <v>1273</v>
      </c>
      <c r="C1273" t="str">
        <f t="shared" si="29"/>
        <v/>
      </c>
    </row>
    <row r="1274" spans="1:3" hidden="1" x14ac:dyDescent="0.25">
      <c r="A1274">
        <v>1274</v>
      </c>
      <c r="C1274" t="str">
        <f t="shared" si="29"/>
        <v/>
      </c>
    </row>
    <row r="1275" spans="1:3" hidden="1" x14ac:dyDescent="0.25">
      <c r="A1275">
        <v>1275</v>
      </c>
      <c r="C1275" t="str">
        <f t="shared" si="29"/>
        <v/>
      </c>
    </row>
    <row r="1276" spans="1:3" hidden="1" x14ac:dyDescent="0.25">
      <c r="A1276">
        <v>1276</v>
      </c>
      <c r="C1276" t="str">
        <f t="shared" si="29"/>
        <v/>
      </c>
    </row>
    <row r="1277" spans="1:3" hidden="1" x14ac:dyDescent="0.25">
      <c r="A1277">
        <v>1277</v>
      </c>
      <c r="C1277" t="str">
        <f t="shared" si="29"/>
        <v/>
      </c>
    </row>
    <row r="1278" spans="1:3" hidden="1" x14ac:dyDescent="0.25">
      <c r="A1278">
        <v>1278</v>
      </c>
      <c r="C1278" t="str">
        <f t="shared" si="29"/>
        <v/>
      </c>
    </row>
    <row r="1279" spans="1:3" hidden="1" x14ac:dyDescent="0.25">
      <c r="A1279">
        <v>1279</v>
      </c>
      <c r="C1279" t="str">
        <f t="shared" si="29"/>
        <v/>
      </c>
    </row>
    <row r="1280" spans="1:3" hidden="1" x14ac:dyDescent="0.25">
      <c r="A1280">
        <v>1280</v>
      </c>
      <c r="C1280" t="str">
        <f t="shared" si="29"/>
        <v/>
      </c>
    </row>
    <row r="1281" spans="1:3" hidden="1" x14ac:dyDescent="0.25">
      <c r="A1281">
        <v>1281</v>
      </c>
      <c r="C1281" t="str">
        <f t="shared" si="29"/>
        <v/>
      </c>
    </row>
    <row r="1282" spans="1:3" hidden="1" x14ac:dyDescent="0.25">
      <c r="A1282">
        <v>1282</v>
      </c>
      <c r="C1282" t="str">
        <f t="shared" si="29"/>
        <v/>
      </c>
    </row>
    <row r="1283" spans="1:3" hidden="1" x14ac:dyDescent="0.25">
      <c r="A1283">
        <v>1283</v>
      </c>
      <c r="C1283" t="str">
        <f t="shared" ref="C1283:C1342" si="30">IF(B1283="ARTISZEE","Cardiología","")</f>
        <v/>
      </c>
    </row>
    <row r="1284" spans="1:3" hidden="1" x14ac:dyDescent="0.25">
      <c r="A1284">
        <v>1284</v>
      </c>
      <c r="C1284" t="str">
        <f t="shared" si="30"/>
        <v/>
      </c>
    </row>
    <row r="1285" spans="1:3" hidden="1" x14ac:dyDescent="0.25">
      <c r="A1285">
        <v>1285</v>
      </c>
      <c r="C1285" t="str">
        <f t="shared" si="30"/>
        <v/>
      </c>
    </row>
    <row r="1286" spans="1:3" hidden="1" x14ac:dyDescent="0.25">
      <c r="A1286">
        <v>1286</v>
      </c>
      <c r="C1286" t="str">
        <f t="shared" si="30"/>
        <v/>
      </c>
    </row>
    <row r="1287" spans="1:3" hidden="1" x14ac:dyDescent="0.25">
      <c r="A1287">
        <v>1287</v>
      </c>
      <c r="C1287" t="str">
        <f t="shared" si="30"/>
        <v/>
      </c>
    </row>
    <row r="1288" spans="1:3" hidden="1" x14ac:dyDescent="0.25">
      <c r="A1288">
        <v>1288</v>
      </c>
      <c r="C1288" t="str">
        <f t="shared" si="30"/>
        <v/>
      </c>
    </row>
    <row r="1289" spans="1:3" hidden="1" x14ac:dyDescent="0.25">
      <c r="A1289">
        <v>1289</v>
      </c>
      <c r="C1289" t="str">
        <f t="shared" si="30"/>
        <v/>
      </c>
    </row>
    <row r="1290" spans="1:3" hidden="1" x14ac:dyDescent="0.25">
      <c r="A1290">
        <v>1290</v>
      </c>
      <c r="C1290" t="str">
        <f t="shared" si="30"/>
        <v/>
      </c>
    </row>
    <row r="1291" spans="1:3" hidden="1" x14ac:dyDescent="0.25">
      <c r="A1291">
        <v>1291</v>
      </c>
      <c r="C1291" t="str">
        <f t="shared" si="30"/>
        <v/>
      </c>
    </row>
    <row r="1292" spans="1:3" hidden="1" x14ac:dyDescent="0.25">
      <c r="A1292">
        <v>1292</v>
      </c>
      <c r="C1292" t="str">
        <f t="shared" si="30"/>
        <v/>
      </c>
    </row>
    <row r="1293" spans="1:3" hidden="1" x14ac:dyDescent="0.25">
      <c r="A1293">
        <v>1293</v>
      </c>
      <c r="C1293" t="str">
        <f t="shared" si="30"/>
        <v/>
      </c>
    </row>
    <row r="1294" spans="1:3" hidden="1" x14ac:dyDescent="0.25">
      <c r="A1294">
        <v>1294</v>
      </c>
      <c r="C1294" t="str">
        <f t="shared" si="30"/>
        <v/>
      </c>
    </row>
    <row r="1295" spans="1:3" hidden="1" x14ac:dyDescent="0.25">
      <c r="A1295">
        <v>1295</v>
      </c>
      <c r="C1295" t="str">
        <f t="shared" si="30"/>
        <v/>
      </c>
    </row>
    <row r="1296" spans="1:3" hidden="1" x14ac:dyDescent="0.25">
      <c r="A1296">
        <v>1296</v>
      </c>
      <c r="C1296" t="str">
        <f t="shared" si="30"/>
        <v/>
      </c>
    </row>
    <row r="1297" spans="1:3" hidden="1" x14ac:dyDescent="0.25">
      <c r="A1297">
        <v>1297</v>
      </c>
      <c r="C1297" t="str">
        <f t="shared" si="30"/>
        <v/>
      </c>
    </row>
    <row r="1298" spans="1:3" hidden="1" x14ac:dyDescent="0.25">
      <c r="A1298">
        <v>1298</v>
      </c>
      <c r="C1298" t="str">
        <f t="shared" si="30"/>
        <v/>
      </c>
    </row>
    <row r="1299" spans="1:3" hidden="1" x14ac:dyDescent="0.25">
      <c r="A1299">
        <v>1299</v>
      </c>
      <c r="C1299" t="str">
        <f t="shared" si="30"/>
        <v/>
      </c>
    </row>
    <row r="1300" spans="1:3" hidden="1" x14ac:dyDescent="0.25">
      <c r="A1300">
        <v>1300</v>
      </c>
      <c r="C1300" t="str">
        <f t="shared" si="30"/>
        <v/>
      </c>
    </row>
    <row r="1301" spans="1:3" hidden="1" x14ac:dyDescent="0.25">
      <c r="A1301">
        <v>1301</v>
      </c>
      <c r="C1301" t="str">
        <f t="shared" si="30"/>
        <v/>
      </c>
    </row>
    <row r="1302" spans="1:3" hidden="1" x14ac:dyDescent="0.25">
      <c r="A1302">
        <v>1302</v>
      </c>
      <c r="C1302" t="str">
        <f t="shared" si="30"/>
        <v/>
      </c>
    </row>
    <row r="1303" spans="1:3" hidden="1" x14ac:dyDescent="0.25">
      <c r="A1303">
        <v>1303</v>
      </c>
      <c r="C1303" t="str">
        <f t="shared" si="30"/>
        <v/>
      </c>
    </row>
    <row r="1304" spans="1:3" hidden="1" x14ac:dyDescent="0.25">
      <c r="A1304">
        <v>1304</v>
      </c>
      <c r="C1304" t="str">
        <f t="shared" si="30"/>
        <v/>
      </c>
    </row>
    <row r="1305" spans="1:3" hidden="1" x14ac:dyDescent="0.25">
      <c r="A1305">
        <v>1305</v>
      </c>
      <c r="C1305" t="str">
        <f t="shared" si="30"/>
        <v/>
      </c>
    </row>
    <row r="1306" spans="1:3" hidden="1" x14ac:dyDescent="0.25">
      <c r="A1306">
        <v>1306</v>
      </c>
      <c r="C1306" t="str">
        <f t="shared" si="30"/>
        <v/>
      </c>
    </row>
    <row r="1307" spans="1:3" hidden="1" x14ac:dyDescent="0.25">
      <c r="A1307">
        <v>1307</v>
      </c>
      <c r="C1307" t="str">
        <f t="shared" si="30"/>
        <v/>
      </c>
    </row>
    <row r="1308" spans="1:3" hidden="1" x14ac:dyDescent="0.25">
      <c r="A1308">
        <v>1308</v>
      </c>
      <c r="C1308" t="str">
        <f t="shared" si="30"/>
        <v/>
      </c>
    </row>
    <row r="1309" spans="1:3" hidden="1" x14ac:dyDescent="0.25">
      <c r="A1309">
        <v>1309</v>
      </c>
      <c r="C1309" t="str">
        <f t="shared" si="30"/>
        <v/>
      </c>
    </row>
    <row r="1310" spans="1:3" hidden="1" x14ac:dyDescent="0.25">
      <c r="A1310">
        <v>1310</v>
      </c>
      <c r="C1310" t="str">
        <f t="shared" si="30"/>
        <v/>
      </c>
    </row>
    <row r="1311" spans="1:3" hidden="1" x14ac:dyDescent="0.25">
      <c r="A1311">
        <v>1311</v>
      </c>
      <c r="C1311" t="str">
        <f t="shared" si="30"/>
        <v/>
      </c>
    </row>
    <row r="1312" spans="1:3" hidden="1" x14ac:dyDescent="0.25">
      <c r="A1312">
        <v>1312</v>
      </c>
      <c r="C1312" t="str">
        <f t="shared" si="30"/>
        <v/>
      </c>
    </row>
    <row r="1313" spans="1:3" hidden="1" x14ac:dyDescent="0.25">
      <c r="A1313">
        <v>1313</v>
      </c>
      <c r="C1313" t="str">
        <f t="shared" si="30"/>
        <v/>
      </c>
    </row>
    <row r="1314" spans="1:3" hidden="1" x14ac:dyDescent="0.25">
      <c r="A1314">
        <v>1314</v>
      </c>
      <c r="C1314" t="str">
        <f t="shared" si="30"/>
        <v/>
      </c>
    </row>
    <row r="1315" spans="1:3" hidden="1" x14ac:dyDescent="0.25">
      <c r="A1315">
        <v>1315</v>
      </c>
      <c r="C1315" t="str">
        <f t="shared" si="30"/>
        <v/>
      </c>
    </row>
    <row r="1316" spans="1:3" hidden="1" x14ac:dyDescent="0.25">
      <c r="A1316">
        <v>1316</v>
      </c>
      <c r="C1316" t="str">
        <f t="shared" si="30"/>
        <v/>
      </c>
    </row>
    <row r="1317" spans="1:3" hidden="1" x14ac:dyDescent="0.25">
      <c r="A1317">
        <v>1317</v>
      </c>
      <c r="C1317" t="str">
        <f t="shared" si="30"/>
        <v/>
      </c>
    </row>
    <row r="1318" spans="1:3" hidden="1" x14ac:dyDescent="0.25">
      <c r="A1318">
        <v>1318</v>
      </c>
      <c r="C1318" t="str">
        <f t="shared" si="30"/>
        <v/>
      </c>
    </row>
    <row r="1319" spans="1:3" hidden="1" x14ac:dyDescent="0.25">
      <c r="A1319">
        <v>1319</v>
      </c>
      <c r="C1319" t="str">
        <f t="shared" si="30"/>
        <v/>
      </c>
    </row>
    <row r="1320" spans="1:3" hidden="1" x14ac:dyDescent="0.25">
      <c r="A1320">
        <v>1320</v>
      </c>
      <c r="C1320" t="str">
        <f t="shared" si="30"/>
        <v/>
      </c>
    </row>
    <row r="1321" spans="1:3" hidden="1" x14ac:dyDescent="0.25">
      <c r="A1321">
        <v>1321</v>
      </c>
      <c r="C1321" t="str">
        <f t="shared" si="30"/>
        <v/>
      </c>
    </row>
    <row r="1322" spans="1:3" hidden="1" x14ac:dyDescent="0.25">
      <c r="A1322">
        <v>1322</v>
      </c>
      <c r="C1322" t="str">
        <f t="shared" si="30"/>
        <v/>
      </c>
    </row>
    <row r="1323" spans="1:3" hidden="1" x14ac:dyDescent="0.25">
      <c r="A1323">
        <v>1323</v>
      </c>
      <c r="C1323" t="str">
        <f t="shared" si="30"/>
        <v/>
      </c>
    </row>
    <row r="1324" spans="1:3" hidden="1" x14ac:dyDescent="0.25">
      <c r="A1324">
        <v>1324</v>
      </c>
      <c r="C1324" t="str">
        <f t="shared" si="30"/>
        <v/>
      </c>
    </row>
    <row r="1325" spans="1:3" hidden="1" x14ac:dyDescent="0.25">
      <c r="A1325">
        <v>1325</v>
      </c>
      <c r="C1325" t="str">
        <f t="shared" si="30"/>
        <v/>
      </c>
    </row>
    <row r="1326" spans="1:3" hidden="1" x14ac:dyDescent="0.25">
      <c r="A1326">
        <v>1326</v>
      </c>
      <c r="C1326" t="str">
        <f t="shared" si="30"/>
        <v/>
      </c>
    </row>
    <row r="1327" spans="1:3" hidden="1" x14ac:dyDescent="0.25">
      <c r="A1327">
        <v>1327</v>
      </c>
      <c r="C1327" t="str">
        <f t="shared" si="30"/>
        <v/>
      </c>
    </row>
    <row r="1328" spans="1:3" hidden="1" x14ac:dyDescent="0.25">
      <c r="A1328">
        <v>1328</v>
      </c>
      <c r="C1328" t="str">
        <f t="shared" si="30"/>
        <v/>
      </c>
    </row>
    <row r="1329" spans="1:3" hidden="1" x14ac:dyDescent="0.25">
      <c r="A1329">
        <v>1329</v>
      </c>
      <c r="C1329" t="str">
        <f t="shared" si="30"/>
        <v/>
      </c>
    </row>
    <row r="1330" spans="1:3" hidden="1" x14ac:dyDescent="0.25">
      <c r="A1330">
        <v>1330</v>
      </c>
      <c r="C1330" t="str">
        <f t="shared" si="30"/>
        <v/>
      </c>
    </row>
    <row r="1331" spans="1:3" hidden="1" x14ac:dyDescent="0.25">
      <c r="A1331">
        <v>1331</v>
      </c>
      <c r="C1331" t="str">
        <f t="shared" si="30"/>
        <v/>
      </c>
    </row>
    <row r="1332" spans="1:3" hidden="1" x14ac:dyDescent="0.25">
      <c r="A1332">
        <v>1332</v>
      </c>
      <c r="C1332" t="str">
        <f t="shared" si="30"/>
        <v/>
      </c>
    </row>
    <row r="1333" spans="1:3" hidden="1" x14ac:dyDescent="0.25">
      <c r="A1333">
        <v>1333</v>
      </c>
      <c r="C1333" t="str">
        <f t="shared" si="30"/>
        <v/>
      </c>
    </row>
    <row r="1334" spans="1:3" hidden="1" x14ac:dyDescent="0.25">
      <c r="A1334">
        <v>1334</v>
      </c>
      <c r="C1334" t="str">
        <f t="shared" si="30"/>
        <v/>
      </c>
    </row>
    <row r="1335" spans="1:3" hidden="1" x14ac:dyDescent="0.25">
      <c r="A1335">
        <v>1335</v>
      </c>
      <c r="C1335" t="str">
        <f t="shared" si="30"/>
        <v/>
      </c>
    </row>
    <row r="1336" spans="1:3" hidden="1" x14ac:dyDescent="0.25">
      <c r="A1336">
        <v>1336</v>
      </c>
      <c r="C1336" t="str">
        <f t="shared" si="30"/>
        <v/>
      </c>
    </row>
    <row r="1337" spans="1:3" hidden="1" x14ac:dyDescent="0.25">
      <c r="A1337">
        <v>1337</v>
      </c>
      <c r="C1337" t="str">
        <f t="shared" si="30"/>
        <v/>
      </c>
    </row>
    <row r="1338" spans="1:3" hidden="1" x14ac:dyDescent="0.25">
      <c r="A1338">
        <v>1338</v>
      </c>
      <c r="C1338" t="str">
        <f t="shared" si="30"/>
        <v/>
      </c>
    </row>
    <row r="1339" spans="1:3" hidden="1" x14ac:dyDescent="0.25">
      <c r="A1339">
        <v>1339</v>
      </c>
      <c r="C1339" t="str">
        <f t="shared" si="30"/>
        <v/>
      </c>
    </row>
    <row r="1340" spans="1:3" hidden="1" x14ac:dyDescent="0.25">
      <c r="A1340">
        <v>1340</v>
      </c>
      <c r="C1340" t="str">
        <f t="shared" si="30"/>
        <v/>
      </c>
    </row>
    <row r="1341" spans="1:3" hidden="1" x14ac:dyDescent="0.25">
      <c r="A1341">
        <v>1341</v>
      </c>
      <c r="C1341" t="str">
        <f t="shared" si="30"/>
        <v/>
      </c>
    </row>
    <row r="1342" spans="1:3" hidden="1" x14ac:dyDescent="0.25">
      <c r="A1342">
        <v>1342</v>
      </c>
      <c r="C1342" t="str">
        <f t="shared" si="30"/>
        <v/>
      </c>
    </row>
  </sheetData>
  <autoFilter ref="B1:L1342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abSelected="1"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PACIENTES (2)</vt:lpstr>
      <vt:lpstr>PACIENTES</vt:lpstr>
      <vt:lpstr>XML</vt:lpstr>
      <vt:lpstr>DATOS</vt:lpstr>
      <vt:lpstr>DATOS2</vt:lpstr>
      <vt:lpstr>DATOS3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Agulla Otero, Manuel</cp:lastModifiedBy>
  <dcterms:created xsi:type="dcterms:W3CDTF">2006-09-16T00:00:00Z</dcterms:created>
  <dcterms:modified xsi:type="dcterms:W3CDTF">2024-07-31T06:12:13Z</dcterms:modified>
</cp:coreProperties>
</file>