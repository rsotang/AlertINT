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3112727T\Desktop\Alertin 1.1\Codigo limpio\"/>
    </mc:Choice>
  </mc:AlternateContent>
  <bookViews>
    <workbookView xWindow="0" yWindow="0" windowWidth="28800" windowHeight="12330" tabRatio="446" activeTab="2"/>
  </bookViews>
  <sheets>
    <sheet name="Listado" sheetId="1" r:id="rId1"/>
    <sheet name="Pendientes" sheetId="2" r:id="rId2"/>
    <sheet name="Datos" sheetId="3" r:id="rId3"/>
    <sheet name="Informe" sheetId="4" r:id="rId4"/>
  </sheets>
  <definedNames>
    <definedName name="_xlnm.Print_Area" localSheetId="3">Informe!$A$4:$F$55</definedName>
  </definedNames>
  <calcPr calcId="152511"/>
</workbook>
</file>

<file path=xl/calcChain.xml><?xml version="1.0" encoding="utf-8"?>
<calcChain xmlns="http://schemas.openxmlformats.org/spreadsheetml/2006/main">
  <c r="E47" i="4" l="1"/>
  <c r="B40" i="4"/>
  <c r="E25" i="4"/>
  <c r="E24" i="4"/>
  <c r="E23" i="4"/>
  <c r="D16" i="4"/>
  <c r="D15" i="4"/>
  <c r="D14" i="4"/>
  <c r="B12" i="4"/>
  <c r="I7" i="4"/>
  <c r="A28" i="3"/>
  <c r="A22" i="3"/>
  <c r="R16" i="3"/>
  <c r="R15" i="3"/>
  <c r="R14" i="3"/>
  <c r="R13" i="3"/>
  <c r="A13" i="3"/>
  <c r="R12" i="3"/>
  <c r="R11" i="3"/>
  <c r="R10" i="3"/>
  <c r="R9" i="3"/>
  <c r="R8" i="3"/>
  <c r="R7" i="3"/>
  <c r="R6" i="3"/>
  <c r="R5" i="3"/>
  <c r="R4" i="3"/>
  <c r="R3" i="3"/>
  <c r="R2" i="3"/>
  <c r="R1" i="3"/>
  <c r="R1" i="2"/>
  <c r="F278" i="1"/>
  <c r="F277" i="1"/>
</calcChain>
</file>

<file path=xl/sharedStrings.xml><?xml version="1.0" encoding="utf-8"?>
<sst xmlns="http://schemas.openxmlformats.org/spreadsheetml/2006/main" count="5335" uniqueCount="1282">
  <si>
    <t>Equipo</t>
  </si>
  <si>
    <t>Servicio</t>
  </si>
  <si>
    <t>ID paciente</t>
  </si>
  <si>
    <t>Nombre paciente</t>
  </si>
  <si>
    <t>Fecha intervención</t>
  </si>
  <si>
    <t>Hora intervención</t>
  </si>
  <si>
    <t>Procedimiento</t>
  </si>
  <si>
    <t>PDA total (Gycm2)</t>
  </si>
  <si>
    <t>Dosis Pref (Gy)</t>
  </si>
  <si>
    <t>Tiempo irradiación (min)</t>
  </si>
  <si>
    <t>Necesita seguimiento</t>
  </si>
  <si>
    <t>Validado</t>
  </si>
  <si>
    <t>Radiofísico</t>
  </si>
  <si>
    <t>Fecha Validación</t>
  </si>
  <si>
    <t>Notificado</t>
  </si>
  <si>
    <t>GE Vascular</t>
  </si>
  <si>
    <t>Radiología</t>
  </si>
  <si>
    <t>DE LA TORRE POZO^JUAN</t>
  </si>
  <si>
    <t>26/05/2020</t>
  </si>
  <si>
    <t>8:49</t>
  </si>
  <si>
    <t>EMBOLIZACION HEPATICA</t>
  </si>
  <si>
    <t>SÍ</t>
  </si>
  <si>
    <t>Carlos Andrés Rodríguez</t>
  </si>
  <si>
    <t>Hemodinámicas Philips 1</t>
  </si>
  <si>
    <t>Cardiología</t>
  </si>
  <si>
    <t>HERRERA HERRERA^PEDRO</t>
  </si>
  <si>
    <t>28/05/2020</t>
  </si>
  <si>
    <t>12:09</t>
  </si>
  <si>
    <t>Cardíaca</t>
  </si>
  <si>
    <t>MIGUEL CARGOL^ANTONIO</t>
  </si>
  <si>
    <t>08/06/2020</t>
  </si>
  <si>
    <t>8:59</t>
  </si>
  <si>
    <t>Hemodinámicas Philips 2</t>
  </si>
  <si>
    <t>SENDINO SANTOS^JUANA</t>
  </si>
  <si>
    <t>10/06/2020</t>
  </si>
  <si>
    <t>8:53</t>
  </si>
  <si>
    <t>CASTILLO LOPEZ^JUAN</t>
  </si>
  <si>
    <t>9:15</t>
  </si>
  <si>
    <t>CANO JEREZ^JOSE LUIS</t>
  </si>
  <si>
    <t>13/06/2020</t>
  </si>
  <si>
    <t>5:34</t>
  </si>
  <si>
    <t>SPASOV MIRCHEV^MIROSLAV</t>
  </si>
  <si>
    <t>15/06/2020</t>
  </si>
  <si>
    <t>9:22</t>
  </si>
  <si>
    <t>MARTINEZ TERRADILLOS^MATILDE</t>
  </si>
  <si>
    <t>16/06/2020</t>
  </si>
  <si>
    <t>12:28</t>
  </si>
  <si>
    <t>Manuel Agulla Otero</t>
  </si>
  <si>
    <t>NINO NIETO^MARIA JESUS</t>
  </si>
  <si>
    <t>9:44</t>
  </si>
  <si>
    <t>IVOV BELCHEV^ANDRIAN</t>
  </si>
  <si>
    <t>22/06/2020</t>
  </si>
  <si>
    <t>9:29</t>
  </si>
  <si>
    <t>PROC, TERAPEUTICO EMBOLIZACION</t>
  </si>
  <si>
    <t>26/06/2020</t>
  </si>
  <si>
    <t>8:33</t>
  </si>
  <si>
    <t>PERFECTO MORENO^VICTORINA</t>
  </si>
  <si>
    <t>15/07/2020</t>
  </si>
  <si>
    <t>18:13</t>
  </si>
  <si>
    <t>EMBOLIZACION DE HEMORRAGIA POR TRAUMATISMO</t>
  </si>
  <si>
    <t>ALVAREZ PEREZ^FELIPE</t>
  </si>
  <si>
    <t>23/07/2020</t>
  </si>
  <si>
    <t>11:55</t>
  </si>
  <si>
    <t>EMBOLIZACION TUMORAL (PALIATIVA O PRE-QUIRURGICA)</t>
  </si>
  <si>
    <t>VAQUERO MARTIN^JOSE LUIS</t>
  </si>
  <si>
    <t>28/07/2020</t>
  </si>
  <si>
    <t>10:14</t>
  </si>
  <si>
    <t>AORTOGRAFIA ABDOMINAL</t>
  </si>
  <si>
    <t>SANZ OLEA^ELENA</t>
  </si>
  <si>
    <t>10/08/2020</t>
  </si>
  <si>
    <t>9:35</t>
  </si>
  <si>
    <t>OTRAS EMBOLIZACIONES</t>
  </si>
  <si>
    <t>LORENZO LÓPEZ^FRANCISCO JAVIER</t>
  </si>
  <si>
    <t>17/08/2020</t>
  </si>
  <si>
    <t>16:19</t>
  </si>
  <si>
    <t>EMBOLIZACIÓN DE HEMORRAGIA POR TRAUMATISMO</t>
  </si>
  <si>
    <t>MARTIN LOPEZ^JOSE IGNACIO</t>
  </si>
  <si>
    <t>03/09/2020</t>
  </si>
  <si>
    <t>11:34</t>
  </si>
  <si>
    <t>BLAGOEV RADEV^FICHO</t>
  </si>
  <si>
    <t>17/09/2020</t>
  </si>
  <si>
    <t>9:18</t>
  </si>
  <si>
    <t>HERRERO ESCRIBANO^MANUEL VIDAL</t>
  </si>
  <si>
    <t>13:59</t>
  </si>
  <si>
    <t>Hemodinámicas Philips 3</t>
  </si>
  <si>
    <t>VIDAL ROMERA^JUSTINA</t>
  </si>
  <si>
    <t>21/09/2020</t>
  </si>
  <si>
    <t>10:33</t>
  </si>
  <si>
    <t>10/09/2020</t>
  </si>
  <si>
    <t>9:24</t>
  </si>
  <si>
    <t>NO</t>
  </si>
  <si>
    <t>SANZ PAUL^MARIANO</t>
  </si>
  <si>
    <t>14/09/2020</t>
  </si>
  <si>
    <t>9:26</t>
  </si>
  <si>
    <t>YUBERO MORENA^MARTINA</t>
  </si>
  <si>
    <t>12:24</t>
  </si>
  <si>
    <t>CASADO LABAJO^VICTOR</t>
  </si>
  <si>
    <t>02/10/2020</t>
  </si>
  <si>
    <t>11:08</t>
  </si>
  <si>
    <t>MARTINEZ LASO^FERNANDO</t>
  </si>
  <si>
    <t>07/10/2020</t>
  </si>
  <si>
    <t>14:13</t>
  </si>
  <si>
    <t>ARTERIOFRAFIA DIAGNOSTICA SELECTIVA</t>
  </si>
  <si>
    <t>RIOJA LOPEZ^MARIA ROSA</t>
  </si>
  <si>
    <t>29/06/2020</t>
  </si>
  <si>
    <t>11:54</t>
  </si>
  <si>
    <t>RUBIO MARTINEZ^MANUEL</t>
  </si>
  <si>
    <t>06/10/2020</t>
  </si>
  <si>
    <t>12:07</t>
  </si>
  <si>
    <t>FERNANDEZ DIEZ^LUIS</t>
  </si>
  <si>
    <t>14/10/2020</t>
  </si>
  <si>
    <t>11:58</t>
  </si>
  <si>
    <t>JIMENEZ DEL OJO^MARINA ZOSIMA</t>
  </si>
  <si>
    <t>15/10/2020</t>
  </si>
  <si>
    <t>8:39</t>
  </si>
  <si>
    <t>EMBOLIZACION DE HEMORRAGIA DIGESTIVA ALTA O BAJA</t>
  </si>
  <si>
    <t>CALZON ESTRADA^JUAN CARLOS</t>
  </si>
  <si>
    <t>21/10/2020</t>
  </si>
  <si>
    <t>10:21</t>
  </si>
  <si>
    <t>GONZALEZ ARIN^ALBERTO CESAR</t>
  </si>
  <si>
    <t>20/10/2020</t>
  </si>
  <si>
    <t>11:27</t>
  </si>
  <si>
    <t>SANZ GARCIA^ANTONIO</t>
  </si>
  <si>
    <t>03/11/2020</t>
  </si>
  <si>
    <t>10:16</t>
  </si>
  <si>
    <t>TAMAYO JIMENEZ^ANSELMO</t>
  </si>
  <si>
    <t>05/11/2020</t>
  </si>
  <si>
    <t>9:04</t>
  </si>
  <si>
    <t>QUIMIOEMBOLIZACION HEPATICA</t>
  </si>
  <si>
    <t>LEGIDO CHECA^GREGORIO</t>
  </si>
  <si>
    <t>06/11/2020</t>
  </si>
  <si>
    <t>9:01</t>
  </si>
  <si>
    <t>ABAD PEREZ^RAFAEL</t>
  </si>
  <si>
    <t>09/11/2020</t>
  </si>
  <si>
    <t>11:12</t>
  </si>
  <si>
    <t>10/11/2020</t>
  </si>
  <si>
    <t>11:31</t>
  </si>
  <si>
    <t>CENTENO PINATARO^JULIANA</t>
  </si>
  <si>
    <t>16:10</t>
  </si>
  <si>
    <t>GALLEGO HERRERO^FRANCISCO</t>
  </si>
  <si>
    <t>12:34</t>
  </si>
  <si>
    <t>RUIZ BURGOA^DONATILA</t>
  </si>
  <si>
    <t>13/11/2020</t>
  </si>
  <si>
    <t>9:58</t>
  </si>
  <si>
    <t>ARTISZEE</t>
  </si>
  <si>
    <t>RODRÍGUEZ PARÍS^CRISTOBAL</t>
  </si>
  <si>
    <t>18/11/2020</t>
  </si>
  <si>
    <t>9:28</t>
  </si>
  <si>
    <t>MERINO CASTRILLO^BENITO</t>
  </si>
  <si>
    <t>19/11/2020</t>
  </si>
  <si>
    <t>12:08</t>
  </si>
  <si>
    <t>Fluter común</t>
  </si>
  <si>
    <t>DE LEON FERNANDEZ^ALFREDO</t>
  </si>
  <si>
    <t>330317</t>
  </si>
  <si>
    <t>VERONA GONZÁLEZ^JOSÉ IGNACIO</t>
  </si>
  <si>
    <t>26/11/2020</t>
  </si>
  <si>
    <t>12:33</t>
  </si>
  <si>
    <t>FLUTTER AURICULAR</t>
  </si>
  <si>
    <t>REYERO GARCIA^ROSARIO</t>
  </si>
  <si>
    <t>27/11/2020</t>
  </si>
  <si>
    <t>18:23</t>
  </si>
  <si>
    <t>ANGIOPLASTIA FISTULA A.V. HEMODILIASIS</t>
  </si>
  <si>
    <t>BERNAL ANDRINO^FRANCISCA</t>
  </si>
  <si>
    <t>09/12/2020</t>
  </si>
  <si>
    <t>8:56</t>
  </si>
  <si>
    <t>EMBOLIZACION DE ANEURISMAS</t>
  </si>
  <si>
    <t>MORENO DE FRUTOS^SEGUNDO^^^</t>
  </si>
  <si>
    <t>10:05</t>
  </si>
  <si>
    <t>EF cardíaca</t>
  </si>
  <si>
    <t>BIPLANO</t>
  </si>
  <si>
    <t>431133</t>
  </si>
  <si>
    <t>CALVO RECIO^MONICA</t>
  </si>
  <si>
    <t>08/12/2020</t>
  </si>
  <si>
    <t>17:21</t>
  </si>
  <si>
    <t>ANGIOPLASTIA INTRACEREBRAL</t>
  </si>
  <si>
    <t>GAGO GELADO^JOSE LUIS</t>
  </si>
  <si>
    <t>14/12/2020</t>
  </si>
  <si>
    <t>17:53</t>
  </si>
  <si>
    <t>MARTIN GUTIERREZ^MARGARITO</t>
  </si>
  <si>
    <t>15/12/2020</t>
  </si>
  <si>
    <t>10:32</t>
  </si>
  <si>
    <t>REBANAL ANTOLIN^ANGEL</t>
  </si>
  <si>
    <t>19/12/2020</t>
  </si>
  <si>
    <t>20:44</t>
  </si>
  <si>
    <t>650152</t>
  </si>
  <si>
    <t>LÓPEZ PINA^ÁNGEL</t>
  </si>
  <si>
    <t>20/12/2020</t>
  </si>
  <si>
    <t>18:47</t>
  </si>
  <si>
    <t>ONGAY GONZÁLEZ^JULIÁN MARÍA</t>
  </si>
  <si>
    <t>21/12/2020</t>
  </si>
  <si>
    <t>2:51</t>
  </si>
  <si>
    <t>650186</t>
  </si>
  <si>
    <t>GONZALEZ TAPIA^SANTIAGO</t>
  </si>
  <si>
    <t>22/12/2020</t>
  </si>
  <si>
    <t>8:18</t>
  </si>
  <si>
    <t>PEREZ ALVAREZ^TOMAS</t>
  </si>
  <si>
    <t>30/12/2020</t>
  </si>
  <si>
    <t>8:42</t>
  </si>
  <si>
    <t>220444</t>
  </si>
  <si>
    <t>RODRÍGUEZ DE LA HUERGA^EMILIO</t>
  </si>
  <si>
    <t>07/01/2021</t>
  </si>
  <si>
    <t>15:05</t>
  </si>
  <si>
    <t>SILVA ESPINO^EDUARDO</t>
  </si>
  <si>
    <t>11/01/2021</t>
  </si>
  <si>
    <t>DIEZ LOPEZ^MONTSERRAT</t>
  </si>
  <si>
    <t>12/01/2021</t>
  </si>
  <si>
    <t>10:24</t>
  </si>
  <si>
    <t>OLIVA SANZ^ALFONSO</t>
  </si>
  <si>
    <t>21:34</t>
  </si>
  <si>
    <t>CAVERO HERNÁNDEZ^JOSÉ ANTONIO</t>
  </si>
  <si>
    <t>14/01/2021</t>
  </si>
  <si>
    <t>3:06</t>
  </si>
  <si>
    <t>ROMERO MATEO^JUAN ANTONIO</t>
  </si>
  <si>
    <t>18/01/2021</t>
  </si>
  <si>
    <t>9:06</t>
  </si>
  <si>
    <t>ESTEBAN TRISTAN^AGUSTIN</t>
  </si>
  <si>
    <t>20/01/2021</t>
  </si>
  <si>
    <t>8:38</t>
  </si>
  <si>
    <t>GALAN CORREA^AMADO JESUS</t>
  </si>
  <si>
    <t>8:58</t>
  </si>
  <si>
    <t>CUBERO SANCHEZ^ANGEL LUIS</t>
  </si>
  <si>
    <t>22/01/2021</t>
  </si>
  <si>
    <t>9:37</t>
  </si>
  <si>
    <t>PÉREZ BAYÓN^SOLEDAD</t>
  </si>
  <si>
    <t>25/01/2021</t>
  </si>
  <si>
    <t>12:39</t>
  </si>
  <si>
    <t>CATÉTER SIN TRACTO SUBCUTÁNEO</t>
  </si>
  <si>
    <t>GALARZA CORREA^ERCILIA</t>
  </si>
  <si>
    <t>26/01/2021</t>
  </si>
  <si>
    <t>10:28</t>
  </si>
  <si>
    <t>SANCHEZ BARRUL^PAOLA</t>
  </si>
  <si>
    <t>27/01/2021</t>
  </si>
  <si>
    <t>EMBOLIZACION DE MALFORMACION VASCULAR</t>
  </si>
  <si>
    <t>GARCIA PANIAGUA^ANTONINO</t>
  </si>
  <si>
    <t>7:43</t>
  </si>
  <si>
    <t>VILLAFRUELA DÍEZ^LUIS</t>
  </si>
  <si>
    <t>30/01/2021</t>
  </si>
  <si>
    <t>18:11</t>
  </si>
  <si>
    <t>EMBOLIZACION POR VIA VENOSA INTRACRANEAL (MAV DURALES, ETC)</t>
  </si>
  <si>
    <t>651348</t>
  </si>
  <si>
    <t>NACAR REDONDO^TERESA</t>
  </si>
  <si>
    <t>03/02/2021</t>
  </si>
  <si>
    <t>23:35</t>
  </si>
  <si>
    <t>HERRERA GARCIA^EUGENIO</t>
  </si>
  <si>
    <t>497399</t>
  </si>
  <si>
    <t>DELGADO GONZÁLEZ^ÁNGELA</t>
  </si>
  <si>
    <t>05/02/2021</t>
  </si>
  <si>
    <t>19:00</t>
  </si>
  <si>
    <t>EMBOLIZACION DE ANEURISMA INTRACRANEA (UNA LESION)</t>
  </si>
  <si>
    <t>512635</t>
  </si>
  <si>
    <t>GÓMEZ DE LA ROSA^ALFONSO</t>
  </si>
  <si>
    <t>07/02/2021</t>
  </si>
  <si>
    <t>15:39</t>
  </si>
  <si>
    <t>12/02/2021</t>
  </si>
  <si>
    <t>8:14</t>
  </si>
  <si>
    <t>PEREZ ZAPATERO^MARIA JOSE</t>
  </si>
  <si>
    <t>16/02/2021</t>
  </si>
  <si>
    <t>10:15</t>
  </si>
  <si>
    <t>ARTERIOGRAFIA VISCERAL DIGESTIVA</t>
  </si>
  <si>
    <t>RINCON MERINO^GABRIEL</t>
  </si>
  <si>
    <t>22/02/2021</t>
  </si>
  <si>
    <t>10:11</t>
  </si>
  <si>
    <t>1692265</t>
  </si>
  <si>
    <t>GARCÍA BENITO^IGNACIO</t>
  </si>
  <si>
    <t>20/02/2021</t>
  </si>
  <si>
    <t>19:38</t>
  </si>
  <si>
    <t>ZUMEL GARCIA^PABLO</t>
  </si>
  <si>
    <t>24/02/2021</t>
  </si>
  <si>
    <t>11:46</t>
  </si>
  <si>
    <t>VELASCO CANTALEJO^MIGUEL ANGEL</t>
  </si>
  <si>
    <t>5:16</t>
  </si>
  <si>
    <t>01/03/2021</t>
  </si>
  <si>
    <t>10:44</t>
  </si>
  <si>
    <t>BLANCO FERNANDEZ^CARMEN</t>
  </si>
  <si>
    <t>12:51</t>
  </si>
  <si>
    <t>MIGUEL VEGA^JOSE MARIA</t>
  </si>
  <si>
    <t>03/03/2021</t>
  </si>
  <si>
    <t>8:17</t>
  </si>
  <si>
    <t>GONZALEZ GUTIERREZ^MARIA HENAR</t>
  </si>
  <si>
    <t>08/03/2021</t>
  </si>
  <si>
    <t>8:37</t>
  </si>
  <si>
    <t>SASTRE PEDRO^ENRIQUE</t>
  </si>
  <si>
    <t>15/03/2021</t>
  </si>
  <si>
    <t>8:20</t>
  </si>
  <si>
    <t>PASTOR REBOLLAR^LUIS</t>
  </si>
  <si>
    <t>16/03/2021</t>
  </si>
  <si>
    <t>633617</t>
  </si>
  <si>
    <t>VEGA LUIS^ARSENIO</t>
  </si>
  <si>
    <t>8:55</t>
  </si>
  <si>
    <t>EMBOLIZACION PERCUTANEA DE LESIONES TUMORALES</t>
  </si>
  <si>
    <t>18/03/2021</t>
  </si>
  <si>
    <t>8:28</t>
  </si>
  <si>
    <t>SANZ CUESTA^FELIPE</t>
  </si>
  <si>
    <t>17/03/2021</t>
  </si>
  <si>
    <t>8:45</t>
  </si>
  <si>
    <t>EMBOLIZACION BRONQUIAL</t>
  </si>
  <si>
    <t>MUÑOZ MARTIN^JOSE MANUEL</t>
  </si>
  <si>
    <t>19/03/2021</t>
  </si>
  <si>
    <t>8:41</t>
  </si>
  <si>
    <t>MOYANO YUSTE^ROSALINA</t>
  </si>
  <si>
    <t>20/03/2021</t>
  </si>
  <si>
    <t>18:49</t>
  </si>
  <si>
    <t>AMADOR AGUILAR^ANTONIO</t>
  </si>
  <si>
    <t>22/03/2021</t>
  </si>
  <si>
    <t>RAMOS MORAN^MIGUEL ANGEL</t>
  </si>
  <si>
    <t>24/03/2021</t>
  </si>
  <si>
    <t>12:40</t>
  </si>
  <si>
    <t>LLANOS GARCIA^ANDRES</t>
  </si>
  <si>
    <t>11:02</t>
  </si>
  <si>
    <t>PEREZ NIETO^JUAN JOSE</t>
  </si>
  <si>
    <t>5:45</t>
  </si>
  <si>
    <t>MOLINA HOLGUIN^VICTOR</t>
  </si>
  <si>
    <t>25/03/2021</t>
  </si>
  <si>
    <t>12:32</t>
  </si>
  <si>
    <t>EMBOLIZACION SUPRASELECTIVA INTRACRANEAL (MAV)</t>
  </si>
  <si>
    <t>CAMARA LORENZO^CARLOS JAVIER</t>
  </si>
  <si>
    <t>26/03/2021</t>
  </si>
  <si>
    <t>9:56</t>
  </si>
  <si>
    <t>MORALES LORENZO^DIEGO</t>
  </si>
  <si>
    <t>29/03/2021</t>
  </si>
  <si>
    <t>10:31</t>
  </si>
  <si>
    <t>CORDOBA DAVILA^EUGENIO</t>
  </si>
  <si>
    <t>28/03/2021</t>
  </si>
  <si>
    <t>23:26</t>
  </si>
  <si>
    <t>ALVAREZ MODRONO^LEONOR</t>
  </si>
  <si>
    <t>30/03/2021</t>
  </si>
  <si>
    <t>10:38</t>
  </si>
  <si>
    <t>ROMERA ROMERA^LIRIA</t>
  </si>
  <si>
    <t>31/03/2021</t>
  </si>
  <si>
    <t>10:58</t>
  </si>
  <si>
    <t>GARRIGA SORDO^GEMA</t>
  </si>
  <si>
    <t>ANGIOGRAFIA CEREBRAL COMPLETA</t>
  </si>
  <si>
    <t>HERNANDEZ RODRIGUEZ^VICTORIANA</t>
  </si>
  <si>
    <t>06/04/2021</t>
  </si>
  <si>
    <t>9:09</t>
  </si>
  <si>
    <t>BATICON LOPEZ^JOSE ANTONIO</t>
  </si>
  <si>
    <t>09/04/2021</t>
  </si>
  <si>
    <t>12:04</t>
  </si>
  <si>
    <t>ARRANZ IGLESIAS^CIRIACO</t>
  </si>
  <si>
    <t>12/04/2021</t>
  </si>
  <si>
    <t>11:24</t>
  </si>
  <si>
    <t>MARTIN MARTIN^MARIANO</t>
  </si>
  <si>
    <t>19/04/2021</t>
  </si>
  <si>
    <t>10:23</t>
  </si>
  <si>
    <t>CALLEJA SANZ^FRANCISCO JAVIE</t>
  </si>
  <si>
    <t>23/10/2020</t>
  </si>
  <si>
    <t>8:25</t>
  </si>
  <si>
    <t>SAOULA LAHLOU^DRISS</t>
  </si>
  <si>
    <t>29/04/2021</t>
  </si>
  <si>
    <t>13:09</t>
  </si>
  <si>
    <t>236892</t>
  </si>
  <si>
    <t>QUIJADA LUIS^MARIA LORETO</t>
  </si>
  <si>
    <t>28/04/2021</t>
  </si>
  <si>
    <t>13:29</t>
  </si>
  <si>
    <t>CARAZO ABAJO^FIDEL</t>
  </si>
  <si>
    <t>03/05/2021</t>
  </si>
  <si>
    <t>BAZAN DOMINGUEZ^LADISLADA</t>
  </si>
  <si>
    <t>05/05/2021</t>
  </si>
  <si>
    <t>19:28</t>
  </si>
  <si>
    <t>VILLAHOZ GONZALEZ^DOMINGO</t>
  </si>
  <si>
    <t>06/05/2021</t>
  </si>
  <si>
    <t>16:26</t>
  </si>
  <si>
    <t>ANGIOPLASTIA TRONCOS VISCERALES DIGESTIVOS</t>
  </si>
  <si>
    <t>603102</t>
  </si>
  <si>
    <t>HOLGUERAS PASCUAL^MOISES</t>
  </si>
  <si>
    <t>9:05</t>
  </si>
  <si>
    <t>GUTIERREZ DE FRUTOS^EUSEBIO</t>
  </si>
  <si>
    <t>07/05/2021</t>
  </si>
  <si>
    <t>17:08</t>
  </si>
  <si>
    <t>GOZALO SANTOS^JAVIER</t>
  </si>
  <si>
    <t>10/05/2021</t>
  </si>
  <si>
    <t>11:45</t>
  </si>
  <si>
    <t>21.05.14-07:44:50-DST-137204</t>
  </si>
  <si>
    <t>14/05/2021</t>
  </si>
  <si>
    <t>7:49</t>
  </si>
  <si>
    <t>GOMEZ GOMEZ^JULIO</t>
  </si>
  <si>
    <t>15/05/2021</t>
  </si>
  <si>
    <t>PLAZA CARPINTERO^MARIA CARMEN</t>
  </si>
  <si>
    <t>19/05/2021</t>
  </si>
  <si>
    <t>655216</t>
  </si>
  <si>
    <t>PEREZ GARCIA^MIGUEL</t>
  </si>
  <si>
    <t>21/05/2021</t>
  </si>
  <si>
    <t>LEDO GONZALEZ^MARIA ANTONIA</t>
  </si>
  <si>
    <t>26/05/2021</t>
  </si>
  <si>
    <t>GONZALEZ HERNANDO^LUISA</t>
  </si>
  <si>
    <t>PEREZ RODRIGUEZ^CARMEN</t>
  </si>
  <si>
    <t>27/05/2021</t>
  </si>
  <si>
    <t>25/05/2021</t>
  </si>
  <si>
    <t>8:54</t>
  </si>
  <si>
    <t>ARTERIOGRAFIA MEDULAR</t>
  </si>
  <si>
    <t>BARTOLOME ANTON^FORTUNATO</t>
  </si>
  <si>
    <t>02/06/2021</t>
  </si>
  <si>
    <t>10:46</t>
  </si>
  <si>
    <t>1697607</t>
  </si>
  <si>
    <t>FAJARDO GALLARDO^MANUEL</t>
  </si>
  <si>
    <t>06/06/2021</t>
  </si>
  <si>
    <t>1:49</t>
  </si>
  <si>
    <t>PEREZ CILLEROS^JUAN MARIA</t>
  </si>
  <si>
    <t>07/06/2021</t>
  </si>
  <si>
    <t>20:06</t>
  </si>
  <si>
    <t>MORCHON ALONSO^IGNACIO</t>
  </si>
  <si>
    <t>11/06/2021</t>
  </si>
  <si>
    <t>8:31</t>
  </si>
  <si>
    <t>PROC</t>
  </si>
  <si>
    <t>DE DIOS MARTINEZ^JOSE ANTONIO</t>
  </si>
  <si>
    <t>14/06/2021</t>
  </si>
  <si>
    <t>MARTIN ANTOLINO^LUCILO</t>
  </si>
  <si>
    <t>15/06/2021</t>
  </si>
  <si>
    <t>8:50</t>
  </si>
  <si>
    <t>BLANCO CAMINERO^HERACLIO</t>
  </si>
  <si>
    <t>16/06/2021</t>
  </si>
  <si>
    <t>13:41</t>
  </si>
  <si>
    <t>655538</t>
  </si>
  <si>
    <t>PASTOR ZAPATA^FRANCISCA</t>
  </si>
  <si>
    <t>9:03</t>
  </si>
  <si>
    <t>CUBERO MARTIN^JULITA</t>
  </si>
  <si>
    <t>17/06/2021</t>
  </si>
  <si>
    <t>9:52</t>
  </si>
  <si>
    <t>MATA CASARES^JOSE MANUEL</t>
  </si>
  <si>
    <t>18/06/2021</t>
  </si>
  <si>
    <t>9:46</t>
  </si>
  <si>
    <t>TORIO MUNOZ^MIGUEL ANGEL</t>
  </si>
  <si>
    <t>24/06/2021</t>
  </si>
  <si>
    <t>MATESANZ LUBIANO^JULIO CESAR</t>
  </si>
  <si>
    <t>22/06/2021</t>
  </si>
  <si>
    <t>CONTRERAS GARCIA^MARIA JOSE</t>
  </si>
  <si>
    <t>21:48</t>
  </si>
  <si>
    <t>DOMINGUEZ MARTIN^DONACIANO</t>
  </si>
  <si>
    <t>28/06/2021</t>
  </si>
  <si>
    <t>MARTIN MARTIN^MARÍA MARCELINA</t>
  </si>
  <si>
    <t>04/07/2021</t>
  </si>
  <si>
    <t>12:00</t>
  </si>
  <si>
    <t>FERNANDEZ SANCHEZ^SANTIAGO</t>
  </si>
  <si>
    <t>07/07/2021</t>
  </si>
  <si>
    <t>SANTANDER RODRIGUEZ^JESUS FERMIN</t>
  </si>
  <si>
    <t>12:48</t>
  </si>
  <si>
    <t>ALONSO CRESPO^JULIÁN ANTONIO</t>
  </si>
  <si>
    <t>13/07/2021</t>
  </si>
  <si>
    <t>9:08</t>
  </si>
  <si>
    <t>NECHES DIEZ^ANIANO</t>
  </si>
  <si>
    <t>15/07/2021</t>
  </si>
  <si>
    <t>10:56</t>
  </si>
  <si>
    <t>GONZALEZ VALLEJO^MARIANO</t>
  </si>
  <si>
    <t>19/07/2021</t>
  </si>
  <si>
    <t>1700583</t>
  </si>
  <si>
    <t>22/07/2021</t>
  </si>
  <si>
    <t>IGLESIAS GUTIERREZ^JOSE LUIS</t>
  </si>
  <si>
    <t>26/07/2021</t>
  </si>
  <si>
    <t>9:33</t>
  </si>
  <si>
    <t>BLANCO ALLER^GREGORIO</t>
  </si>
  <si>
    <t>28/07/2021</t>
  </si>
  <si>
    <t>10:42</t>
  </si>
  <si>
    <t>GONZÁLEZ LASO^JUANA MARÍA</t>
  </si>
  <si>
    <t>29/07/2021</t>
  </si>
  <si>
    <t>9:25</t>
  </si>
  <si>
    <t>GARCÍA HERNÁNDEZ^JULIO</t>
  </si>
  <si>
    <t>CROS GABARRON^ANA</t>
  </si>
  <si>
    <t>30/07/2021</t>
  </si>
  <si>
    <t>PALOMERO CUBO^MARIA JESUS</t>
  </si>
  <si>
    <t>01/08/2021</t>
  </si>
  <si>
    <t>20:52</t>
  </si>
  <si>
    <t>VAL DE FRUTOS^CRISPINIANO</t>
  </si>
  <si>
    <t>02/08/2021</t>
  </si>
  <si>
    <t>9:45</t>
  </si>
  <si>
    <t>ESCUDERO MARMOL^FERNANDO</t>
  </si>
  <si>
    <t>04/08/2021</t>
  </si>
  <si>
    <t>8:21</t>
  </si>
  <si>
    <t>SOTO MARTINEZ^JOSE LUIS</t>
  </si>
  <si>
    <t>11:39</t>
  </si>
  <si>
    <t>201722</t>
  </si>
  <si>
    <t>DIEZ CUERVO^SOCORRO</t>
  </si>
  <si>
    <t>03/08/2021</t>
  </si>
  <si>
    <t>16:58</t>
  </si>
  <si>
    <t>09/08/2021</t>
  </si>
  <si>
    <t>ANTON FERNANDEZ^JORGE</t>
  </si>
  <si>
    <t>MARCOS SANCHEZ^JOSE</t>
  </si>
  <si>
    <t>10/08/2021</t>
  </si>
  <si>
    <t>3:16</t>
  </si>
  <si>
    <t>VALBUENA BARRENECHEA^MAR</t>
  </si>
  <si>
    <t>11/08/2021</t>
  </si>
  <si>
    <t>COCA HERNANDEZ^LAURA</t>
  </si>
  <si>
    <t>18/08/2021</t>
  </si>
  <si>
    <t>11:41</t>
  </si>
  <si>
    <t>658769</t>
  </si>
  <si>
    <t>AGUAVIVA PEREZ^MARIA AMPARO</t>
  </si>
  <si>
    <t>29/08/2021</t>
  </si>
  <si>
    <t>16:02</t>
  </si>
  <si>
    <t>CAMINO DE LA ROSA^AGUSTINA</t>
  </si>
  <si>
    <t>01/09/2021</t>
  </si>
  <si>
    <t>7:10</t>
  </si>
  <si>
    <t>298588</t>
  </si>
  <si>
    <t>DE BENITO MORAL^MIGUEL LUIS</t>
  </si>
  <si>
    <t>02/09/2021</t>
  </si>
  <si>
    <t>20:20</t>
  </si>
  <si>
    <t>10:01</t>
  </si>
  <si>
    <t>CUADRADO GONZÁLEZ^JESUSA PAULA</t>
  </si>
  <si>
    <t>08/09/2021</t>
  </si>
  <si>
    <t>22:50</t>
  </si>
  <si>
    <t>GIMENO BUSTAMANTE^FIDENCIA</t>
  </si>
  <si>
    <t>14/09/2021</t>
  </si>
  <si>
    <t>9:12</t>
  </si>
  <si>
    <t>FRAILE PRADO^ALEJANDRO</t>
  </si>
  <si>
    <t>15/09/2021</t>
  </si>
  <si>
    <t>16:05</t>
  </si>
  <si>
    <t>MULERO APARICIO^ANGEL</t>
  </si>
  <si>
    <t>16/09/2021</t>
  </si>
  <si>
    <t>8:15</t>
  </si>
  <si>
    <t>MARCOS GALLEGO^LUISA</t>
  </si>
  <si>
    <t>20/09/2021</t>
  </si>
  <si>
    <t>5:20</t>
  </si>
  <si>
    <t>TRIBIÑO ACEBES^INMACULADA</t>
  </si>
  <si>
    <t>21/09/2021</t>
  </si>
  <si>
    <t>9:13</t>
  </si>
  <si>
    <t>LOPEZ RASCADO^DOLORES</t>
  </si>
  <si>
    <t>24/09/2021</t>
  </si>
  <si>
    <t>HERNANDEZ FERNANDEZ^FELIX</t>
  </si>
  <si>
    <t>25/09/2021</t>
  </si>
  <si>
    <t>21:53</t>
  </si>
  <si>
    <t>SANZ MAILLO^JOSE LUIS</t>
  </si>
  <si>
    <t>27/09/2021</t>
  </si>
  <si>
    <t>11:48</t>
  </si>
  <si>
    <t>FERNANDEZ ANTON^MARTIN</t>
  </si>
  <si>
    <t>28/09/2021</t>
  </si>
  <si>
    <t>10:34</t>
  </si>
  <si>
    <t>TAPIOLES SANDIN^DAVID</t>
  </si>
  <si>
    <t>29/09/2021</t>
  </si>
  <si>
    <t>16:12</t>
  </si>
  <si>
    <t>PEREZ BORREGO^BONIFACIO</t>
  </si>
  <si>
    <t>04/10/2021</t>
  </si>
  <si>
    <t>FERNANDEZ CAMINO^MARIA ANGELES</t>
  </si>
  <si>
    <t>13:06</t>
  </si>
  <si>
    <t>CUESTA MARTINEZ^PEDRO GERMAN</t>
  </si>
  <si>
    <t>05/10/2021</t>
  </si>
  <si>
    <t>6:23</t>
  </si>
  <si>
    <t>LAZARO FERNANDEZ^JESUS</t>
  </si>
  <si>
    <t>06/10/2021</t>
  </si>
  <si>
    <t>23:45</t>
  </si>
  <si>
    <t>ARTERIOGRAFIA PELVICA</t>
  </si>
  <si>
    <t>FRUTOS SOTO^JOSE LUIS</t>
  </si>
  <si>
    <t>08/10/2021</t>
  </si>
  <si>
    <t>SANCHEZ SERRANO^JESUS</t>
  </si>
  <si>
    <t>14/10/2021</t>
  </si>
  <si>
    <t>GARCIA BLANCO^JOSE LUIS</t>
  </si>
  <si>
    <t>15:53</t>
  </si>
  <si>
    <t>DE DIOS PASCUAL^MARIA BEGOÑA</t>
  </si>
  <si>
    <t>13/10/2021</t>
  </si>
  <si>
    <t>16:36</t>
  </si>
  <si>
    <t>LABRADOR GARCIA^SANTIAGO</t>
  </si>
  <si>
    <t>18/10/2021</t>
  </si>
  <si>
    <t>SANZ HERRANZ^MARIA HENAR</t>
  </si>
  <si>
    <t>19/10/2021</t>
  </si>
  <si>
    <t>1703259</t>
  </si>
  <si>
    <t>SUAREZ FERNANDEZ^TERESA</t>
  </si>
  <si>
    <t>23/10/2021</t>
  </si>
  <si>
    <t>19:36</t>
  </si>
  <si>
    <t>ALONSO YAGUE^ESPERANZA</t>
  </si>
  <si>
    <t>26/10/2021</t>
  </si>
  <si>
    <t>11:20</t>
  </si>
  <si>
    <t>LAMA BETEGON^JESUS JAVIER</t>
  </si>
  <si>
    <t>04/11/2021</t>
  </si>
  <si>
    <t>14:17</t>
  </si>
  <si>
    <t>DELGADO GARCIA^LUISA</t>
  </si>
  <si>
    <t>7:11</t>
  </si>
  <si>
    <t>CASADO DIEZ^JUAN CARLOS</t>
  </si>
  <si>
    <t>06/11/2021</t>
  </si>
  <si>
    <t>23:44</t>
  </si>
  <si>
    <t>GOMEZ LOPEZ^ANTONIO</t>
  </si>
  <si>
    <t>07/11/2021</t>
  </si>
  <si>
    <t>14:11</t>
  </si>
  <si>
    <t>FRANCISCO DE FRUTOS^CESAR</t>
  </si>
  <si>
    <t>10/11/2021</t>
  </si>
  <si>
    <t>JIMENEZ NAVAS^JUAN ANTONIO</t>
  </si>
  <si>
    <t>13/11/2021</t>
  </si>
  <si>
    <t>23:18</t>
  </si>
  <si>
    <t>DE LA FUENTE GIRALDO^JAVIER</t>
  </si>
  <si>
    <t>14/11/2021</t>
  </si>
  <si>
    <t>23:19</t>
  </si>
  <si>
    <t>MUÑOZ SERRANO^NOELIA</t>
  </si>
  <si>
    <t>15/11/2021</t>
  </si>
  <si>
    <t>BLANCO GUIJARRO^LUIS</t>
  </si>
  <si>
    <t>17/11/2021</t>
  </si>
  <si>
    <t>10:10</t>
  </si>
  <si>
    <t>GARCIA GAGO^RAMON</t>
  </si>
  <si>
    <t>16/11/2021</t>
  </si>
  <si>
    <t>11:53</t>
  </si>
  <si>
    <t>DE LUCAS RENEDO^ANA</t>
  </si>
  <si>
    <t>18/11/2021</t>
  </si>
  <si>
    <t>8:47</t>
  </si>
  <si>
    <t>MONTOYA RODRIGUEZ^ANTONIO JESUS</t>
  </si>
  <si>
    <t>22/11/2021</t>
  </si>
  <si>
    <t>SEVILLA GARCIA^MARIA NURIA</t>
  </si>
  <si>
    <t>MATO MARTIN^FELIPE</t>
  </si>
  <si>
    <t>24/11/2021</t>
  </si>
  <si>
    <t>13:00</t>
  </si>
  <si>
    <t>LUIS RODRIGUEZ^BENEDICTO</t>
  </si>
  <si>
    <t>30/11/2021</t>
  </si>
  <si>
    <t>7:39</t>
  </si>
  <si>
    <t>SANCHEZ NAVARRO^ANTONIO</t>
  </si>
  <si>
    <t>03/12/2021</t>
  </si>
  <si>
    <t>FERNANDEZ BRAVO^BONIFACIO</t>
  </si>
  <si>
    <t>12:52</t>
  </si>
  <si>
    <t>MARTÍN CRESPO^CÉSAR ALBERTO^^^</t>
  </si>
  <si>
    <t>19:18</t>
  </si>
  <si>
    <t>MEDIERO MOREDA^BRUNO</t>
  </si>
  <si>
    <t>9:19</t>
  </si>
  <si>
    <t>ALVAREZ ROMERO^JUAN</t>
  </si>
  <si>
    <t>12/08/2021</t>
  </si>
  <si>
    <t>9:27</t>
  </si>
  <si>
    <t>RODRIGUEZ GRANDE^LUIS ALBERTO</t>
  </si>
  <si>
    <t>13/12/2021</t>
  </si>
  <si>
    <t>9:14</t>
  </si>
  <si>
    <t>ANGIOPLASTIA OTRAS ARTERIAS</t>
  </si>
  <si>
    <t>GARCIA LEONES^JOSE MANUEL</t>
  </si>
  <si>
    <t>14/12/2021</t>
  </si>
  <si>
    <t>10:22</t>
  </si>
  <si>
    <t>16/12/2021</t>
  </si>
  <si>
    <t>66287O</t>
  </si>
  <si>
    <t>MARTINEZ AMAGO^RAMON^^^</t>
  </si>
  <si>
    <t>19/12/2021</t>
  </si>
  <si>
    <t>18:14</t>
  </si>
  <si>
    <t>BRAVO PELAEZ^PILAR LAURA</t>
  </si>
  <si>
    <t>20/12/2021</t>
  </si>
  <si>
    <t>VINAS MORALES^ANTONIO</t>
  </si>
  <si>
    <t>21/12/2021</t>
  </si>
  <si>
    <t>11:14</t>
  </si>
  <si>
    <t>BLAZQUEZ ARCOS^ENCARNACION</t>
  </si>
  <si>
    <t>23/12/2021</t>
  </si>
  <si>
    <t>12:03</t>
  </si>
  <si>
    <t>GUTIERREZ RODRIGUEZ^JOSE MARCELIANO</t>
  </si>
  <si>
    <t>26/12/2021</t>
  </si>
  <si>
    <t>23:33</t>
  </si>
  <si>
    <t>LOPEZ HERRERA^ISABEL</t>
  </si>
  <si>
    <t>31/12/2021</t>
  </si>
  <si>
    <t>18:30</t>
  </si>
  <si>
    <t>02/01/2022</t>
  </si>
  <si>
    <t>14:54</t>
  </si>
  <si>
    <t>GUTIERREZ MARTIN^JOSE MANUEL</t>
  </si>
  <si>
    <t>07/01/2022</t>
  </si>
  <si>
    <t>11:16</t>
  </si>
  <si>
    <t>COBOS BENITO^JUAN</t>
  </si>
  <si>
    <t>12/01/2022</t>
  </si>
  <si>
    <t>13:11</t>
  </si>
  <si>
    <t>PINAR PEREZ^PILAR</t>
  </si>
  <si>
    <t>16/01/2022</t>
  </si>
  <si>
    <t>12:35</t>
  </si>
  <si>
    <t>648128</t>
  </si>
  <si>
    <t>DE VEGA GARCIA^FRANCISCO NICOLAS</t>
  </si>
  <si>
    <t>17/01/2022</t>
  </si>
  <si>
    <t>7:33</t>
  </si>
  <si>
    <t>IGLESIAS PAHINO^JESUS</t>
  </si>
  <si>
    <t>21/01/2022</t>
  </si>
  <si>
    <t>AORTOGRAFIA TORACICA</t>
  </si>
  <si>
    <t>GARCIA MONROY^M.RESURRECCION</t>
  </si>
  <si>
    <t>18:34</t>
  </si>
  <si>
    <t>CAICEDO MOSQUERA^YULENY</t>
  </si>
  <si>
    <t>24/01/2022</t>
  </si>
  <si>
    <t>9:30</t>
  </si>
  <si>
    <t>FLEBOGRAFIA DIAG. SELECT. Y/O SUPRASEL</t>
  </si>
  <si>
    <t>SAN JOSE SANZ^PEDRO</t>
  </si>
  <si>
    <t>25/01/2022</t>
  </si>
  <si>
    <t>CASADO GONZALEZ^JUANA</t>
  </si>
  <si>
    <t>26/01/2022</t>
  </si>
  <si>
    <t>12:10</t>
  </si>
  <si>
    <t>11:11</t>
  </si>
  <si>
    <t>ORTEGO DE LA FUENTE^MATEO</t>
  </si>
  <si>
    <t>08/02/2022</t>
  </si>
  <si>
    <t>12:02</t>
  </si>
  <si>
    <t>OLMOS ARRANZ^SILVIA</t>
  </si>
  <si>
    <t>07/02/2022</t>
  </si>
  <si>
    <t>EMBOLIZACION CAROTIDA EXTERNA</t>
  </si>
  <si>
    <t>17/02/2022</t>
  </si>
  <si>
    <t>SANTIAGO DIAZ^CIPRIANO</t>
  </si>
  <si>
    <t>15:22</t>
  </si>
  <si>
    <t>REVUELTA DIEZ^TOMASA</t>
  </si>
  <si>
    <t>20/02/2022</t>
  </si>
  <si>
    <t>17:36</t>
  </si>
  <si>
    <t>631252</t>
  </si>
  <si>
    <t>PEREZ ALONSO^EUSEBIO</t>
  </si>
  <si>
    <t>25/02/2022</t>
  </si>
  <si>
    <t>3:44</t>
  </si>
  <si>
    <t>SASTRE CONDE^JOSE ANTONIO</t>
  </si>
  <si>
    <t>07/09/2022</t>
  </si>
  <si>
    <t>12:44</t>
  </si>
  <si>
    <t>SANCHEZ MACIAS^MARIA AUGUSTA</t>
  </si>
  <si>
    <t>08/09/2022</t>
  </si>
  <si>
    <t>13:50</t>
  </si>
  <si>
    <t>ALONSO BLANCO^JOSE MIGUEL</t>
  </si>
  <si>
    <t>14/09/2022</t>
  </si>
  <si>
    <t>16:09</t>
  </si>
  <si>
    <t>260930</t>
  </si>
  <si>
    <t>GARCIA GARRIDO^MARIANO</t>
  </si>
  <si>
    <t>19/09/2022</t>
  </si>
  <si>
    <t>JUSTE CARRASCAL^LUIS</t>
  </si>
  <si>
    <t>23/09/2022</t>
  </si>
  <si>
    <t>10:0.</t>
  </si>
  <si>
    <t>GONZALEZ QUINTANO^MANUEL</t>
  </si>
  <si>
    <t>03/10/2022</t>
  </si>
  <si>
    <t>9:21</t>
  </si>
  <si>
    <t>LLORENTE DIEZ^LUCAS</t>
  </si>
  <si>
    <t>18/10/2022</t>
  </si>
  <si>
    <t>8:05</t>
  </si>
  <si>
    <t>SERNA MARTIN^JESUS</t>
  </si>
  <si>
    <t>25/10/2022</t>
  </si>
  <si>
    <t>7:40</t>
  </si>
  <si>
    <t>NAVARRO NIÑO^MARCELO</t>
  </si>
  <si>
    <t>03/11/2022</t>
  </si>
  <si>
    <t>RAMA REY^ANTONIO</t>
  </si>
  <si>
    <t>LUENGOS GARROTE^LOURDES</t>
  </si>
  <si>
    <t>10/11/2022</t>
  </si>
  <si>
    <t>FRADEJAS PEREZ^GABRIEL</t>
  </si>
  <si>
    <t>11/11/2022</t>
  </si>
  <si>
    <t>PARRADO CASTRO^AMADO</t>
  </si>
  <si>
    <t>GOMEZ FERNANDEZ^JOSE</t>
  </si>
  <si>
    <t>14/11/2022</t>
  </si>
  <si>
    <t>CIUDAD POZO^JOSE</t>
  </si>
  <si>
    <t>633869</t>
  </si>
  <si>
    <t>273297</t>
  </si>
  <si>
    <t>AREVALO NIETO^MARIA LUISA</t>
  </si>
  <si>
    <t>29/11/2022</t>
  </si>
  <si>
    <t>9:42</t>
  </si>
  <si>
    <t>ESTUDIO MALFORMACION VASCULAR</t>
  </si>
  <si>
    <t>FERNANDEZ BECARES^CALIXTO</t>
  </si>
  <si>
    <t>01/12/2022</t>
  </si>
  <si>
    <t>CASTANO MARTIN^ROSARIO</t>
  </si>
  <si>
    <t>CAZURRO GONZALEZ^JULIA</t>
  </si>
  <si>
    <t>09/12/2022</t>
  </si>
  <si>
    <t>COLLADO ACOSTA^JOSE</t>
  </si>
  <si>
    <t>12/12/2022</t>
  </si>
  <si>
    <t>ARNAIZ ZAMORANO^CELIA</t>
  </si>
  <si>
    <t>14/12/2022</t>
  </si>
  <si>
    <t>TENAJAS JIMENEZ^JOSE MIGUEL</t>
  </si>
  <si>
    <t>21/12/2022</t>
  </si>
  <si>
    <t>9:38</t>
  </si>
  <si>
    <t>MARTIN PEREZ^JOSE LUIS</t>
  </si>
  <si>
    <t>03/01/2023</t>
  </si>
  <si>
    <t>ORTUNEZ CONDE^FELIX</t>
  </si>
  <si>
    <t>05/01/2023</t>
  </si>
  <si>
    <t>10:55</t>
  </si>
  <si>
    <t>FERNANDEZ PALMERO^PILAR</t>
  </si>
  <si>
    <t>10/01/2023</t>
  </si>
  <si>
    <t>24/01/2023</t>
  </si>
  <si>
    <t>PORTERO ENRIQUEZ^JULIANA</t>
  </si>
  <si>
    <t>31/01/2023</t>
  </si>
  <si>
    <t>10:20</t>
  </si>
  <si>
    <t>SEVILLANO PEREZ^MARIA JESUS</t>
  </si>
  <si>
    <t>01/02/2023</t>
  </si>
  <si>
    <t>SAAVEDRA VELEZ^MARIA DEL CARMEN</t>
  </si>
  <si>
    <t>07/02/2023</t>
  </si>
  <si>
    <t>92:80</t>
  </si>
  <si>
    <t>GOMEZ GOMEZ^MARIA JESUS</t>
  </si>
  <si>
    <t>DE LA FUENTE ACEVES^JOSE MARIA</t>
  </si>
  <si>
    <t>08/02/2023</t>
  </si>
  <si>
    <t>16/02/2023</t>
  </si>
  <si>
    <t>8:34</t>
  </si>
  <si>
    <t>CUERVO ABARQUERO^JUAN CARLOS</t>
  </si>
  <si>
    <t>16:22</t>
  </si>
  <si>
    <t>GUIJARRO REVILLA^ANTONIO</t>
  </si>
  <si>
    <t>HUERTA NOGALES^DAVID</t>
  </si>
  <si>
    <t>17/02/2023</t>
  </si>
  <si>
    <t>DE CELA FERNANDEZ^JOSEFA</t>
  </si>
  <si>
    <t>20/02/2023</t>
  </si>
  <si>
    <t>ISABEL SANZ^CLARA</t>
  </si>
  <si>
    <t>12:06</t>
  </si>
  <si>
    <t>MERESESCU^THEODOR ALIN</t>
  </si>
  <si>
    <t>10:39</t>
  </si>
  <si>
    <t>RODADO HORCAJADA^MARIA ANGELES</t>
  </si>
  <si>
    <t>27/02/2023</t>
  </si>
  <si>
    <t>8:32</t>
  </si>
  <si>
    <t>SAN JOSE MARTIN^JOSE LUIS</t>
  </si>
  <si>
    <t>26/02/2023</t>
  </si>
  <si>
    <t>REQUEJO CARNICERO^JOSE LUIS</t>
  </si>
  <si>
    <t>21/03/2023</t>
  </si>
  <si>
    <t>SANZ ATIENZA^SHEILA</t>
  </si>
  <si>
    <t>13:33</t>
  </si>
  <si>
    <t>ASENSIO CASQUETE^CLAUDIA</t>
  </si>
  <si>
    <t>23/03/2023</t>
  </si>
  <si>
    <t>Sofía Pena Vaquero</t>
  </si>
  <si>
    <t>HIBRIDO</t>
  </si>
  <si>
    <t>CIRUGIA VASCULAR</t>
  </si>
  <si>
    <t>MERINO BAYON^JAVIER</t>
  </si>
  <si>
    <t>17/03/2023</t>
  </si>
  <si>
    <t>EXPLORACIONES QUIROFANO VASCULAR</t>
  </si>
  <si>
    <t>LOPEZ-BACHILLER FERNANDEZ^PAULINO</t>
  </si>
  <si>
    <t>28/03/2023</t>
  </si>
  <si>
    <t>SAN JOSE SIGUENZA^JESUS MARIA</t>
  </si>
  <si>
    <t>27/03/2023</t>
  </si>
  <si>
    <t>8:10</t>
  </si>
  <si>
    <t>MARTIN GIL^ANA MARIA</t>
  </si>
  <si>
    <t>03/04/2023</t>
  </si>
  <si>
    <t>DEL POZO VALVERDE^FELIX</t>
  </si>
  <si>
    <t>RODRIGUEZ MARTINEZ^ISABEL</t>
  </si>
  <si>
    <t>11/04/2023</t>
  </si>
  <si>
    <t>14:37</t>
  </si>
  <si>
    <t>GARCIA CARRERAS^RAFAEL</t>
  </si>
  <si>
    <t>12/04/2023</t>
  </si>
  <si>
    <t>14/04/2023</t>
  </si>
  <si>
    <t>9:02</t>
  </si>
  <si>
    <t>SAN SEGUNDO RETAMAL^VIRGILIO</t>
  </si>
  <si>
    <t>9:55</t>
  </si>
  <si>
    <t>MOLPECERES PARA^PABLO</t>
  </si>
  <si>
    <t>11:13</t>
  </si>
  <si>
    <t>MUNOZ DEL RIO^CARLOS</t>
  </si>
  <si>
    <t>25/04/2023</t>
  </si>
  <si>
    <t>11:05</t>
  </si>
  <si>
    <t>LOPEZ AGUADO^JUAN JOSE</t>
  </si>
  <si>
    <t>27/04/2023</t>
  </si>
  <si>
    <t>SANDINO LUIS^OCTAVIO</t>
  </si>
  <si>
    <t>28/04/2023</t>
  </si>
  <si>
    <t>10:08</t>
  </si>
  <si>
    <t>KHYNKOV PETROVA^TATIANA</t>
  </si>
  <si>
    <t>11:01</t>
  </si>
  <si>
    <t>02/05/2023</t>
  </si>
  <si>
    <t>DSA Extremities LD</t>
  </si>
  <si>
    <t>ESPINA DUQUE^AMADOR</t>
  </si>
  <si>
    <t>08/05/2023</t>
  </si>
  <si>
    <t>10:26</t>
  </si>
  <si>
    <t>PRIETO PRIETO^RAFAEL</t>
  </si>
  <si>
    <t>09/05/2023</t>
  </si>
  <si>
    <t>NOGALES GUTIERREZ^JESUS</t>
  </si>
  <si>
    <t>13/04/2023</t>
  </si>
  <si>
    <t>11:23</t>
  </si>
  <si>
    <t>Pediatric &gt; 40 kg</t>
  </si>
  <si>
    <t>GATON GRACIA^JESUS MARIA</t>
  </si>
  <si>
    <t>19/05/2023</t>
  </si>
  <si>
    <t>15:04</t>
  </si>
  <si>
    <t>NIETO SIMON^MAURO</t>
  </si>
  <si>
    <t>21/05/2023</t>
  </si>
  <si>
    <t>17:06</t>
  </si>
  <si>
    <t>23/05/2023</t>
  </si>
  <si>
    <t>DIEZ GONZALEZ^MARIA LAUREA</t>
  </si>
  <si>
    <t>25/05/2023</t>
  </si>
  <si>
    <t>10:00</t>
  </si>
  <si>
    <t>LOPEZ MENA^ISABEL</t>
  </si>
  <si>
    <t>29/05/2023</t>
  </si>
  <si>
    <t>MELENDRE GRANJA^BALTASAR</t>
  </si>
  <si>
    <t>31/05/2023</t>
  </si>
  <si>
    <t>ARRIBA GONZALEZ^RAFAEL^^^</t>
  </si>
  <si>
    <t>15:18</t>
  </si>
  <si>
    <t>05/06/2023</t>
  </si>
  <si>
    <t>GARCIA INES^RICARDO</t>
  </si>
  <si>
    <t>07/06/2023</t>
  </si>
  <si>
    <t>8:44</t>
  </si>
  <si>
    <t>ALMEIDA GONZALEZ^LEONARDO</t>
  </si>
  <si>
    <t>12/06/2023</t>
  </si>
  <si>
    <t>12:55</t>
  </si>
  <si>
    <t>MIGUEL HERRERO^LEOPOLDO</t>
  </si>
  <si>
    <t>13/06/2023</t>
  </si>
  <si>
    <t>8:52</t>
  </si>
  <si>
    <t>AYUSO ALAGUERO^JAIME</t>
  </si>
  <si>
    <t>14/06/2023</t>
  </si>
  <si>
    <t>9:17</t>
  </si>
  <si>
    <t>LAGUNA GONZALO^DAVID</t>
  </si>
  <si>
    <t>19/06/2023</t>
  </si>
  <si>
    <t>GUADIAN ASENSIO^PEDRO</t>
  </si>
  <si>
    <t>OJERO VEGANZONES^FELIX</t>
  </si>
  <si>
    <t>20/06/2023</t>
  </si>
  <si>
    <t>10:59</t>
  </si>
  <si>
    <t>FERNANDEZ SAEZ^MARIANO</t>
  </si>
  <si>
    <t>ATIENZA POLO^MARIA JESUS</t>
  </si>
  <si>
    <t>11:38</t>
  </si>
  <si>
    <t>RUEDA FERNANDEZ^JESUS MARIA</t>
  </si>
  <si>
    <t>26/06/2023</t>
  </si>
  <si>
    <t>10:18</t>
  </si>
  <si>
    <t>NIETO LOPEZ^ANGEL</t>
  </si>
  <si>
    <t>RODRIGUEZ HERRERO^MARIA CONCEPCION</t>
  </si>
  <si>
    <t>8:57</t>
  </si>
  <si>
    <t>ALVAREZ RODRIGUEZ^VICTORIANO</t>
  </si>
  <si>
    <t>28/06/2023</t>
  </si>
  <si>
    <t>27/06/2023</t>
  </si>
  <si>
    <t>LOPEZ MORANTE^ANDRES</t>
  </si>
  <si>
    <t>30/06/2023</t>
  </si>
  <si>
    <t>9:11</t>
  </si>
  <si>
    <t>POZA SOTO^LORENZO</t>
  </si>
  <si>
    <t>06/07/2023</t>
  </si>
  <si>
    <t>GARRIDO PASCUAL^CARMEN</t>
  </si>
  <si>
    <t>11/07/2023</t>
  </si>
  <si>
    <t>12:50</t>
  </si>
  <si>
    <t>MARTIN MARTIN^JUAN CARLOS</t>
  </si>
  <si>
    <t>13/07/2023</t>
  </si>
  <si>
    <t>13:05</t>
  </si>
  <si>
    <t>GONZALEZ BRANAS^JUAN ANTONIO</t>
  </si>
  <si>
    <t>17/07/2023</t>
  </si>
  <si>
    <t>MORENO CERRATO^CESAR</t>
  </si>
  <si>
    <t>18/07/2023</t>
  </si>
  <si>
    <t>17:01</t>
  </si>
  <si>
    <t>FADRIQUE TRANQUE^MARIA PILAR</t>
  </si>
  <si>
    <t>19/07/2023</t>
  </si>
  <si>
    <t>21:51</t>
  </si>
  <si>
    <t>425266</t>
  </si>
  <si>
    <t>CANCHADO GONZÁLEZ^CARMELO</t>
  </si>
  <si>
    <t>20/07/2023</t>
  </si>
  <si>
    <t>2:46</t>
  </si>
  <si>
    <t>JIMENO SANCHEZ^SANTIAGO</t>
  </si>
  <si>
    <t>21/07/2023</t>
  </si>
  <si>
    <t>11:09</t>
  </si>
  <si>
    <t>CANCHADO GONZALEZ^CARMELO</t>
  </si>
  <si>
    <t>582957</t>
  </si>
  <si>
    <t>141246</t>
  </si>
  <si>
    <t>GUTIERREZ CALVO^GONZALO</t>
  </si>
  <si>
    <t>26/07/2023</t>
  </si>
  <si>
    <t>18:43</t>
  </si>
  <si>
    <t>PEREZ CALLE^MERCEDES</t>
  </si>
  <si>
    <t>27/07/2023</t>
  </si>
  <si>
    <t>4:04</t>
  </si>
  <si>
    <t>335201</t>
  </si>
  <si>
    <t>BAÑUELOS GARCIA^RUFINO</t>
  </si>
  <si>
    <t>CARRASCO CIMAS^ANTONIO</t>
  </si>
  <si>
    <t>03/08/2023</t>
  </si>
  <si>
    <t>MARTIN GUTIERREZ^JUAN JOSE</t>
  </si>
  <si>
    <t>08/08/2023</t>
  </si>
  <si>
    <t>12:22</t>
  </si>
  <si>
    <t>MARINOVA ILIEVA^NIYA</t>
  </si>
  <si>
    <t>09/08/2023</t>
  </si>
  <si>
    <t>9:07</t>
  </si>
  <si>
    <t>686084</t>
  </si>
  <si>
    <t>GARCIA RUIZ^RAQUEL</t>
  </si>
  <si>
    <t>10/08/2023</t>
  </si>
  <si>
    <t>21:55</t>
  </si>
  <si>
    <t>IGLESIAS NIETO^MIGUEL</t>
  </si>
  <si>
    <t>18/08/2023</t>
  </si>
  <si>
    <t>8:11</t>
  </si>
  <si>
    <t>DE CASO DEL CASTILLO^LUIS ORENCIO</t>
  </si>
  <si>
    <t>23/08/2023</t>
  </si>
  <si>
    <t>10:52</t>
  </si>
  <si>
    <t>PROC, TERAPEUTICO EMBOLIZACION&amp;&amp;EMBOLIZACION DE ANEURISMA INTRAC</t>
  </si>
  <si>
    <t>KUNEV NEDELCHEV^NEDELCHO</t>
  </si>
  <si>
    <t>28/08/2023</t>
  </si>
  <si>
    <t>NIETO GONZALEZ^JESUS ALBERTO</t>
  </si>
  <si>
    <t>31/08/2023</t>
  </si>
  <si>
    <t>LOZANO CARRASCO^ANTONIO</t>
  </si>
  <si>
    <t>04/09/2023</t>
  </si>
  <si>
    <t>9:23</t>
  </si>
  <si>
    <t>MEJIAS CANTILLO^ALEJANDRO</t>
  </si>
  <si>
    <t>13/09/2023</t>
  </si>
  <si>
    <t>3:85</t>
  </si>
  <si>
    <t>HERNANDEZ MARTIN^OLEGARIO</t>
  </si>
  <si>
    <t>16/09/2023</t>
  </si>
  <si>
    <t>VICENTE CARNERO^ANGEL</t>
  </si>
  <si>
    <t>18/09/2023</t>
  </si>
  <si>
    <t>SANTIAGO MARTIN^PEDRO</t>
  </si>
  <si>
    <t>19/09/2023</t>
  </si>
  <si>
    <t>7:52</t>
  </si>
  <si>
    <t>HERRERO PRO^CANDELAS</t>
  </si>
  <si>
    <t>RODRIGUEZ BACIERO^ANTONIO</t>
  </si>
  <si>
    <t>20:29</t>
  </si>
  <si>
    <t>TAPIA GARCIA^MARIA TERESA CLARA</t>
  </si>
  <si>
    <t>28/09/2023</t>
  </si>
  <si>
    <t>GONZALEZ CONDE^JOSE</t>
  </si>
  <si>
    <t>27/09/2023</t>
  </si>
  <si>
    <t>23:16</t>
  </si>
  <si>
    <t>02/10/2023</t>
  </si>
  <si>
    <t>RODRIGUEZ MERINO^JULIA</t>
  </si>
  <si>
    <t>05/10/2023</t>
  </si>
  <si>
    <t>8:02</t>
  </si>
  <si>
    <t>427375</t>
  </si>
  <si>
    <t>LAMBAS CID^FRANCISCO ANTONIO</t>
  </si>
  <si>
    <t>04/10/2023</t>
  </si>
  <si>
    <t>11:29</t>
  </si>
  <si>
    <t>ALONSO RODRIGUEZ^MARIA DEL CARMEN</t>
  </si>
  <si>
    <t>09/10/2023</t>
  </si>
  <si>
    <t>MENDOZA GOMEZ^RAFAEL</t>
  </si>
  <si>
    <t>11/10/2023</t>
  </si>
  <si>
    <t>JUBITERO INES^VICENTE</t>
  </si>
  <si>
    <t>10/10/2023</t>
  </si>
  <si>
    <t>10:25</t>
  </si>
  <si>
    <t>NIEVA MARTINEZ^JOSE MARIA</t>
  </si>
  <si>
    <t>17/10/2023</t>
  </si>
  <si>
    <t>11:06</t>
  </si>
  <si>
    <t>SANTAMARIA LOBOS^SEGUNDA</t>
  </si>
  <si>
    <t>GONZALEZ RABANAL^JAIME CARLOS</t>
  </si>
  <si>
    <t>20/10/2023</t>
  </si>
  <si>
    <t>14:35</t>
  </si>
  <si>
    <t>GONZALEZ PALACIOS^HILARIO</t>
  </si>
  <si>
    <t>23/10/2023</t>
  </si>
  <si>
    <t>CHIGUER ^EL BACHIR</t>
  </si>
  <si>
    <t>24/10/2023</t>
  </si>
  <si>
    <t>9:54</t>
  </si>
  <si>
    <t>ARRANZ TOME^LORENZO</t>
  </si>
  <si>
    <t>27/10/2023</t>
  </si>
  <si>
    <t>20:55</t>
  </si>
  <si>
    <t>MIGUEL PÉREZ^ANGELA</t>
  </si>
  <si>
    <t>30/10/2023</t>
  </si>
  <si>
    <t>473940</t>
  </si>
  <si>
    <t>GARCIA LLORENTE^ROSA</t>
  </si>
  <si>
    <t>31/10/2023</t>
  </si>
  <si>
    <t>ALONSO DEL VAL^PEDRO JESUS</t>
  </si>
  <si>
    <t>03/11/2023</t>
  </si>
  <si>
    <t>ARRIBAS AGULLA^FRANCISCO</t>
  </si>
  <si>
    <t>07/11/2023</t>
  </si>
  <si>
    <t>10:57</t>
  </si>
  <si>
    <t>GARRIDO RAMOS^JUAN FRANCISCO</t>
  </si>
  <si>
    <t>18:36</t>
  </si>
  <si>
    <t>OTERO ARRANZ^EMILIO</t>
  </si>
  <si>
    <t>08/11/2023</t>
  </si>
  <si>
    <t>9:39</t>
  </si>
  <si>
    <t>GARCIA HERNANDEZ^GREGORIO</t>
  </si>
  <si>
    <t>NEGRO LEAL^PAULINO</t>
  </si>
  <si>
    <t>09/11/2023</t>
  </si>
  <si>
    <t>9:16</t>
  </si>
  <si>
    <t>15/11/2023</t>
  </si>
  <si>
    <t>OLEA FERNANDEZ^MARIA JOSEFA</t>
  </si>
  <si>
    <t>20/11/2023</t>
  </si>
  <si>
    <t>METODIEV ADZHOV^ALEKSANDAR</t>
  </si>
  <si>
    <t>22/11/2023</t>
  </si>
  <si>
    <t>SALDANA VERDEJO^ALEJANDRO</t>
  </si>
  <si>
    <t>12:59</t>
  </si>
  <si>
    <t>MITRACLIP</t>
  </si>
  <si>
    <t>MITRACLIP^HCU VALLADOLID^^^</t>
  </si>
  <si>
    <t>23/11/2023</t>
  </si>
  <si>
    <t>MARTIN GOMEZ^MARIA ANTONIA</t>
  </si>
  <si>
    <t>24/11/2023</t>
  </si>
  <si>
    <t>14:18</t>
  </si>
  <si>
    <t>25/11/2023</t>
  </si>
  <si>
    <t>20:23</t>
  </si>
  <si>
    <t>HERRERO GARCIA^FERNANDO</t>
  </si>
  <si>
    <t>RODRIGUEZ LOPEZ^CEFERINO</t>
  </si>
  <si>
    <t>27/11/2023</t>
  </si>
  <si>
    <t>DEL VALLE DIEZ^GREGORIO</t>
  </si>
  <si>
    <t>01/12/2023</t>
  </si>
  <si>
    <t>RUIZ ALVAREZ^VICENTE</t>
  </si>
  <si>
    <t>TOBES FRAILE^MANUEL</t>
  </si>
  <si>
    <t>30/11/2023</t>
  </si>
  <si>
    <t>20:02</t>
  </si>
  <si>
    <t>9:32</t>
  </si>
  <si>
    <t>RIO HERNANDEZ^ANTONIO FELIX</t>
  </si>
  <si>
    <t>04/12/2023</t>
  </si>
  <si>
    <t>17:28</t>
  </si>
  <si>
    <t>GARCIA GONZALEZ^FELIPE</t>
  </si>
  <si>
    <t>11/12/2023</t>
  </si>
  <si>
    <t>15/12/2023</t>
  </si>
  <si>
    <t>10:07</t>
  </si>
  <si>
    <t>PEREZ BALLESTEROS^JOSE ANTONIO</t>
  </si>
  <si>
    <t>19/12/2023</t>
  </si>
  <si>
    <t>HERNANDO GARCIA^MARIA SOCORRO</t>
  </si>
  <si>
    <t>MARTULL ALONSO^EMILIO</t>
  </si>
  <si>
    <t>14:45</t>
  </si>
  <si>
    <t>GARCIA GARCIA^INMACULADA</t>
  </si>
  <si>
    <t>24/12/2023</t>
  </si>
  <si>
    <t>19:51</t>
  </si>
  <si>
    <t>CALVO GUTIERREZ^VALENTIN</t>
  </si>
  <si>
    <t>27/12/2023</t>
  </si>
  <si>
    <t>2:11</t>
  </si>
  <si>
    <t>PEQUEÑO FERNANDEZ^ANA MARIA</t>
  </si>
  <si>
    <t>02/01/2024</t>
  </si>
  <si>
    <t>11:19</t>
  </si>
  <si>
    <t>COLIAS POZO^FDO JAVIER</t>
  </si>
  <si>
    <t>11/01/2024</t>
  </si>
  <si>
    <t>9:53</t>
  </si>
  <si>
    <t>ARTERIOGRAFIA PULMONAR</t>
  </si>
  <si>
    <t>NUÑEZ SANTODOMINGO^ANA</t>
  </si>
  <si>
    <t>13:03</t>
  </si>
  <si>
    <t>BONAL SANCHEZ^MATIAS</t>
  </si>
  <si>
    <t>16/01/2024</t>
  </si>
  <si>
    <t>ARROYO CASTELLANOS^SECUNDINO</t>
  </si>
  <si>
    <t>ANGIOGRAFIA ARCO AORTICO Y SELECTIVA</t>
  </si>
  <si>
    <t>GARCIA GARCIA^BLANCA</t>
  </si>
  <si>
    <t>15/01/2024</t>
  </si>
  <si>
    <t>FUENTES PURA^JOSE MANUEL</t>
  </si>
  <si>
    <t>17/01/2024</t>
  </si>
  <si>
    <t>10:03</t>
  </si>
  <si>
    <t>GARCIA ARTO^RUBEN</t>
  </si>
  <si>
    <t>18/01/2024</t>
  </si>
  <si>
    <t>GARCIA MATUTE^JUAN ANTONIO</t>
  </si>
  <si>
    <t>19/01/2024</t>
  </si>
  <si>
    <t>11:21</t>
  </si>
  <si>
    <t>CASADO RAMIREZ^MIGUEL ANGEL</t>
  </si>
  <si>
    <t>MARTINEZ RUBIO^MAXIMINO</t>
  </si>
  <si>
    <t>30/01/2024</t>
  </si>
  <si>
    <t>10:02</t>
  </si>
  <si>
    <t>VELASCO VELASCO^FERNANDO</t>
  </si>
  <si>
    <t>01/02/2024</t>
  </si>
  <si>
    <t>9:31</t>
  </si>
  <si>
    <t>MERINO NEIRA^ANGEL</t>
  </si>
  <si>
    <t>06/02/2024</t>
  </si>
  <si>
    <t>9:10</t>
  </si>
  <si>
    <t>DELGADO GARCIA^JULIO</t>
  </si>
  <si>
    <t>08/02/2024</t>
  </si>
  <si>
    <t>GABARRI GABARRI^JUANA</t>
  </si>
  <si>
    <t>12/02/2024</t>
  </si>
  <si>
    <t>VALDES GIL^MIGUEL ANGEL</t>
  </si>
  <si>
    <t>13/02/2024</t>
  </si>
  <si>
    <t>MARTIN PERICACHO^FRANCISCO ANTONIO</t>
  </si>
  <si>
    <t>RODRIGUEZ MACIAS^LEONOR</t>
  </si>
  <si>
    <t>11:32</t>
  </si>
  <si>
    <t>GARCIA ANDRES^RICARDO</t>
  </si>
  <si>
    <t>15/02/2024</t>
  </si>
  <si>
    <t>SANCHEZ GARCIA^MARIA ANGELES</t>
  </si>
  <si>
    <t>20/02/2024</t>
  </si>
  <si>
    <t>9:34</t>
  </si>
  <si>
    <t>RAMOS FERNANDEZ^EMILIO</t>
  </si>
  <si>
    <t>22/02/2024</t>
  </si>
  <si>
    <t>ALVAREZ MUNOZ^JOSE LUIS</t>
  </si>
  <si>
    <t>PEDRUELO MARTIN^JOSE MANUEL</t>
  </si>
  <si>
    <t>26/02/2024</t>
  </si>
  <si>
    <t>10:09</t>
  </si>
  <si>
    <t>PRIETO NAVARRO^JOSE LUIS</t>
  </si>
  <si>
    <t>27/02/2024</t>
  </si>
  <si>
    <t>19:32</t>
  </si>
  <si>
    <t>ADEVA LOPEZ^LUIS</t>
  </si>
  <si>
    <t>05/03/2024</t>
  </si>
  <si>
    <t>9:49</t>
  </si>
  <si>
    <t>ANDRES ZAPATERO^ANGEL</t>
  </si>
  <si>
    <t>06/03/2024</t>
  </si>
  <si>
    <t>13:21</t>
  </si>
  <si>
    <t>SUAREZ IBANEZ^MARIA ISABEL</t>
  </si>
  <si>
    <t>07/03/2024</t>
  </si>
  <si>
    <t>205335</t>
  </si>
  <si>
    <t>687263</t>
  </si>
  <si>
    <t>11/03/2024</t>
  </si>
  <si>
    <t>12:25</t>
  </si>
  <si>
    <t>LOPEZ PINTO^ANGEL</t>
  </si>
  <si>
    <t>20/03/2024</t>
  </si>
  <si>
    <t>8:43</t>
  </si>
  <si>
    <t>HERAS BOMBIN^BERNARDINO</t>
  </si>
  <si>
    <t>26/03/2024</t>
  </si>
  <si>
    <t>11:36</t>
  </si>
  <si>
    <t>GALLEGO BLANCO^HECTOR</t>
  </si>
  <si>
    <t>27/03/2024</t>
  </si>
  <si>
    <t>11:59</t>
  </si>
  <si>
    <t>ESCUDERO CORDON^ANTONIO ROBERTO</t>
  </si>
  <si>
    <t>02/04/2024</t>
  </si>
  <si>
    <t>CASTRO DE LA CALLE^MARIA CARMEN^^^</t>
  </si>
  <si>
    <t>15/04/2024</t>
  </si>
  <si>
    <t>LOPEZ MARTIN^MARIA JESUS</t>
  </si>
  <si>
    <t>PALMERO ARNAIZ^OBDULIA</t>
  </si>
  <si>
    <t>17/04/2024</t>
  </si>
  <si>
    <t>11:03</t>
  </si>
  <si>
    <t>GALLARDO LOPEZ^MARIA DOLORES</t>
  </si>
  <si>
    <t>16/04/2024</t>
  </si>
  <si>
    <t>8:35</t>
  </si>
  <si>
    <t>COMIA MALABANAN^JEMELITO</t>
  </si>
  <si>
    <t>25/04/2024</t>
  </si>
  <si>
    <t>394127</t>
  </si>
  <si>
    <t>603915</t>
  </si>
  <si>
    <t>26/04/2024</t>
  </si>
  <si>
    <t>SOBLECHERO GALLEGO^HORTENSIA</t>
  </si>
  <si>
    <t>01/05/2024</t>
  </si>
  <si>
    <t>LOPEZ RUBIO^FRANCISCO</t>
  </si>
  <si>
    <t>02/05/2024</t>
  </si>
  <si>
    <t>SAHORNIL RODRIGUEZ^PAULINO</t>
  </si>
  <si>
    <t>29/05/2024</t>
  </si>
  <si>
    <t>16:43</t>
  </si>
  <si>
    <t>CIA CAMAZON^ROBERTO^^^</t>
  </si>
  <si>
    <t>08/06/2024</t>
  </si>
  <si>
    <t>7:13</t>
  </si>
  <si>
    <t>GONZALEZ DIEZ^ENRIQUE ALBERTO</t>
  </si>
  <si>
    <t>10/06/2024</t>
  </si>
  <si>
    <t>FUENTES GONZALEZ^FERNANDO</t>
  </si>
  <si>
    <t>12/06/2024</t>
  </si>
  <si>
    <t>11:26</t>
  </si>
  <si>
    <t>MUNOZ GOMEZ^PABLO</t>
  </si>
  <si>
    <t>13/06/2024</t>
  </si>
  <si>
    <t>13:58</t>
  </si>
  <si>
    <t>MARTIN MAESTRO^MARIA TERESA</t>
  </si>
  <si>
    <t>14/06/2024</t>
  </si>
  <si>
    <t>17:56</t>
  </si>
  <si>
    <t>GARCIA ROMERO^PEDRO</t>
  </si>
  <si>
    <t>20/06/2024</t>
  </si>
  <si>
    <t>ARROYO GOMEZ^MANUEL</t>
  </si>
  <si>
    <t>24/06/2024</t>
  </si>
  <si>
    <t>18:00</t>
  </si>
  <si>
    <t>03/07/2024</t>
  </si>
  <si>
    <t>10:36</t>
  </si>
  <si>
    <t>CASTANO PRIETO^VICTOR</t>
  </si>
  <si>
    <t>04/07/2024</t>
  </si>
  <si>
    <t>21:23</t>
  </si>
  <si>
    <t>EUGENIO BARRAGAN^ANDRES</t>
  </si>
  <si>
    <t>09/07/2024</t>
  </si>
  <si>
    <t>1:14</t>
  </si>
  <si>
    <t>ORTEGA GALVAN^AURORA</t>
  </si>
  <si>
    <t>29/07/2024</t>
  </si>
  <si>
    <t>12:01</t>
  </si>
  <si>
    <t>LOPEZ MARTINEZ^CARLOS</t>
  </si>
  <si>
    <t>01/08/2024</t>
  </si>
  <si>
    <t>9:43</t>
  </si>
  <si>
    <t>CUESTA SIMON^GEORGINO</t>
  </si>
  <si>
    <t>16:39</t>
  </si>
  <si>
    <t>ENCISO GOMEZ^MARIA TERESA</t>
  </si>
  <si>
    <t>05/08/2024</t>
  </si>
  <si>
    <t>11:33</t>
  </si>
  <si>
    <t>PRIETO HERNANDEZ^MANUEL</t>
  </si>
  <si>
    <t>165868</t>
  </si>
  <si>
    <t>08/08/2024</t>
  </si>
  <si>
    <t>BARTOLOME AREVALO^RAFAEL</t>
  </si>
  <si>
    <t>23/08/2024</t>
  </si>
  <si>
    <t>LOPEZ CANO LOPEZ^JESUS</t>
  </si>
  <si>
    <t>27/08/2024</t>
  </si>
  <si>
    <t>9:59</t>
  </si>
  <si>
    <t>CARRASCAL RAMOS^MANUEL FELIPE</t>
  </si>
  <si>
    <t>29/08/2024</t>
  </si>
  <si>
    <t>8:48</t>
  </si>
  <si>
    <t>LOZANO MOTOS^ROSA</t>
  </si>
  <si>
    <t>02/09/2024</t>
  </si>
  <si>
    <t>5:39</t>
  </si>
  <si>
    <t>CARBALLAL DOVAL^MARIA DOLORES FRANCI</t>
  </si>
  <si>
    <t>03/09/2024</t>
  </si>
  <si>
    <t>CISNEROS MUÑOZ^MARIA SOLEDAD</t>
  </si>
  <si>
    <t>HERNANDEZ JIMENEZ^GUADALUPE</t>
  </si>
  <si>
    <t>05/09/2024</t>
  </si>
  <si>
    <t>6:30</t>
  </si>
  <si>
    <t>MARTIN JIMENEZ^LUIS ENRIQUE</t>
  </si>
  <si>
    <t>MAÑOSO SANZ^JUAN</t>
  </si>
  <si>
    <t>SANZ MARTIN^JOSE MARIA</t>
  </si>
  <si>
    <t>06/09/2024</t>
  </si>
  <si>
    <t>GIL GOMEZ^RICARDO</t>
  </si>
  <si>
    <t>11/09/2024</t>
  </si>
  <si>
    <t>10/09/2024</t>
  </si>
  <si>
    <t>EMBOLIZACION SELECTIVA MEDULAR</t>
  </si>
  <si>
    <t>ABAD ARISTIN^JOSEFA</t>
  </si>
  <si>
    <t>19/09/2024</t>
  </si>
  <si>
    <t>BENITO NINO^LUIS ANGEL</t>
  </si>
  <si>
    <t>27/09/2024</t>
  </si>
  <si>
    <t>MARCOS PINTO^TEOFILA</t>
  </si>
  <si>
    <t>29/09/2024</t>
  </si>
  <si>
    <t>RODERO ALBILLO^OSCAR</t>
  </si>
  <si>
    <t>30/09/2024</t>
  </si>
  <si>
    <t>20:54</t>
  </si>
  <si>
    <t>VAQUERO DIEZ^LUIS MARIANO</t>
  </si>
  <si>
    <t>01/10/2024</t>
  </si>
  <si>
    <t>ALVAREZ MUÑOZ^JOSE LUIS</t>
  </si>
  <si>
    <t>¿HAY PENDIENTES DE VALIDAR?</t>
  </si>
  <si>
    <t>REGISTRO EN BLANCO</t>
  </si>
  <si>
    <t>23942</t>
  </si>
  <si>
    <t>SI</t>
  </si>
  <si>
    <t>453664</t>
  </si>
  <si>
    <t>608186</t>
  </si>
  <si>
    <t>438956</t>
  </si>
  <si>
    <t>Neurointervencionismo</t>
  </si>
  <si>
    <t>518136</t>
  </si>
  <si>
    <t>23.01.16-15:50:35-DST-154748</t>
  </si>
  <si>
    <t>498983</t>
  </si>
  <si>
    <t>ANGIOPLASTIA (ATP) EXTRACRANEAL CON PROTESIS</t>
  </si>
  <si>
    <t>10362</t>
  </si>
  <si>
    <t>263945</t>
  </si>
  <si>
    <t>509992</t>
  </si>
  <si>
    <t>173962</t>
  </si>
  <si>
    <t>462625</t>
  </si>
  <si>
    <t>242506</t>
  </si>
  <si>
    <t>672437</t>
  </si>
  <si>
    <t>650407</t>
  </si>
  <si>
    <t>667050</t>
  </si>
  <si>
    <t>Ricardo Torres Cabrera</t>
  </si>
  <si>
    <t>maudaondoc@saludcastillayleon.es; jmonte@saludcastillayleon.es; jvelascog@saludcastillayleon.es</t>
  </si>
  <si>
    <t>ijamat@gmail.com; cgalonsosalgado@gmail.com</t>
  </si>
  <si>
    <t>Diego Antón García</t>
  </si>
  <si>
    <t>Fabio Pérez Gómez</t>
  </si>
  <si>
    <t>candresr@saludcastillayleon.es</t>
  </si>
  <si>
    <t>mschuller@saludcastillayleon.es; jgalvan@saludcastillayleon.es; mmartinezga@saludcastillayleon.es</t>
  </si>
  <si>
    <t>magulot@saludcastillayleon.es</t>
  </si>
  <si>
    <t xml:space="preserve">lrio@saludcastillayleon.es </t>
  </si>
  <si>
    <t>rtorresc@saludcastillayleon.es</t>
  </si>
  <si>
    <t>spenav@saludcastillayleon.es</t>
  </si>
  <si>
    <t>danton@saludcastillayleon.es</t>
  </si>
  <si>
    <t>fperezg@saludcastillayleon.es</t>
  </si>
  <si>
    <t>Numero de archivos analizados Vascular</t>
  </si>
  <si>
    <t>Hemodinamicas</t>
  </si>
  <si>
    <t>20241002-20241003.xml</t>
  </si>
  <si>
    <t>ARTIS ZEE</t>
  </si>
  <si>
    <t>Validado por</t>
  </si>
  <si>
    <t>ALVAREZ MUÑOZ, JOSE LUIS</t>
  </si>
  <si>
    <t>Correo a enviar</t>
  </si>
  <si>
    <t>NO  MOVER EL TAMAÑO DE LAS COLUMNAS DE ESTA HOJA!  SE DESCONFIGURA EL INFORME</t>
  </si>
  <si>
    <t>El paciente</t>
  </si>
  <si>
    <t xml:space="preserve">fue intervenido el </t>
  </si>
  <si>
    <t>del procedimiento</t>
  </si>
  <si>
    <t>Su procedimiento ha requerido el uso de unos niveles significativos de rayos X que podrían hacer superar ciertos umbrales para la aparición de efectos deterministas.</t>
  </si>
  <si>
    <t>Los valores detectados son los siguientes:</t>
  </si>
  <si>
    <t>Producto dosis-área total</t>
  </si>
  <si>
    <t>Dosis en punto de referencia</t>
  </si>
  <si>
    <t>Tiempo total de irradiación</t>
  </si>
  <si>
    <t xml:space="preserve">Recomendaciones de SERAM - SEPR de seguimiento de pacientes con altas dosis en piel </t>
  </si>
  <si>
    <t>Parámetro</t>
  </si>
  <si>
    <t>Umbral</t>
  </si>
  <si>
    <t>Producto dosis-área</t>
  </si>
  <si>
    <t>500 Gy.cm2</t>
  </si>
  <si>
    <t>5 Gy</t>
  </si>
  <si>
    <t>Tiempo de flurosocopia</t>
  </si>
  <si>
    <t>60 minutos</t>
  </si>
  <si>
    <t xml:space="preserve">Los efectos secundarios de la radiación en piel son improbables pero no se puede  descartar que puedan aparecer.  </t>
  </si>
  <si>
    <t>Se le notifica para que se realice, si se estima necesario, el seguimiento oportuno  de la zona irradiada en búsqueda de signos como enrojecimiento o depilación, en el plazo aproximado de  dos o tres semanas desde el día del procedimiento.</t>
  </si>
  <si>
    <t>Servicio de Radiofísica y Protección Radiológica</t>
  </si>
  <si>
    <t>Hospital Clínico Universitario de Valladolid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</si>
</sst>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800]dddd\,\ mmmm\ dd\,\ yyyy"/>
    <numFmt numFmtId="165" formatCode="0.000"/>
    <numFmt numFmtId="166" formatCode="0.0"/>
    <numFmt numFmtId="167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7" borderId="0" xfId="0" applyFont="1" applyFill="1" applyAlignment="1">
      <alignment horizontal="center" vertical="center" wrapText="1"/>
    </xf>
    <xf numFmtId="0" fontId="4" fillId="7" borderId="0" xfId="0" applyFont="1" applyFill="1"/>
    <xf numFmtId="0" fontId="5" fillId="7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6" fillId="0" borderId="0" xfId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1" applyAlignment="1">
      <alignment horizontal="center" vertical="center"/>
    </xf>
    <xf numFmtId="0" fontId="6" fillId="0" borderId="0" xfId="1" applyAlignment="1">
      <alignment vertical="center"/>
    </xf>
    <xf numFmtId="165" fontId="0" fillId="0" borderId="5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justify" vertical="center" wrapText="1"/>
    </xf>
    <xf numFmtId="164" fontId="0" fillId="0" borderId="0" xfId="0" applyNumberFormat="1" applyAlignment="1">
      <alignment horizontal="left"/>
    </xf>
    <xf numFmtId="0" fontId="1" fillId="4" borderId="1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</xdr:row>
          <xdr:rowOff>19050</xdr:rowOff>
        </xdr:from>
        <xdr:to>
          <xdr:col>15</xdr:col>
          <xdr:colOff>628650</xdr:colOff>
          <xdr:row>1</xdr:row>
          <xdr:rowOff>171450</xdr:rowOff>
        </xdr:to>
        <xdr:sp macro="" textlink="">
          <xdr:nvSpPr>
            <xdr:cNvPr id="40686" name="BOTON1" hidden="1">
              <a:extLst>
                <a:ext uri="{63B3BB69-23CF-44E3-9099-C40C66FF867C}">
                  <a14:compatExt spid="_x0000_s40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</xdr:row>
          <xdr:rowOff>9525</xdr:rowOff>
        </xdr:from>
        <xdr:to>
          <xdr:col>16</xdr:col>
          <xdr:colOff>676275</xdr:colOff>
          <xdr:row>1</xdr:row>
          <xdr:rowOff>161925</xdr:rowOff>
        </xdr:to>
        <xdr:sp macro="" textlink="">
          <xdr:nvSpPr>
            <xdr:cNvPr id="40687" name="BOTON2" hidden="1">
              <a:extLst>
                <a:ext uri="{63B3BB69-23CF-44E3-9099-C40C66FF867C}">
                  <a14:compatExt spid="_x0000_s40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2</xdr:row>
          <xdr:rowOff>9525</xdr:rowOff>
        </xdr:from>
        <xdr:to>
          <xdr:col>15</xdr:col>
          <xdr:colOff>628650</xdr:colOff>
          <xdr:row>2</xdr:row>
          <xdr:rowOff>161925</xdr:rowOff>
        </xdr:to>
        <xdr:sp macro="" textlink="">
          <xdr:nvSpPr>
            <xdr:cNvPr id="40688" name="BOTON3" hidden="1">
              <a:extLst>
                <a:ext uri="{63B3BB69-23CF-44E3-9099-C40C66FF867C}">
                  <a14:compatExt spid="_x0000_s40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</xdr:row>
          <xdr:rowOff>9525</xdr:rowOff>
        </xdr:from>
        <xdr:to>
          <xdr:col>16</xdr:col>
          <xdr:colOff>676275</xdr:colOff>
          <xdr:row>2</xdr:row>
          <xdr:rowOff>161925</xdr:rowOff>
        </xdr:to>
        <xdr:sp macro="" textlink="">
          <xdr:nvSpPr>
            <xdr:cNvPr id="40689" name="BOTON4" hidden="1">
              <a:extLst>
                <a:ext uri="{63B3BB69-23CF-44E3-9099-C40C66FF867C}">
                  <a14:compatExt spid="_x0000_s40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3</xdr:row>
          <xdr:rowOff>9525</xdr:rowOff>
        </xdr:from>
        <xdr:to>
          <xdr:col>15</xdr:col>
          <xdr:colOff>628650</xdr:colOff>
          <xdr:row>3</xdr:row>
          <xdr:rowOff>161925</xdr:rowOff>
        </xdr:to>
        <xdr:sp macro="" textlink="">
          <xdr:nvSpPr>
            <xdr:cNvPr id="40690" name="BOTON5" hidden="1">
              <a:extLst>
                <a:ext uri="{63B3BB69-23CF-44E3-9099-C40C66FF867C}">
                  <a14:compatExt spid="_x0000_s40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3</xdr:row>
          <xdr:rowOff>9525</xdr:rowOff>
        </xdr:from>
        <xdr:to>
          <xdr:col>16</xdr:col>
          <xdr:colOff>676275</xdr:colOff>
          <xdr:row>3</xdr:row>
          <xdr:rowOff>161925</xdr:rowOff>
        </xdr:to>
        <xdr:sp macro="" textlink="">
          <xdr:nvSpPr>
            <xdr:cNvPr id="40691" name="BOTON6" hidden="1">
              <a:extLst>
                <a:ext uri="{63B3BB69-23CF-44E3-9099-C40C66FF867C}">
                  <a14:compatExt spid="_x0000_s40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4</xdr:row>
          <xdr:rowOff>9525</xdr:rowOff>
        </xdr:from>
        <xdr:to>
          <xdr:col>15</xdr:col>
          <xdr:colOff>628650</xdr:colOff>
          <xdr:row>4</xdr:row>
          <xdr:rowOff>161925</xdr:rowOff>
        </xdr:to>
        <xdr:sp macro="" textlink="">
          <xdr:nvSpPr>
            <xdr:cNvPr id="40692" name="BOTON7" hidden="1">
              <a:extLst>
                <a:ext uri="{63B3BB69-23CF-44E3-9099-C40C66FF867C}">
                  <a14:compatExt spid="_x0000_s40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4</xdr:row>
          <xdr:rowOff>9525</xdr:rowOff>
        </xdr:from>
        <xdr:to>
          <xdr:col>16</xdr:col>
          <xdr:colOff>676275</xdr:colOff>
          <xdr:row>4</xdr:row>
          <xdr:rowOff>161925</xdr:rowOff>
        </xdr:to>
        <xdr:sp macro="" textlink="">
          <xdr:nvSpPr>
            <xdr:cNvPr id="40693" name="BOTON8" hidden="1">
              <a:extLst>
                <a:ext uri="{63B3BB69-23CF-44E3-9099-C40C66FF867C}">
                  <a14:compatExt spid="_x0000_s40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5</xdr:row>
          <xdr:rowOff>9525</xdr:rowOff>
        </xdr:from>
        <xdr:to>
          <xdr:col>15</xdr:col>
          <xdr:colOff>628650</xdr:colOff>
          <xdr:row>5</xdr:row>
          <xdr:rowOff>161925</xdr:rowOff>
        </xdr:to>
        <xdr:sp macro="" textlink="">
          <xdr:nvSpPr>
            <xdr:cNvPr id="40694" name="BOTON9" hidden="1">
              <a:extLst>
                <a:ext uri="{63B3BB69-23CF-44E3-9099-C40C66FF867C}">
                  <a14:compatExt spid="_x0000_s40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5</xdr:row>
          <xdr:rowOff>9525</xdr:rowOff>
        </xdr:from>
        <xdr:to>
          <xdr:col>16</xdr:col>
          <xdr:colOff>676275</xdr:colOff>
          <xdr:row>5</xdr:row>
          <xdr:rowOff>161925</xdr:rowOff>
        </xdr:to>
        <xdr:sp macro="" textlink="">
          <xdr:nvSpPr>
            <xdr:cNvPr id="40695" name="BOTON10" hidden="1">
              <a:extLst>
                <a:ext uri="{63B3BB69-23CF-44E3-9099-C40C66FF867C}">
                  <a14:compatExt spid="_x0000_s40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6</xdr:row>
          <xdr:rowOff>9525</xdr:rowOff>
        </xdr:from>
        <xdr:to>
          <xdr:col>15</xdr:col>
          <xdr:colOff>628650</xdr:colOff>
          <xdr:row>6</xdr:row>
          <xdr:rowOff>161925</xdr:rowOff>
        </xdr:to>
        <xdr:sp macro="" textlink="">
          <xdr:nvSpPr>
            <xdr:cNvPr id="40696" name="BOTON11" hidden="1">
              <a:extLst>
                <a:ext uri="{63B3BB69-23CF-44E3-9099-C40C66FF867C}">
                  <a14:compatExt spid="_x0000_s40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6</xdr:row>
          <xdr:rowOff>9525</xdr:rowOff>
        </xdr:from>
        <xdr:to>
          <xdr:col>16</xdr:col>
          <xdr:colOff>676275</xdr:colOff>
          <xdr:row>6</xdr:row>
          <xdr:rowOff>161925</xdr:rowOff>
        </xdr:to>
        <xdr:sp macro="" textlink="">
          <xdr:nvSpPr>
            <xdr:cNvPr id="40697" name="BOTON12" hidden="1">
              <a:extLst>
                <a:ext uri="{63B3BB69-23CF-44E3-9099-C40C66FF867C}">
                  <a14:compatExt spid="_x0000_s40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7</xdr:row>
          <xdr:rowOff>9525</xdr:rowOff>
        </xdr:from>
        <xdr:to>
          <xdr:col>15</xdr:col>
          <xdr:colOff>628650</xdr:colOff>
          <xdr:row>7</xdr:row>
          <xdr:rowOff>161925</xdr:rowOff>
        </xdr:to>
        <xdr:sp macro="" textlink="">
          <xdr:nvSpPr>
            <xdr:cNvPr id="40698" name="BOTON13" hidden="1">
              <a:extLst>
                <a:ext uri="{63B3BB69-23CF-44E3-9099-C40C66FF867C}">
                  <a14:compatExt spid="_x0000_s40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7</xdr:row>
          <xdr:rowOff>9525</xdr:rowOff>
        </xdr:from>
        <xdr:to>
          <xdr:col>16</xdr:col>
          <xdr:colOff>676275</xdr:colOff>
          <xdr:row>7</xdr:row>
          <xdr:rowOff>161925</xdr:rowOff>
        </xdr:to>
        <xdr:sp macro="" textlink="">
          <xdr:nvSpPr>
            <xdr:cNvPr id="40699" name="BOTON14" hidden="1">
              <a:extLst>
                <a:ext uri="{63B3BB69-23CF-44E3-9099-C40C66FF867C}">
                  <a14:compatExt spid="_x0000_s40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8</xdr:row>
          <xdr:rowOff>9525</xdr:rowOff>
        </xdr:from>
        <xdr:to>
          <xdr:col>15</xdr:col>
          <xdr:colOff>628650</xdr:colOff>
          <xdr:row>8</xdr:row>
          <xdr:rowOff>161925</xdr:rowOff>
        </xdr:to>
        <xdr:sp macro="" textlink="">
          <xdr:nvSpPr>
            <xdr:cNvPr id="40700" name="BOTON15" hidden="1">
              <a:extLst>
                <a:ext uri="{63B3BB69-23CF-44E3-9099-C40C66FF867C}">
                  <a14:compatExt spid="_x0000_s40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9525</xdr:rowOff>
        </xdr:from>
        <xdr:to>
          <xdr:col>16</xdr:col>
          <xdr:colOff>676275</xdr:colOff>
          <xdr:row>8</xdr:row>
          <xdr:rowOff>161925</xdr:rowOff>
        </xdr:to>
        <xdr:sp macro="" textlink="">
          <xdr:nvSpPr>
            <xdr:cNvPr id="40701" name="BOTON16" hidden="1">
              <a:extLst>
                <a:ext uri="{63B3BB69-23CF-44E3-9099-C40C66FF867C}">
                  <a14:compatExt spid="_x0000_s40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9</xdr:row>
          <xdr:rowOff>9525</xdr:rowOff>
        </xdr:from>
        <xdr:to>
          <xdr:col>15</xdr:col>
          <xdr:colOff>628650</xdr:colOff>
          <xdr:row>9</xdr:row>
          <xdr:rowOff>161925</xdr:rowOff>
        </xdr:to>
        <xdr:sp macro="" textlink="">
          <xdr:nvSpPr>
            <xdr:cNvPr id="40702" name="BOTON17" hidden="1">
              <a:extLst>
                <a:ext uri="{63B3BB69-23CF-44E3-9099-C40C66FF867C}">
                  <a14:compatExt spid="_x0000_s40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9</xdr:row>
          <xdr:rowOff>9525</xdr:rowOff>
        </xdr:from>
        <xdr:to>
          <xdr:col>16</xdr:col>
          <xdr:colOff>676275</xdr:colOff>
          <xdr:row>9</xdr:row>
          <xdr:rowOff>161925</xdr:rowOff>
        </xdr:to>
        <xdr:sp macro="" textlink="">
          <xdr:nvSpPr>
            <xdr:cNvPr id="40703" name="BOTON18" hidden="1">
              <a:extLst>
                <a:ext uri="{63B3BB69-23CF-44E3-9099-C40C66FF867C}">
                  <a14:compatExt spid="_x0000_s40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10</xdr:row>
          <xdr:rowOff>9525</xdr:rowOff>
        </xdr:from>
        <xdr:to>
          <xdr:col>15</xdr:col>
          <xdr:colOff>628650</xdr:colOff>
          <xdr:row>10</xdr:row>
          <xdr:rowOff>161925</xdr:rowOff>
        </xdr:to>
        <xdr:sp macro="" textlink="">
          <xdr:nvSpPr>
            <xdr:cNvPr id="40704" name="BOTON19" hidden="1">
              <a:extLst>
                <a:ext uri="{63B3BB69-23CF-44E3-9099-C40C66FF867C}">
                  <a14:compatExt spid="_x0000_s40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10</xdr:row>
          <xdr:rowOff>9525</xdr:rowOff>
        </xdr:from>
        <xdr:to>
          <xdr:col>16</xdr:col>
          <xdr:colOff>676275</xdr:colOff>
          <xdr:row>10</xdr:row>
          <xdr:rowOff>161925</xdr:rowOff>
        </xdr:to>
        <xdr:sp macro="" textlink="">
          <xdr:nvSpPr>
            <xdr:cNvPr id="40705" name="BOTON20" hidden="1">
              <a:extLst>
                <a:ext uri="{63B3BB69-23CF-44E3-9099-C40C66FF867C}">
                  <a14:compatExt spid="_x0000_s40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11</xdr:row>
          <xdr:rowOff>9525</xdr:rowOff>
        </xdr:from>
        <xdr:to>
          <xdr:col>15</xdr:col>
          <xdr:colOff>628650</xdr:colOff>
          <xdr:row>11</xdr:row>
          <xdr:rowOff>161925</xdr:rowOff>
        </xdr:to>
        <xdr:sp macro="" textlink="">
          <xdr:nvSpPr>
            <xdr:cNvPr id="40706" name="BOTON21" hidden="1">
              <a:extLst>
                <a:ext uri="{63B3BB69-23CF-44E3-9099-C40C66FF867C}">
                  <a14:compatExt spid="_x0000_s40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11</xdr:row>
          <xdr:rowOff>9525</xdr:rowOff>
        </xdr:from>
        <xdr:to>
          <xdr:col>16</xdr:col>
          <xdr:colOff>676275</xdr:colOff>
          <xdr:row>11</xdr:row>
          <xdr:rowOff>161925</xdr:rowOff>
        </xdr:to>
        <xdr:sp macro="" textlink="">
          <xdr:nvSpPr>
            <xdr:cNvPr id="40707" name="BOTON22" hidden="1">
              <a:extLst>
                <a:ext uri="{63B3BB69-23CF-44E3-9099-C40C66FF867C}">
                  <a14:compatExt spid="_x0000_s40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12</xdr:row>
          <xdr:rowOff>9525</xdr:rowOff>
        </xdr:from>
        <xdr:to>
          <xdr:col>15</xdr:col>
          <xdr:colOff>628650</xdr:colOff>
          <xdr:row>12</xdr:row>
          <xdr:rowOff>161925</xdr:rowOff>
        </xdr:to>
        <xdr:sp macro="" textlink="">
          <xdr:nvSpPr>
            <xdr:cNvPr id="40708" name="BOTON23" hidden="1">
              <a:extLst>
                <a:ext uri="{63B3BB69-23CF-44E3-9099-C40C66FF867C}">
                  <a14:compatExt spid="_x0000_s40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12</xdr:row>
          <xdr:rowOff>9525</xdr:rowOff>
        </xdr:from>
        <xdr:to>
          <xdr:col>16</xdr:col>
          <xdr:colOff>676275</xdr:colOff>
          <xdr:row>12</xdr:row>
          <xdr:rowOff>161925</xdr:rowOff>
        </xdr:to>
        <xdr:sp macro="" textlink="">
          <xdr:nvSpPr>
            <xdr:cNvPr id="40709" name="BOTON24" hidden="1">
              <a:extLst>
                <a:ext uri="{63B3BB69-23CF-44E3-9099-C40C66FF867C}">
                  <a14:compatExt spid="_x0000_s40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13</xdr:row>
          <xdr:rowOff>9525</xdr:rowOff>
        </xdr:from>
        <xdr:to>
          <xdr:col>15</xdr:col>
          <xdr:colOff>628650</xdr:colOff>
          <xdr:row>13</xdr:row>
          <xdr:rowOff>161925</xdr:rowOff>
        </xdr:to>
        <xdr:sp macro="" textlink="">
          <xdr:nvSpPr>
            <xdr:cNvPr id="40710" name="BOTON25" hidden="1">
              <a:extLst>
                <a:ext uri="{63B3BB69-23CF-44E3-9099-C40C66FF867C}">
                  <a14:compatExt spid="_x0000_s40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13</xdr:row>
          <xdr:rowOff>9525</xdr:rowOff>
        </xdr:from>
        <xdr:to>
          <xdr:col>16</xdr:col>
          <xdr:colOff>676275</xdr:colOff>
          <xdr:row>13</xdr:row>
          <xdr:rowOff>161925</xdr:rowOff>
        </xdr:to>
        <xdr:sp macro="" textlink="">
          <xdr:nvSpPr>
            <xdr:cNvPr id="40711" name="BOTON26" hidden="1">
              <a:extLst>
                <a:ext uri="{63B3BB69-23CF-44E3-9099-C40C66FF867C}">
                  <a14:compatExt spid="_x0000_s40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14</xdr:row>
          <xdr:rowOff>9525</xdr:rowOff>
        </xdr:from>
        <xdr:to>
          <xdr:col>15</xdr:col>
          <xdr:colOff>628650</xdr:colOff>
          <xdr:row>14</xdr:row>
          <xdr:rowOff>161925</xdr:rowOff>
        </xdr:to>
        <xdr:sp macro="" textlink="">
          <xdr:nvSpPr>
            <xdr:cNvPr id="40712" name="BOTON27" hidden="1">
              <a:extLst>
                <a:ext uri="{63B3BB69-23CF-44E3-9099-C40C66FF867C}">
                  <a14:compatExt spid="_x0000_s40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14</xdr:row>
          <xdr:rowOff>9525</xdr:rowOff>
        </xdr:from>
        <xdr:to>
          <xdr:col>16</xdr:col>
          <xdr:colOff>676275</xdr:colOff>
          <xdr:row>14</xdr:row>
          <xdr:rowOff>161925</xdr:rowOff>
        </xdr:to>
        <xdr:sp macro="" textlink="">
          <xdr:nvSpPr>
            <xdr:cNvPr id="40713" name="BOTON28" hidden="1">
              <a:extLst>
                <a:ext uri="{63B3BB69-23CF-44E3-9099-C40C66FF867C}">
                  <a14:compatExt spid="_x0000_s40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15</xdr:row>
          <xdr:rowOff>9525</xdr:rowOff>
        </xdr:from>
        <xdr:to>
          <xdr:col>15</xdr:col>
          <xdr:colOff>628650</xdr:colOff>
          <xdr:row>15</xdr:row>
          <xdr:rowOff>161925</xdr:rowOff>
        </xdr:to>
        <xdr:sp macro="" textlink="">
          <xdr:nvSpPr>
            <xdr:cNvPr id="40714" name="BOTON29" hidden="1">
              <a:extLst>
                <a:ext uri="{63B3BB69-23CF-44E3-9099-C40C66FF867C}">
                  <a14:compatExt spid="_x0000_s40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15</xdr:row>
          <xdr:rowOff>9525</xdr:rowOff>
        </xdr:from>
        <xdr:to>
          <xdr:col>16</xdr:col>
          <xdr:colOff>676275</xdr:colOff>
          <xdr:row>15</xdr:row>
          <xdr:rowOff>161925</xdr:rowOff>
        </xdr:to>
        <xdr:sp macro="" textlink="">
          <xdr:nvSpPr>
            <xdr:cNvPr id="40715" name="BOTON30" hidden="1">
              <a:extLst>
                <a:ext uri="{63B3BB69-23CF-44E3-9099-C40C66FF867C}">
                  <a14:compatExt spid="_x0000_s40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28</xdr:row>
          <xdr:rowOff>0</xdr:rowOff>
        </xdr:from>
        <xdr:to>
          <xdr:col>6</xdr:col>
          <xdr:colOff>1771650</xdr:colOff>
          <xdr:row>33</xdr:row>
          <xdr:rowOff>0</xdr:rowOff>
        </xdr:to>
        <xdr:sp macro="" textlink="">
          <xdr:nvSpPr>
            <xdr:cNvPr id="40716" name="Button 12044" hidden="1">
              <a:extLst>
                <a:ext uri="{63B3BB69-23CF-44E3-9099-C40C66FF867C}">
                  <a14:compatExt spid="_x0000_s40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NOTIFICAR REGISTROS VALIDADOS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2486025</xdr:colOff>
          <xdr:row>35</xdr:row>
          <xdr:rowOff>57150</xdr:rowOff>
        </xdr:from>
        <xdr:to>
          <xdr:col>13</xdr:col>
          <xdr:colOff>133350</xdr:colOff>
          <xdr:row>40</xdr:row>
          <xdr:rowOff>57150</xdr:rowOff>
        </xdr:to>
        <xdr:sp macro="" textlink="">
          <xdr:nvSpPr>
            <xdr:cNvPr id="40717" name="Button 12045" hidden="1">
              <a:extLst>
                <a:ext uri="{63B3BB69-23CF-44E3-9099-C40C66FF867C}">
                  <a14:compatExt spid="_x0000_s40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 SIN 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35</xdr:row>
          <xdr:rowOff>47625</xdr:rowOff>
        </xdr:from>
        <xdr:to>
          <xdr:col>6</xdr:col>
          <xdr:colOff>1819275</xdr:colOff>
          <xdr:row>40</xdr:row>
          <xdr:rowOff>47625</xdr:rowOff>
        </xdr:to>
        <xdr:sp macro="" textlink="">
          <xdr:nvSpPr>
            <xdr:cNvPr id="40718" name="Button 12046" hidden="1">
              <a:extLst>
                <a:ext uri="{63B3BB69-23CF-44E3-9099-C40C66FF867C}">
                  <a14:compatExt spid="_x0000_s40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Y SALIR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2495550</xdr:colOff>
          <xdr:row>27</xdr:row>
          <xdr:rowOff>161925</xdr:rowOff>
        </xdr:from>
        <xdr:to>
          <xdr:col>13</xdr:col>
          <xdr:colOff>142875</xdr:colOff>
          <xdr:row>32</xdr:row>
          <xdr:rowOff>161925</xdr:rowOff>
        </xdr:to>
        <xdr:sp macro="" textlink="">
          <xdr:nvSpPr>
            <xdr:cNvPr id="40719" name="Button 12047" hidden="1">
              <a:extLst>
                <a:ext uri="{63B3BB69-23CF-44E3-9099-C40C66FF867C}">
                  <a14:compatExt spid="_x0000_s40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LISTADO COMPLETO DE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42</xdr:row>
          <xdr:rowOff>57150</xdr:rowOff>
        </xdr:from>
        <xdr:to>
          <xdr:col>9</xdr:col>
          <xdr:colOff>581025</xdr:colOff>
          <xdr:row>47</xdr:row>
          <xdr:rowOff>57150</xdr:rowOff>
        </xdr:to>
        <xdr:sp macro="" textlink="">
          <xdr:nvSpPr>
            <xdr:cNvPr id="40720" name="Button 12048" hidden="1">
              <a:extLst>
                <a:ext uri="{63B3BB69-23CF-44E3-9099-C40C66FF867C}">
                  <a14:compatExt spid="_x0000_s40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MANDAR CORREO AVISO A RADIOFÍSICA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9</xdr:row>
          <xdr:rowOff>28575</xdr:rowOff>
        </xdr:from>
        <xdr:to>
          <xdr:col>5</xdr:col>
          <xdr:colOff>657225</xdr:colOff>
          <xdr:row>9</xdr:row>
          <xdr:rowOff>180975</xdr:rowOff>
        </xdr:to>
        <xdr:sp macro="" textlink="">
          <xdr:nvSpPr>
            <xdr:cNvPr id="7169" name="BO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19050</xdr:rowOff>
        </xdr:from>
        <xdr:to>
          <xdr:col>6</xdr:col>
          <xdr:colOff>704850</xdr:colOff>
          <xdr:row>9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10</xdr:row>
          <xdr:rowOff>19050</xdr:rowOff>
        </xdr:from>
        <xdr:to>
          <xdr:col>5</xdr:col>
          <xdr:colOff>657225</xdr:colOff>
          <xdr:row>10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19050</xdr:rowOff>
        </xdr:from>
        <xdr:to>
          <xdr:col>6</xdr:col>
          <xdr:colOff>704850</xdr:colOff>
          <xdr:row>10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11</xdr:row>
          <xdr:rowOff>19050</xdr:rowOff>
        </xdr:from>
        <xdr:to>
          <xdr:col>5</xdr:col>
          <xdr:colOff>657225</xdr:colOff>
          <xdr:row>11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19050</xdr:rowOff>
        </xdr:from>
        <xdr:to>
          <xdr:col>6</xdr:col>
          <xdr:colOff>704850</xdr:colOff>
          <xdr:row>11</xdr:row>
          <xdr:rowOff>171450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19050</xdr:rowOff>
        </xdr:from>
        <xdr:to>
          <xdr:col>5</xdr:col>
          <xdr:colOff>657225</xdr:colOff>
          <xdr:row>12</xdr:row>
          <xdr:rowOff>171450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19050</xdr:rowOff>
        </xdr:from>
        <xdr:to>
          <xdr:col>6</xdr:col>
          <xdr:colOff>704850</xdr:colOff>
          <xdr:row>12</xdr:row>
          <xdr:rowOff>171450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13</xdr:row>
          <xdr:rowOff>19050</xdr:rowOff>
        </xdr:from>
        <xdr:to>
          <xdr:col>5</xdr:col>
          <xdr:colOff>657225</xdr:colOff>
          <xdr:row>13</xdr:row>
          <xdr:rowOff>171450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19050</xdr:rowOff>
        </xdr:from>
        <xdr:to>
          <xdr:col>6</xdr:col>
          <xdr:colOff>704850</xdr:colOff>
          <xdr:row>13</xdr:row>
          <xdr:rowOff>171450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19050</xdr:rowOff>
        </xdr:from>
        <xdr:to>
          <xdr:col>5</xdr:col>
          <xdr:colOff>657225</xdr:colOff>
          <xdr:row>14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19050</xdr:rowOff>
        </xdr:from>
        <xdr:to>
          <xdr:col>6</xdr:col>
          <xdr:colOff>704850</xdr:colOff>
          <xdr:row>14</xdr:row>
          <xdr:rowOff>171450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15</xdr:row>
          <xdr:rowOff>19050</xdr:rowOff>
        </xdr:from>
        <xdr:to>
          <xdr:col>5</xdr:col>
          <xdr:colOff>657225</xdr:colOff>
          <xdr:row>15</xdr:row>
          <xdr:rowOff>171450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19050</xdr:rowOff>
        </xdr:from>
        <xdr:to>
          <xdr:col>6</xdr:col>
          <xdr:colOff>704850</xdr:colOff>
          <xdr:row>15</xdr:row>
          <xdr:rowOff>171450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16</xdr:row>
          <xdr:rowOff>19050</xdr:rowOff>
        </xdr:from>
        <xdr:to>
          <xdr:col>5</xdr:col>
          <xdr:colOff>657225</xdr:colOff>
          <xdr:row>16</xdr:row>
          <xdr:rowOff>171450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19050</xdr:rowOff>
        </xdr:from>
        <xdr:to>
          <xdr:col>6</xdr:col>
          <xdr:colOff>704850</xdr:colOff>
          <xdr:row>16</xdr:row>
          <xdr:rowOff>171450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17</xdr:row>
          <xdr:rowOff>19050</xdr:rowOff>
        </xdr:from>
        <xdr:to>
          <xdr:col>5</xdr:col>
          <xdr:colOff>657225</xdr:colOff>
          <xdr:row>17</xdr:row>
          <xdr:rowOff>171450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19050</xdr:rowOff>
        </xdr:from>
        <xdr:to>
          <xdr:col>6</xdr:col>
          <xdr:colOff>704850</xdr:colOff>
          <xdr:row>17</xdr:row>
          <xdr:rowOff>171450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19050</xdr:rowOff>
        </xdr:from>
        <xdr:to>
          <xdr:col>5</xdr:col>
          <xdr:colOff>657225</xdr:colOff>
          <xdr:row>18</xdr:row>
          <xdr:rowOff>171450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19050</xdr:rowOff>
        </xdr:from>
        <xdr:to>
          <xdr:col>6</xdr:col>
          <xdr:colOff>704850</xdr:colOff>
          <xdr:row>18</xdr:row>
          <xdr:rowOff>171450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19</xdr:row>
          <xdr:rowOff>19050</xdr:rowOff>
        </xdr:from>
        <xdr:to>
          <xdr:col>5</xdr:col>
          <xdr:colOff>657225</xdr:colOff>
          <xdr:row>19</xdr:row>
          <xdr:rowOff>171450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19</xdr:row>
          <xdr:rowOff>19050</xdr:rowOff>
        </xdr:from>
        <xdr:to>
          <xdr:col>6</xdr:col>
          <xdr:colOff>704850</xdr:colOff>
          <xdr:row>19</xdr:row>
          <xdr:rowOff>171450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20</xdr:row>
          <xdr:rowOff>19050</xdr:rowOff>
        </xdr:from>
        <xdr:to>
          <xdr:col>5</xdr:col>
          <xdr:colOff>657225</xdr:colOff>
          <xdr:row>20</xdr:row>
          <xdr:rowOff>171450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20</xdr:row>
          <xdr:rowOff>19050</xdr:rowOff>
        </xdr:from>
        <xdr:to>
          <xdr:col>6</xdr:col>
          <xdr:colOff>704850</xdr:colOff>
          <xdr:row>20</xdr:row>
          <xdr:rowOff>171450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19050</xdr:rowOff>
        </xdr:from>
        <xdr:to>
          <xdr:col>5</xdr:col>
          <xdr:colOff>657225</xdr:colOff>
          <xdr:row>21</xdr:row>
          <xdr:rowOff>171450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21</xdr:row>
          <xdr:rowOff>19050</xdr:rowOff>
        </xdr:from>
        <xdr:to>
          <xdr:col>6</xdr:col>
          <xdr:colOff>704850</xdr:colOff>
          <xdr:row>21</xdr:row>
          <xdr:rowOff>171450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22</xdr:row>
          <xdr:rowOff>19050</xdr:rowOff>
        </xdr:from>
        <xdr:to>
          <xdr:col>5</xdr:col>
          <xdr:colOff>657225</xdr:colOff>
          <xdr:row>22</xdr:row>
          <xdr:rowOff>171450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19050</xdr:rowOff>
        </xdr:from>
        <xdr:to>
          <xdr:col>6</xdr:col>
          <xdr:colOff>704850</xdr:colOff>
          <xdr:row>22</xdr:row>
          <xdr:rowOff>171450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23</xdr:row>
          <xdr:rowOff>19050</xdr:rowOff>
        </xdr:from>
        <xdr:to>
          <xdr:col>5</xdr:col>
          <xdr:colOff>657225</xdr:colOff>
          <xdr:row>23</xdr:row>
          <xdr:rowOff>171450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19050</xdr:rowOff>
        </xdr:from>
        <xdr:to>
          <xdr:col>6</xdr:col>
          <xdr:colOff>704850</xdr:colOff>
          <xdr:row>23</xdr:row>
          <xdr:rowOff>171450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19050</xdr:rowOff>
        </xdr:from>
        <xdr:to>
          <xdr:col>6</xdr:col>
          <xdr:colOff>704850</xdr:colOff>
          <xdr:row>9</xdr:row>
          <xdr:rowOff>171450</xdr:rowOff>
        </xdr:to>
        <xdr:sp macro="" textlink="">
          <xdr:nvSpPr>
            <xdr:cNvPr id="7200" name="BOTON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10</xdr:row>
          <xdr:rowOff>19050</xdr:rowOff>
        </xdr:from>
        <xdr:to>
          <xdr:col>5</xdr:col>
          <xdr:colOff>657225</xdr:colOff>
          <xdr:row>10</xdr:row>
          <xdr:rowOff>171450</xdr:rowOff>
        </xdr:to>
        <xdr:sp macro="" textlink="">
          <xdr:nvSpPr>
            <xdr:cNvPr id="7201" name="BOTON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19050</xdr:rowOff>
        </xdr:from>
        <xdr:to>
          <xdr:col>6</xdr:col>
          <xdr:colOff>704850</xdr:colOff>
          <xdr:row>10</xdr:row>
          <xdr:rowOff>171450</xdr:rowOff>
        </xdr:to>
        <xdr:sp macro="" textlink="">
          <xdr:nvSpPr>
            <xdr:cNvPr id="7202" name="BOTON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11</xdr:row>
          <xdr:rowOff>19050</xdr:rowOff>
        </xdr:from>
        <xdr:to>
          <xdr:col>5</xdr:col>
          <xdr:colOff>657225</xdr:colOff>
          <xdr:row>11</xdr:row>
          <xdr:rowOff>171450</xdr:rowOff>
        </xdr:to>
        <xdr:sp macro="" textlink="">
          <xdr:nvSpPr>
            <xdr:cNvPr id="7203" name="BOTON5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19050</xdr:rowOff>
        </xdr:from>
        <xdr:to>
          <xdr:col>6</xdr:col>
          <xdr:colOff>704850</xdr:colOff>
          <xdr:row>11</xdr:row>
          <xdr:rowOff>171450</xdr:rowOff>
        </xdr:to>
        <xdr:sp macro="" textlink="">
          <xdr:nvSpPr>
            <xdr:cNvPr id="7204" name="BOTON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19050</xdr:rowOff>
        </xdr:from>
        <xdr:to>
          <xdr:col>5</xdr:col>
          <xdr:colOff>657225</xdr:colOff>
          <xdr:row>12</xdr:row>
          <xdr:rowOff>171450</xdr:rowOff>
        </xdr:to>
        <xdr:sp macro="" textlink="">
          <xdr:nvSpPr>
            <xdr:cNvPr id="7205" name="BOTON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19050</xdr:rowOff>
        </xdr:from>
        <xdr:to>
          <xdr:col>6</xdr:col>
          <xdr:colOff>704850</xdr:colOff>
          <xdr:row>12</xdr:row>
          <xdr:rowOff>171450</xdr:rowOff>
        </xdr:to>
        <xdr:sp macro="" textlink="">
          <xdr:nvSpPr>
            <xdr:cNvPr id="7206" name="BOTON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13</xdr:row>
          <xdr:rowOff>19050</xdr:rowOff>
        </xdr:from>
        <xdr:to>
          <xdr:col>5</xdr:col>
          <xdr:colOff>657225</xdr:colOff>
          <xdr:row>13</xdr:row>
          <xdr:rowOff>171450</xdr:rowOff>
        </xdr:to>
        <xdr:sp macro="" textlink="">
          <xdr:nvSpPr>
            <xdr:cNvPr id="7207" name="BOTON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19050</xdr:rowOff>
        </xdr:from>
        <xdr:to>
          <xdr:col>6</xdr:col>
          <xdr:colOff>704850</xdr:colOff>
          <xdr:row>13</xdr:row>
          <xdr:rowOff>171450</xdr:rowOff>
        </xdr:to>
        <xdr:sp macro="" textlink="">
          <xdr:nvSpPr>
            <xdr:cNvPr id="7208" name="BOTON1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19050</xdr:rowOff>
        </xdr:from>
        <xdr:to>
          <xdr:col>5</xdr:col>
          <xdr:colOff>657225</xdr:colOff>
          <xdr:row>14</xdr:row>
          <xdr:rowOff>171450</xdr:rowOff>
        </xdr:to>
        <xdr:sp macro="" textlink="">
          <xdr:nvSpPr>
            <xdr:cNvPr id="7209" name="BOTON11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19050</xdr:rowOff>
        </xdr:from>
        <xdr:to>
          <xdr:col>6</xdr:col>
          <xdr:colOff>704850</xdr:colOff>
          <xdr:row>14</xdr:row>
          <xdr:rowOff>171450</xdr:rowOff>
        </xdr:to>
        <xdr:sp macro="" textlink="">
          <xdr:nvSpPr>
            <xdr:cNvPr id="7210" name="BOTON1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15</xdr:row>
          <xdr:rowOff>19050</xdr:rowOff>
        </xdr:from>
        <xdr:to>
          <xdr:col>5</xdr:col>
          <xdr:colOff>657225</xdr:colOff>
          <xdr:row>15</xdr:row>
          <xdr:rowOff>171450</xdr:rowOff>
        </xdr:to>
        <xdr:sp macro="" textlink="">
          <xdr:nvSpPr>
            <xdr:cNvPr id="7211" name="BOTON1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19050</xdr:rowOff>
        </xdr:from>
        <xdr:to>
          <xdr:col>6</xdr:col>
          <xdr:colOff>704850</xdr:colOff>
          <xdr:row>15</xdr:row>
          <xdr:rowOff>171450</xdr:rowOff>
        </xdr:to>
        <xdr:sp macro="" textlink="">
          <xdr:nvSpPr>
            <xdr:cNvPr id="7212" name="BOTON1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16</xdr:row>
          <xdr:rowOff>19050</xdr:rowOff>
        </xdr:from>
        <xdr:to>
          <xdr:col>5</xdr:col>
          <xdr:colOff>657225</xdr:colOff>
          <xdr:row>16</xdr:row>
          <xdr:rowOff>171450</xdr:rowOff>
        </xdr:to>
        <xdr:sp macro="" textlink="">
          <xdr:nvSpPr>
            <xdr:cNvPr id="7213" name="BOTON1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19050</xdr:rowOff>
        </xdr:from>
        <xdr:to>
          <xdr:col>6</xdr:col>
          <xdr:colOff>704850</xdr:colOff>
          <xdr:row>16</xdr:row>
          <xdr:rowOff>171450</xdr:rowOff>
        </xdr:to>
        <xdr:sp macro="" textlink="">
          <xdr:nvSpPr>
            <xdr:cNvPr id="7214" name="BOTON1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17</xdr:row>
          <xdr:rowOff>19050</xdr:rowOff>
        </xdr:from>
        <xdr:to>
          <xdr:col>5</xdr:col>
          <xdr:colOff>657225</xdr:colOff>
          <xdr:row>17</xdr:row>
          <xdr:rowOff>171450</xdr:rowOff>
        </xdr:to>
        <xdr:sp macro="" textlink="">
          <xdr:nvSpPr>
            <xdr:cNvPr id="7215" name="BOTON1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19050</xdr:rowOff>
        </xdr:from>
        <xdr:to>
          <xdr:col>6</xdr:col>
          <xdr:colOff>704850</xdr:colOff>
          <xdr:row>17</xdr:row>
          <xdr:rowOff>171450</xdr:rowOff>
        </xdr:to>
        <xdr:sp macro="" textlink="">
          <xdr:nvSpPr>
            <xdr:cNvPr id="7216" name="BOTON1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19050</xdr:rowOff>
        </xdr:from>
        <xdr:to>
          <xdr:col>5</xdr:col>
          <xdr:colOff>657225</xdr:colOff>
          <xdr:row>18</xdr:row>
          <xdr:rowOff>171450</xdr:rowOff>
        </xdr:to>
        <xdr:sp macro="" textlink="">
          <xdr:nvSpPr>
            <xdr:cNvPr id="7217" name="BOTON19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19050</xdr:rowOff>
        </xdr:from>
        <xdr:to>
          <xdr:col>6</xdr:col>
          <xdr:colOff>704850</xdr:colOff>
          <xdr:row>18</xdr:row>
          <xdr:rowOff>171450</xdr:rowOff>
        </xdr:to>
        <xdr:sp macro="" textlink="">
          <xdr:nvSpPr>
            <xdr:cNvPr id="7218" name="BOTON20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19</xdr:row>
          <xdr:rowOff>19050</xdr:rowOff>
        </xdr:from>
        <xdr:to>
          <xdr:col>5</xdr:col>
          <xdr:colOff>657225</xdr:colOff>
          <xdr:row>19</xdr:row>
          <xdr:rowOff>171450</xdr:rowOff>
        </xdr:to>
        <xdr:sp macro="" textlink="">
          <xdr:nvSpPr>
            <xdr:cNvPr id="7219" name="BOTON21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19</xdr:row>
          <xdr:rowOff>19050</xdr:rowOff>
        </xdr:from>
        <xdr:to>
          <xdr:col>6</xdr:col>
          <xdr:colOff>704850</xdr:colOff>
          <xdr:row>19</xdr:row>
          <xdr:rowOff>171450</xdr:rowOff>
        </xdr:to>
        <xdr:sp macro="" textlink="">
          <xdr:nvSpPr>
            <xdr:cNvPr id="7220" name="BOTON22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20</xdr:row>
          <xdr:rowOff>19050</xdr:rowOff>
        </xdr:from>
        <xdr:to>
          <xdr:col>5</xdr:col>
          <xdr:colOff>657225</xdr:colOff>
          <xdr:row>20</xdr:row>
          <xdr:rowOff>171450</xdr:rowOff>
        </xdr:to>
        <xdr:sp macro="" textlink="">
          <xdr:nvSpPr>
            <xdr:cNvPr id="7221" name="BOTON23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20</xdr:row>
          <xdr:rowOff>19050</xdr:rowOff>
        </xdr:from>
        <xdr:to>
          <xdr:col>6</xdr:col>
          <xdr:colOff>704850</xdr:colOff>
          <xdr:row>20</xdr:row>
          <xdr:rowOff>171450</xdr:rowOff>
        </xdr:to>
        <xdr:sp macro="" textlink="">
          <xdr:nvSpPr>
            <xdr:cNvPr id="7222" name="BOTON24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19050</xdr:rowOff>
        </xdr:from>
        <xdr:to>
          <xdr:col>5</xdr:col>
          <xdr:colOff>657225</xdr:colOff>
          <xdr:row>21</xdr:row>
          <xdr:rowOff>171450</xdr:rowOff>
        </xdr:to>
        <xdr:sp macro="" textlink="">
          <xdr:nvSpPr>
            <xdr:cNvPr id="7223" name="BOTON25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21</xdr:row>
          <xdr:rowOff>19050</xdr:rowOff>
        </xdr:from>
        <xdr:to>
          <xdr:col>6</xdr:col>
          <xdr:colOff>704850</xdr:colOff>
          <xdr:row>21</xdr:row>
          <xdr:rowOff>171450</xdr:rowOff>
        </xdr:to>
        <xdr:sp macro="" textlink="">
          <xdr:nvSpPr>
            <xdr:cNvPr id="7224" name="BOTON26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22</xdr:row>
          <xdr:rowOff>19050</xdr:rowOff>
        </xdr:from>
        <xdr:to>
          <xdr:col>5</xdr:col>
          <xdr:colOff>657225</xdr:colOff>
          <xdr:row>22</xdr:row>
          <xdr:rowOff>171450</xdr:rowOff>
        </xdr:to>
        <xdr:sp macro="" textlink="">
          <xdr:nvSpPr>
            <xdr:cNvPr id="7225" name="BOTON27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19050</xdr:rowOff>
        </xdr:from>
        <xdr:to>
          <xdr:col>6</xdr:col>
          <xdr:colOff>704850</xdr:colOff>
          <xdr:row>22</xdr:row>
          <xdr:rowOff>171450</xdr:rowOff>
        </xdr:to>
        <xdr:sp macro="" textlink="">
          <xdr:nvSpPr>
            <xdr:cNvPr id="7226" name="BOTON28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23</xdr:row>
          <xdr:rowOff>19050</xdr:rowOff>
        </xdr:from>
        <xdr:to>
          <xdr:col>5</xdr:col>
          <xdr:colOff>657225</xdr:colOff>
          <xdr:row>23</xdr:row>
          <xdr:rowOff>171450</xdr:rowOff>
        </xdr:to>
        <xdr:sp macro="" textlink="">
          <xdr:nvSpPr>
            <xdr:cNvPr id="7227" name="BOTON29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19050</xdr:rowOff>
        </xdr:from>
        <xdr:to>
          <xdr:col>6</xdr:col>
          <xdr:colOff>704850</xdr:colOff>
          <xdr:row>23</xdr:row>
          <xdr:rowOff>171450</xdr:rowOff>
        </xdr:to>
        <xdr:sp macro="" textlink="">
          <xdr:nvSpPr>
            <xdr:cNvPr id="7228" name="BOTON30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3</xdr:row>
          <xdr:rowOff>38100</xdr:rowOff>
        </xdr:from>
        <xdr:to>
          <xdr:col>19</xdr:col>
          <xdr:colOff>209550</xdr:colOff>
          <xdr:row>4</xdr:row>
          <xdr:rowOff>0</xdr:rowOff>
        </xdr:to>
        <xdr:sp macro="" textlink="">
          <xdr:nvSpPr>
            <xdr:cNvPr id="7259" name="Button 91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3</xdr:row>
          <xdr:rowOff>28575</xdr:rowOff>
        </xdr:from>
        <xdr:to>
          <xdr:col>20</xdr:col>
          <xdr:colOff>257175</xdr:colOff>
          <xdr:row>3</xdr:row>
          <xdr:rowOff>180975</xdr:rowOff>
        </xdr:to>
        <xdr:sp macro="" textlink="">
          <xdr:nvSpPr>
            <xdr:cNvPr id="7260" name="Button 92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4</xdr:row>
          <xdr:rowOff>28575</xdr:rowOff>
        </xdr:from>
        <xdr:to>
          <xdr:col>19</xdr:col>
          <xdr:colOff>209550</xdr:colOff>
          <xdr:row>4</xdr:row>
          <xdr:rowOff>180975</xdr:rowOff>
        </xdr:to>
        <xdr:sp macro="" textlink="">
          <xdr:nvSpPr>
            <xdr:cNvPr id="7261" name="Button 93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4</xdr:row>
          <xdr:rowOff>28575</xdr:rowOff>
        </xdr:from>
        <xdr:to>
          <xdr:col>20</xdr:col>
          <xdr:colOff>257175</xdr:colOff>
          <xdr:row>4</xdr:row>
          <xdr:rowOff>180975</xdr:rowOff>
        </xdr:to>
        <xdr:sp macro="" textlink="">
          <xdr:nvSpPr>
            <xdr:cNvPr id="7262" name="Button 94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5</xdr:row>
          <xdr:rowOff>28575</xdr:rowOff>
        </xdr:from>
        <xdr:to>
          <xdr:col>19</xdr:col>
          <xdr:colOff>209550</xdr:colOff>
          <xdr:row>5</xdr:row>
          <xdr:rowOff>180975</xdr:rowOff>
        </xdr:to>
        <xdr:sp macro="" textlink="">
          <xdr:nvSpPr>
            <xdr:cNvPr id="7263" name="Button 95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5</xdr:row>
          <xdr:rowOff>28575</xdr:rowOff>
        </xdr:from>
        <xdr:to>
          <xdr:col>20</xdr:col>
          <xdr:colOff>257175</xdr:colOff>
          <xdr:row>5</xdr:row>
          <xdr:rowOff>180975</xdr:rowOff>
        </xdr:to>
        <xdr:sp macro="" textlink="">
          <xdr:nvSpPr>
            <xdr:cNvPr id="7264" name="Button 96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6</xdr:row>
          <xdr:rowOff>28575</xdr:rowOff>
        </xdr:from>
        <xdr:to>
          <xdr:col>19</xdr:col>
          <xdr:colOff>209550</xdr:colOff>
          <xdr:row>6</xdr:row>
          <xdr:rowOff>180975</xdr:rowOff>
        </xdr:to>
        <xdr:sp macro="" textlink="">
          <xdr:nvSpPr>
            <xdr:cNvPr id="7265" name="Button 97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6</xdr:row>
          <xdr:rowOff>28575</xdr:rowOff>
        </xdr:from>
        <xdr:to>
          <xdr:col>20</xdr:col>
          <xdr:colOff>257175</xdr:colOff>
          <xdr:row>6</xdr:row>
          <xdr:rowOff>180975</xdr:rowOff>
        </xdr:to>
        <xdr:sp macro="" textlink="">
          <xdr:nvSpPr>
            <xdr:cNvPr id="7266" name="Button 98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6</xdr:row>
          <xdr:rowOff>219075</xdr:rowOff>
        </xdr:from>
        <xdr:to>
          <xdr:col>19</xdr:col>
          <xdr:colOff>209550</xdr:colOff>
          <xdr:row>7</xdr:row>
          <xdr:rowOff>133350</xdr:rowOff>
        </xdr:to>
        <xdr:sp macro="" textlink="">
          <xdr:nvSpPr>
            <xdr:cNvPr id="7267" name="Button 99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6</xdr:row>
          <xdr:rowOff>219075</xdr:rowOff>
        </xdr:from>
        <xdr:to>
          <xdr:col>20</xdr:col>
          <xdr:colOff>257175</xdr:colOff>
          <xdr:row>7</xdr:row>
          <xdr:rowOff>133350</xdr:rowOff>
        </xdr:to>
        <xdr:sp macro="" textlink="">
          <xdr:nvSpPr>
            <xdr:cNvPr id="7268" name="Button 100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7</xdr:row>
          <xdr:rowOff>171450</xdr:rowOff>
        </xdr:from>
        <xdr:to>
          <xdr:col>19</xdr:col>
          <xdr:colOff>209550</xdr:colOff>
          <xdr:row>8</xdr:row>
          <xdr:rowOff>133350</xdr:rowOff>
        </xdr:to>
        <xdr:sp macro="" textlink="">
          <xdr:nvSpPr>
            <xdr:cNvPr id="7269" name="Button 101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7</xdr:row>
          <xdr:rowOff>171450</xdr:rowOff>
        </xdr:from>
        <xdr:to>
          <xdr:col>20</xdr:col>
          <xdr:colOff>257175</xdr:colOff>
          <xdr:row>8</xdr:row>
          <xdr:rowOff>133350</xdr:rowOff>
        </xdr:to>
        <xdr:sp macro="" textlink="">
          <xdr:nvSpPr>
            <xdr:cNvPr id="7270" name="Button 102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8</xdr:row>
          <xdr:rowOff>171450</xdr:rowOff>
        </xdr:from>
        <xdr:to>
          <xdr:col>19</xdr:col>
          <xdr:colOff>209550</xdr:colOff>
          <xdr:row>9</xdr:row>
          <xdr:rowOff>133350</xdr:rowOff>
        </xdr:to>
        <xdr:sp macro="" textlink="">
          <xdr:nvSpPr>
            <xdr:cNvPr id="7271" name="Button 103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8</xdr:row>
          <xdr:rowOff>171450</xdr:rowOff>
        </xdr:from>
        <xdr:to>
          <xdr:col>20</xdr:col>
          <xdr:colOff>257175</xdr:colOff>
          <xdr:row>9</xdr:row>
          <xdr:rowOff>133350</xdr:rowOff>
        </xdr:to>
        <xdr:sp macro="" textlink="">
          <xdr:nvSpPr>
            <xdr:cNvPr id="7272" name="Button 104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9</xdr:row>
          <xdr:rowOff>171450</xdr:rowOff>
        </xdr:from>
        <xdr:to>
          <xdr:col>19</xdr:col>
          <xdr:colOff>209550</xdr:colOff>
          <xdr:row>10</xdr:row>
          <xdr:rowOff>133350</xdr:rowOff>
        </xdr:to>
        <xdr:sp macro="" textlink="">
          <xdr:nvSpPr>
            <xdr:cNvPr id="7273" name="Button 105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9</xdr:row>
          <xdr:rowOff>171450</xdr:rowOff>
        </xdr:from>
        <xdr:to>
          <xdr:col>20</xdr:col>
          <xdr:colOff>257175</xdr:colOff>
          <xdr:row>10</xdr:row>
          <xdr:rowOff>133350</xdr:rowOff>
        </xdr:to>
        <xdr:sp macro="" textlink="">
          <xdr:nvSpPr>
            <xdr:cNvPr id="7274" name="Button 106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10</xdr:row>
          <xdr:rowOff>171450</xdr:rowOff>
        </xdr:from>
        <xdr:to>
          <xdr:col>19</xdr:col>
          <xdr:colOff>209550</xdr:colOff>
          <xdr:row>11</xdr:row>
          <xdr:rowOff>133350</xdr:rowOff>
        </xdr:to>
        <xdr:sp macro="" textlink="">
          <xdr:nvSpPr>
            <xdr:cNvPr id="7275" name="Button 107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171450</xdr:rowOff>
        </xdr:from>
        <xdr:to>
          <xdr:col>20</xdr:col>
          <xdr:colOff>257175</xdr:colOff>
          <xdr:row>11</xdr:row>
          <xdr:rowOff>133350</xdr:rowOff>
        </xdr:to>
        <xdr:sp macro="" textlink="">
          <xdr:nvSpPr>
            <xdr:cNvPr id="7276" name="Button 108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11</xdr:row>
          <xdr:rowOff>171450</xdr:rowOff>
        </xdr:from>
        <xdr:to>
          <xdr:col>19</xdr:col>
          <xdr:colOff>209550</xdr:colOff>
          <xdr:row>12</xdr:row>
          <xdr:rowOff>133350</xdr:rowOff>
        </xdr:to>
        <xdr:sp macro="" textlink="">
          <xdr:nvSpPr>
            <xdr:cNvPr id="7277" name="Button 109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11</xdr:row>
          <xdr:rowOff>171450</xdr:rowOff>
        </xdr:from>
        <xdr:to>
          <xdr:col>20</xdr:col>
          <xdr:colOff>257175</xdr:colOff>
          <xdr:row>12</xdr:row>
          <xdr:rowOff>133350</xdr:rowOff>
        </xdr:to>
        <xdr:sp macro="" textlink="">
          <xdr:nvSpPr>
            <xdr:cNvPr id="7278" name="Button 110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12</xdr:row>
          <xdr:rowOff>171450</xdr:rowOff>
        </xdr:from>
        <xdr:to>
          <xdr:col>19</xdr:col>
          <xdr:colOff>209550</xdr:colOff>
          <xdr:row>13</xdr:row>
          <xdr:rowOff>133350</xdr:rowOff>
        </xdr:to>
        <xdr:sp macro="" textlink="">
          <xdr:nvSpPr>
            <xdr:cNvPr id="7279" name="Button 111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12</xdr:row>
          <xdr:rowOff>171450</xdr:rowOff>
        </xdr:from>
        <xdr:to>
          <xdr:col>20</xdr:col>
          <xdr:colOff>257175</xdr:colOff>
          <xdr:row>13</xdr:row>
          <xdr:rowOff>133350</xdr:rowOff>
        </xdr:to>
        <xdr:sp macro="" textlink="">
          <xdr:nvSpPr>
            <xdr:cNvPr id="7280" name="Button 112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13</xdr:row>
          <xdr:rowOff>171450</xdr:rowOff>
        </xdr:from>
        <xdr:to>
          <xdr:col>19</xdr:col>
          <xdr:colOff>209550</xdr:colOff>
          <xdr:row>14</xdr:row>
          <xdr:rowOff>133350</xdr:rowOff>
        </xdr:to>
        <xdr:sp macro="" textlink="">
          <xdr:nvSpPr>
            <xdr:cNvPr id="7281" name="Button 113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13</xdr:row>
          <xdr:rowOff>171450</xdr:rowOff>
        </xdr:from>
        <xdr:to>
          <xdr:col>20</xdr:col>
          <xdr:colOff>257175</xdr:colOff>
          <xdr:row>14</xdr:row>
          <xdr:rowOff>133350</xdr:rowOff>
        </xdr:to>
        <xdr:sp macro="" textlink="">
          <xdr:nvSpPr>
            <xdr:cNvPr id="7282" name="Button 114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14</xdr:row>
          <xdr:rowOff>171450</xdr:rowOff>
        </xdr:from>
        <xdr:to>
          <xdr:col>19</xdr:col>
          <xdr:colOff>209550</xdr:colOff>
          <xdr:row>15</xdr:row>
          <xdr:rowOff>133350</xdr:rowOff>
        </xdr:to>
        <xdr:sp macro="" textlink="">
          <xdr:nvSpPr>
            <xdr:cNvPr id="7283" name="Button 115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14</xdr:row>
          <xdr:rowOff>171450</xdr:rowOff>
        </xdr:from>
        <xdr:to>
          <xdr:col>20</xdr:col>
          <xdr:colOff>257175</xdr:colOff>
          <xdr:row>15</xdr:row>
          <xdr:rowOff>133350</xdr:rowOff>
        </xdr:to>
        <xdr:sp macro="" textlink="">
          <xdr:nvSpPr>
            <xdr:cNvPr id="7284" name="Button 116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15</xdr:row>
          <xdr:rowOff>171450</xdr:rowOff>
        </xdr:from>
        <xdr:to>
          <xdr:col>19</xdr:col>
          <xdr:colOff>209550</xdr:colOff>
          <xdr:row>16</xdr:row>
          <xdr:rowOff>133350</xdr:rowOff>
        </xdr:to>
        <xdr:sp macro="" textlink="">
          <xdr:nvSpPr>
            <xdr:cNvPr id="7285" name="Button 117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15</xdr:row>
          <xdr:rowOff>171450</xdr:rowOff>
        </xdr:from>
        <xdr:to>
          <xdr:col>20</xdr:col>
          <xdr:colOff>257175</xdr:colOff>
          <xdr:row>16</xdr:row>
          <xdr:rowOff>133350</xdr:rowOff>
        </xdr:to>
        <xdr:sp macro="" textlink="">
          <xdr:nvSpPr>
            <xdr:cNvPr id="7286" name="Button 118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16</xdr:row>
          <xdr:rowOff>171450</xdr:rowOff>
        </xdr:from>
        <xdr:to>
          <xdr:col>19</xdr:col>
          <xdr:colOff>209550</xdr:colOff>
          <xdr:row>17</xdr:row>
          <xdr:rowOff>133350</xdr:rowOff>
        </xdr:to>
        <xdr:sp macro="" textlink="">
          <xdr:nvSpPr>
            <xdr:cNvPr id="7287" name="Button 119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16</xdr:row>
          <xdr:rowOff>171450</xdr:rowOff>
        </xdr:from>
        <xdr:to>
          <xdr:col>20</xdr:col>
          <xdr:colOff>257175</xdr:colOff>
          <xdr:row>17</xdr:row>
          <xdr:rowOff>133350</xdr:rowOff>
        </xdr:to>
        <xdr:sp macro="" textlink="">
          <xdr:nvSpPr>
            <xdr:cNvPr id="7288" name="Button 120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3</xdr:row>
          <xdr:rowOff>38100</xdr:rowOff>
        </xdr:from>
        <xdr:to>
          <xdr:col>19</xdr:col>
          <xdr:colOff>209550</xdr:colOff>
          <xdr:row>4</xdr:row>
          <xdr:rowOff>0</xdr:rowOff>
        </xdr:to>
        <xdr:sp macro="" textlink="">
          <xdr:nvSpPr>
            <xdr:cNvPr id="7290" name="Button 122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3</xdr:row>
          <xdr:rowOff>28575</xdr:rowOff>
        </xdr:from>
        <xdr:to>
          <xdr:col>20</xdr:col>
          <xdr:colOff>257175</xdr:colOff>
          <xdr:row>3</xdr:row>
          <xdr:rowOff>180975</xdr:rowOff>
        </xdr:to>
        <xdr:sp macro="" textlink="">
          <xdr:nvSpPr>
            <xdr:cNvPr id="7291" name="Button 123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4</xdr:row>
          <xdr:rowOff>28575</xdr:rowOff>
        </xdr:from>
        <xdr:to>
          <xdr:col>19</xdr:col>
          <xdr:colOff>209550</xdr:colOff>
          <xdr:row>4</xdr:row>
          <xdr:rowOff>180975</xdr:rowOff>
        </xdr:to>
        <xdr:sp macro="" textlink="">
          <xdr:nvSpPr>
            <xdr:cNvPr id="7292" name="Button 124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4</xdr:row>
          <xdr:rowOff>28575</xdr:rowOff>
        </xdr:from>
        <xdr:to>
          <xdr:col>20</xdr:col>
          <xdr:colOff>257175</xdr:colOff>
          <xdr:row>4</xdr:row>
          <xdr:rowOff>180975</xdr:rowOff>
        </xdr:to>
        <xdr:sp macro="" textlink="">
          <xdr:nvSpPr>
            <xdr:cNvPr id="7293" name="Button 125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5</xdr:row>
          <xdr:rowOff>28575</xdr:rowOff>
        </xdr:from>
        <xdr:to>
          <xdr:col>19</xdr:col>
          <xdr:colOff>209550</xdr:colOff>
          <xdr:row>5</xdr:row>
          <xdr:rowOff>180975</xdr:rowOff>
        </xdr:to>
        <xdr:sp macro="" textlink="">
          <xdr:nvSpPr>
            <xdr:cNvPr id="7294" name="Button 126" hidden="1">
              <a:extLst>
                <a:ext uri="{63B3BB69-23CF-44E3-9099-C40C66FF867C}">
                  <a14:compatExt spid="_x0000_s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5</xdr:row>
          <xdr:rowOff>28575</xdr:rowOff>
        </xdr:from>
        <xdr:to>
          <xdr:col>20</xdr:col>
          <xdr:colOff>257175</xdr:colOff>
          <xdr:row>5</xdr:row>
          <xdr:rowOff>180975</xdr:rowOff>
        </xdr:to>
        <xdr:sp macro="" textlink="">
          <xdr:nvSpPr>
            <xdr:cNvPr id="7295" name="Button 127" hidden="1">
              <a:extLst>
                <a:ext uri="{63B3BB69-23CF-44E3-9099-C40C66FF867C}">
                  <a14:compatExt spid="_x0000_s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6</xdr:row>
          <xdr:rowOff>28575</xdr:rowOff>
        </xdr:from>
        <xdr:to>
          <xdr:col>19</xdr:col>
          <xdr:colOff>209550</xdr:colOff>
          <xdr:row>6</xdr:row>
          <xdr:rowOff>180975</xdr:rowOff>
        </xdr:to>
        <xdr:sp macro="" textlink="">
          <xdr:nvSpPr>
            <xdr:cNvPr id="7296" name="Button 128" hidden="1">
              <a:extLst>
                <a:ext uri="{63B3BB69-23CF-44E3-9099-C40C66FF867C}">
                  <a14:compatExt spid="_x0000_s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6</xdr:row>
          <xdr:rowOff>28575</xdr:rowOff>
        </xdr:from>
        <xdr:to>
          <xdr:col>20</xdr:col>
          <xdr:colOff>257175</xdr:colOff>
          <xdr:row>6</xdr:row>
          <xdr:rowOff>180975</xdr:rowOff>
        </xdr:to>
        <xdr:sp macro="" textlink="">
          <xdr:nvSpPr>
            <xdr:cNvPr id="7297" name="Button 129" hidden="1">
              <a:extLst>
                <a:ext uri="{63B3BB69-23CF-44E3-9099-C40C66FF867C}">
                  <a14:compatExt spid="_x0000_s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6</xdr:row>
          <xdr:rowOff>219075</xdr:rowOff>
        </xdr:from>
        <xdr:to>
          <xdr:col>19</xdr:col>
          <xdr:colOff>209550</xdr:colOff>
          <xdr:row>7</xdr:row>
          <xdr:rowOff>133350</xdr:rowOff>
        </xdr:to>
        <xdr:sp macro="" textlink="">
          <xdr:nvSpPr>
            <xdr:cNvPr id="7298" name="Button 130" hidden="1">
              <a:extLst>
                <a:ext uri="{63B3BB69-23CF-44E3-9099-C40C66FF867C}">
                  <a14:compatExt spid="_x0000_s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6</xdr:row>
          <xdr:rowOff>219075</xdr:rowOff>
        </xdr:from>
        <xdr:to>
          <xdr:col>20</xdr:col>
          <xdr:colOff>257175</xdr:colOff>
          <xdr:row>7</xdr:row>
          <xdr:rowOff>133350</xdr:rowOff>
        </xdr:to>
        <xdr:sp macro="" textlink="">
          <xdr:nvSpPr>
            <xdr:cNvPr id="7299" name="Button 131" hidden="1">
              <a:extLst>
                <a:ext uri="{63B3BB69-23CF-44E3-9099-C40C66FF867C}">
                  <a14:compatExt spid="_x0000_s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7</xdr:row>
          <xdr:rowOff>171450</xdr:rowOff>
        </xdr:from>
        <xdr:to>
          <xdr:col>19</xdr:col>
          <xdr:colOff>209550</xdr:colOff>
          <xdr:row>8</xdr:row>
          <xdr:rowOff>133350</xdr:rowOff>
        </xdr:to>
        <xdr:sp macro="" textlink="">
          <xdr:nvSpPr>
            <xdr:cNvPr id="7300" name="Button 132" hidden="1">
              <a:extLst>
                <a:ext uri="{63B3BB69-23CF-44E3-9099-C40C66FF867C}">
                  <a14:compatExt spid="_x0000_s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7</xdr:row>
          <xdr:rowOff>171450</xdr:rowOff>
        </xdr:from>
        <xdr:to>
          <xdr:col>20</xdr:col>
          <xdr:colOff>257175</xdr:colOff>
          <xdr:row>8</xdr:row>
          <xdr:rowOff>133350</xdr:rowOff>
        </xdr:to>
        <xdr:sp macro="" textlink="">
          <xdr:nvSpPr>
            <xdr:cNvPr id="7301" name="Button 133" hidden="1">
              <a:extLst>
                <a:ext uri="{63B3BB69-23CF-44E3-9099-C40C66FF867C}">
                  <a14:compatExt spid="_x0000_s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8</xdr:row>
          <xdr:rowOff>171450</xdr:rowOff>
        </xdr:from>
        <xdr:to>
          <xdr:col>19</xdr:col>
          <xdr:colOff>209550</xdr:colOff>
          <xdr:row>9</xdr:row>
          <xdr:rowOff>133350</xdr:rowOff>
        </xdr:to>
        <xdr:sp macro="" textlink="">
          <xdr:nvSpPr>
            <xdr:cNvPr id="7302" name="Button 134" hidden="1">
              <a:extLst>
                <a:ext uri="{63B3BB69-23CF-44E3-9099-C40C66FF867C}">
                  <a14:compatExt spid="_x0000_s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8</xdr:row>
          <xdr:rowOff>171450</xdr:rowOff>
        </xdr:from>
        <xdr:to>
          <xdr:col>20</xdr:col>
          <xdr:colOff>257175</xdr:colOff>
          <xdr:row>9</xdr:row>
          <xdr:rowOff>133350</xdr:rowOff>
        </xdr:to>
        <xdr:sp macro="" textlink="">
          <xdr:nvSpPr>
            <xdr:cNvPr id="7303" name="Button 135" hidden="1">
              <a:extLst>
                <a:ext uri="{63B3BB69-23CF-44E3-9099-C40C66FF867C}">
                  <a14:compatExt spid="_x0000_s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9</xdr:row>
          <xdr:rowOff>171450</xdr:rowOff>
        </xdr:from>
        <xdr:to>
          <xdr:col>19</xdr:col>
          <xdr:colOff>209550</xdr:colOff>
          <xdr:row>10</xdr:row>
          <xdr:rowOff>133350</xdr:rowOff>
        </xdr:to>
        <xdr:sp macro="" textlink="">
          <xdr:nvSpPr>
            <xdr:cNvPr id="7304" name="Button 136" hidden="1">
              <a:extLst>
                <a:ext uri="{63B3BB69-23CF-44E3-9099-C40C66FF867C}">
                  <a14:compatExt spid="_x0000_s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9</xdr:row>
          <xdr:rowOff>171450</xdr:rowOff>
        </xdr:from>
        <xdr:to>
          <xdr:col>20</xdr:col>
          <xdr:colOff>257175</xdr:colOff>
          <xdr:row>10</xdr:row>
          <xdr:rowOff>133350</xdr:rowOff>
        </xdr:to>
        <xdr:sp macro="" textlink="">
          <xdr:nvSpPr>
            <xdr:cNvPr id="7305" name="Button 137" hidden="1">
              <a:extLst>
                <a:ext uri="{63B3BB69-23CF-44E3-9099-C40C66FF867C}">
                  <a14:compatExt spid="_x0000_s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10</xdr:row>
          <xdr:rowOff>171450</xdr:rowOff>
        </xdr:from>
        <xdr:to>
          <xdr:col>19</xdr:col>
          <xdr:colOff>209550</xdr:colOff>
          <xdr:row>11</xdr:row>
          <xdr:rowOff>133350</xdr:rowOff>
        </xdr:to>
        <xdr:sp macro="" textlink="">
          <xdr:nvSpPr>
            <xdr:cNvPr id="7306" name="Button 138" hidden="1">
              <a:extLst>
                <a:ext uri="{63B3BB69-23CF-44E3-9099-C40C66FF867C}">
                  <a14:compatExt spid="_x0000_s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171450</xdr:rowOff>
        </xdr:from>
        <xdr:to>
          <xdr:col>20</xdr:col>
          <xdr:colOff>257175</xdr:colOff>
          <xdr:row>11</xdr:row>
          <xdr:rowOff>133350</xdr:rowOff>
        </xdr:to>
        <xdr:sp macro="" textlink="">
          <xdr:nvSpPr>
            <xdr:cNvPr id="7307" name="Button 139" hidden="1">
              <a:extLst>
                <a:ext uri="{63B3BB69-23CF-44E3-9099-C40C66FF867C}">
                  <a14:compatExt spid="_x0000_s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11</xdr:row>
          <xdr:rowOff>171450</xdr:rowOff>
        </xdr:from>
        <xdr:to>
          <xdr:col>19</xdr:col>
          <xdr:colOff>209550</xdr:colOff>
          <xdr:row>12</xdr:row>
          <xdr:rowOff>133350</xdr:rowOff>
        </xdr:to>
        <xdr:sp macro="" textlink="">
          <xdr:nvSpPr>
            <xdr:cNvPr id="7308" name="Button 140" hidden="1">
              <a:extLst>
                <a:ext uri="{63B3BB69-23CF-44E3-9099-C40C66FF867C}">
                  <a14:compatExt spid="_x0000_s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11</xdr:row>
          <xdr:rowOff>171450</xdr:rowOff>
        </xdr:from>
        <xdr:to>
          <xdr:col>20</xdr:col>
          <xdr:colOff>257175</xdr:colOff>
          <xdr:row>12</xdr:row>
          <xdr:rowOff>133350</xdr:rowOff>
        </xdr:to>
        <xdr:sp macro="" textlink="">
          <xdr:nvSpPr>
            <xdr:cNvPr id="7309" name="Button 141" hidden="1">
              <a:extLst>
                <a:ext uri="{63B3BB69-23CF-44E3-9099-C40C66FF867C}">
                  <a14:compatExt spid="_x0000_s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12</xdr:row>
          <xdr:rowOff>171450</xdr:rowOff>
        </xdr:from>
        <xdr:to>
          <xdr:col>19</xdr:col>
          <xdr:colOff>209550</xdr:colOff>
          <xdr:row>13</xdr:row>
          <xdr:rowOff>133350</xdr:rowOff>
        </xdr:to>
        <xdr:sp macro="" textlink="">
          <xdr:nvSpPr>
            <xdr:cNvPr id="7310" name="Button 142" hidden="1">
              <a:extLst>
                <a:ext uri="{63B3BB69-23CF-44E3-9099-C40C66FF867C}">
                  <a14:compatExt spid="_x0000_s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12</xdr:row>
          <xdr:rowOff>171450</xdr:rowOff>
        </xdr:from>
        <xdr:to>
          <xdr:col>20</xdr:col>
          <xdr:colOff>257175</xdr:colOff>
          <xdr:row>13</xdr:row>
          <xdr:rowOff>133350</xdr:rowOff>
        </xdr:to>
        <xdr:sp macro="" textlink="">
          <xdr:nvSpPr>
            <xdr:cNvPr id="7311" name="Button 143" hidden="1">
              <a:extLst>
                <a:ext uri="{63B3BB69-23CF-44E3-9099-C40C66FF867C}">
                  <a14:compatExt spid="_x0000_s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13</xdr:row>
          <xdr:rowOff>171450</xdr:rowOff>
        </xdr:from>
        <xdr:to>
          <xdr:col>19</xdr:col>
          <xdr:colOff>209550</xdr:colOff>
          <xdr:row>14</xdr:row>
          <xdr:rowOff>133350</xdr:rowOff>
        </xdr:to>
        <xdr:sp macro="" textlink="">
          <xdr:nvSpPr>
            <xdr:cNvPr id="7312" name="Button 144" hidden="1">
              <a:extLst>
                <a:ext uri="{63B3BB69-23CF-44E3-9099-C40C66FF867C}">
                  <a14:compatExt spid="_x0000_s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13</xdr:row>
          <xdr:rowOff>171450</xdr:rowOff>
        </xdr:from>
        <xdr:to>
          <xdr:col>20</xdr:col>
          <xdr:colOff>257175</xdr:colOff>
          <xdr:row>14</xdr:row>
          <xdr:rowOff>133350</xdr:rowOff>
        </xdr:to>
        <xdr:sp macro="" textlink="">
          <xdr:nvSpPr>
            <xdr:cNvPr id="7313" name="Button 145" hidden="1">
              <a:extLst>
                <a:ext uri="{63B3BB69-23CF-44E3-9099-C40C66FF867C}">
                  <a14:compatExt spid="_x0000_s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14</xdr:row>
          <xdr:rowOff>171450</xdr:rowOff>
        </xdr:from>
        <xdr:to>
          <xdr:col>19</xdr:col>
          <xdr:colOff>209550</xdr:colOff>
          <xdr:row>15</xdr:row>
          <xdr:rowOff>133350</xdr:rowOff>
        </xdr:to>
        <xdr:sp macro="" textlink="">
          <xdr:nvSpPr>
            <xdr:cNvPr id="7314" name="Button 146" hidden="1">
              <a:extLst>
                <a:ext uri="{63B3BB69-23CF-44E3-9099-C40C66FF867C}">
                  <a14:compatExt spid="_x0000_s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14</xdr:row>
          <xdr:rowOff>171450</xdr:rowOff>
        </xdr:from>
        <xdr:to>
          <xdr:col>20</xdr:col>
          <xdr:colOff>257175</xdr:colOff>
          <xdr:row>15</xdr:row>
          <xdr:rowOff>133350</xdr:rowOff>
        </xdr:to>
        <xdr:sp macro="" textlink="">
          <xdr:nvSpPr>
            <xdr:cNvPr id="7315" name="Button 147" hidden="1">
              <a:extLst>
                <a:ext uri="{63B3BB69-23CF-44E3-9099-C40C66FF867C}">
                  <a14:compatExt spid="_x0000_s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15</xdr:row>
          <xdr:rowOff>171450</xdr:rowOff>
        </xdr:from>
        <xdr:to>
          <xdr:col>19</xdr:col>
          <xdr:colOff>209550</xdr:colOff>
          <xdr:row>16</xdr:row>
          <xdr:rowOff>133350</xdr:rowOff>
        </xdr:to>
        <xdr:sp macro="" textlink="">
          <xdr:nvSpPr>
            <xdr:cNvPr id="7316" name="Button 148" hidden="1">
              <a:extLst>
                <a:ext uri="{63B3BB69-23CF-44E3-9099-C40C66FF867C}">
                  <a14:compatExt spid="_x0000_s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15</xdr:row>
          <xdr:rowOff>171450</xdr:rowOff>
        </xdr:from>
        <xdr:to>
          <xdr:col>20</xdr:col>
          <xdr:colOff>257175</xdr:colOff>
          <xdr:row>16</xdr:row>
          <xdr:rowOff>133350</xdr:rowOff>
        </xdr:to>
        <xdr:sp macro="" textlink="">
          <xdr:nvSpPr>
            <xdr:cNvPr id="7317" name="Button 149" hidden="1">
              <a:extLst>
                <a:ext uri="{63B3BB69-23CF-44E3-9099-C40C66FF867C}">
                  <a14:compatExt spid="_x0000_s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16</xdr:row>
          <xdr:rowOff>171450</xdr:rowOff>
        </xdr:from>
        <xdr:to>
          <xdr:col>19</xdr:col>
          <xdr:colOff>209550</xdr:colOff>
          <xdr:row>17</xdr:row>
          <xdr:rowOff>133350</xdr:rowOff>
        </xdr:to>
        <xdr:sp macro="" textlink="">
          <xdr:nvSpPr>
            <xdr:cNvPr id="7318" name="Button 150" hidden="1">
              <a:extLst>
                <a:ext uri="{63B3BB69-23CF-44E3-9099-C40C66FF867C}">
                  <a14:compatExt spid="_x0000_s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16</xdr:row>
          <xdr:rowOff>171450</xdr:rowOff>
        </xdr:from>
        <xdr:to>
          <xdr:col>20</xdr:col>
          <xdr:colOff>257175</xdr:colOff>
          <xdr:row>17</xdr:row>
          <xdr:rowOff>133350</xdr:rowOff>
        </xdr:to>
        <xdr:sp macro="" textlink="">
          <xdr:nvSpPr>
            <xdr:cNvPr id="7319" name="Button 151" hidden="1">
              <a:extLst>
                <a:ext uri="{63B3BB69-23CF-44E3-9099-C40C66FF867C}">
                  <a14:compatExt spid="_x0000_s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151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238125</xdr:colOff>
      <xdr:row>52</xdr:row>
      <xdr:rowOff>1</xdr:rowOff>
    </xdr:from>
    <xdr:to>
      <xdr:col>3</xdr:col>
      <xdr:colOff>1210125</xdr:colOff>
      <xdr:row>54</xdr:row>
      <xdr:rowOff>174864</xdr:rowOff>
    </xdr:to>
    <xdr:pic>
      <xdr:nvPicPr>
        <xdr:cNvPr id="2" name="Picture 15" descr="logo_Junt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64" r="25719"/>
        <a:stretch>
          <a:fillRect/>
        </a:stretch>
      </xdr:blipFill>
      <xdr:spPr bwMode="auto">
        <a:xfrm>
          <a:off x="2590800" y="10810876"/>
          <a:ext cx="972000" cy="555863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 editAs="oneCell">
    <xdr:from>
      <xdr:col>4</xdr:col>
      <xdr:colOff>114300</xdr:colOff>
      <xdr:row>39</xdr:row>
      <xdr:rowOff>38578</xdr:rowOff>
    </xdr:from>
    <xdr:to>
      <xdr:col>4</xdr:col>
      <xdr:colOff>1952625</xdr:colOff>
      <xdr:row>46</xdr:row>
      <xdr:rowOff>19049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48100" y="8372953"/>
          <a:ext cx="1838325" cy="13139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20304</xdr:colOff>
      <xdr:row>3</xdr:row>
      <xdr:rowOff>31583</xdr:rowOff>
    </xdr:from>
    <xdr:to>
      <xdr:col>2</xdr:col>
      <xdr:colOff>985245</xdr:colOff>
      <xdr:row>7</xdr:row>
      <xdr:rowOff>169583</xdr:rowOff>
    </xdr:to>
    <xdr:pic>
      <xdr:nvPicPr>
        <xdr:cNvPr id="5" name="Imagen 4" descr="emblema hcuv-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/>
        <a:srcRect l="11446" r="9607"/>
        <a:stretch>
          <a:fillRect/>
        </a:stretch>
      </xdr:blipFill>
      <xdr:spPr bwMode="auto">
        <a:xfrm>
          <a:off x="20304" y="1174583"/>
          <a:ext cx="2279391" cy="9000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1240159</xdr:colOff>
      <xdr:row>4</xdr:row>
      <xdr:rowOff>79590</xdr:rowOff>
    </xdr:from>
    <xdr:to>
      <xdr:col>6</xdr:col>
      <xdr:colOff>644</xdr:colOff>
      <xdr:row>7</xdr:row>
      <xdr:rowOff>120090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b="30978"/>
        <a:stretch>
          <a:fillRect/>
        </a:stretch>
      </xdr:blipFill>
      <xdr:spPr>
        <a:xfrm>
          <a:off x="4973959" y="1413090"/>
          <a:ext cx="1179835" cy="612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5.xml"/><Relationship Id="rId117" Type="http://schemas.openxmlformats.org/officeDocument/2006/relationships/ctrlProp" Target="../ctrlProps/ctrlProp136.xml"/><Relationship Id="rId21" Type="http://schemas.openxmlformats.org/officeDocument/2006/relationships/ctrlProp" Target="../ctrlProps/ctrlProp40.xml"/><Relationship Id="rId42" Type="http://schemas.openxmlformats.org/officeDocument/2006/relationships/ctrlProp" Target="../ctrlProps/ctrlProp61.xml"/><Relationship Id="rId47" Type="http://schemas.openxmlformats.org/officeDocument/2006/relationships/ctrlProp" Target="../ctrlProps/ctrlProp66.xml"/><Relationship Id="rId63" Type="http://schemas.openxmlformats.org/officeDocument/2006/relationships/ctrlProp" Target="../ctrlProps/ctrlProp82.xml"/><Relationship Id="rId68" Type="http://schemas.openxmlformats.org/officeDocument/2006/relationships/ctrlProp" Target="../ctrlProps/ctrlProp87.xml"/><Relationship Id="rId84" Type="http://schemas.openxmlformats.org/officeDocument/2006/relationships/ctrlProp" Target="../ctrlProps/ctrlProp103.xml"/><Relationship Id="rId89" Type="http://schemas.openxmlformats.org/officeDocument/2006/relationships/ctrlProp" Target="../ctrlProps/ctrlProp108.xml"/><Relationship Id="rId112" Type="http://schemas.openxmlformats.org/officeDocument/2006/relationships/ctrlProp" Target="../ctrlProps/ctrlProp131.xml"/><Relationship Id="rId133" Type="http://schemas.openxmlformats.org/officeDocument/2006/relationships/ctrlProp" Target="../ctrlProps/ctrlProp152.xml"/><Relationship Id="rId16" Type="http://schemas.openxmlformats.org/officeDocument/2006/relationships/vmlDrawing" Target="../drawings/vmlDrawing2.vml"/><Relationship Id="rId107" Type="http://schemas.openxmlformats.org/officeDocument/2006/relationships/ctrlProp" Target="../ctrlProps/ctrlProp126.xml"/><Relationship Id="rId11" Type="http://schemas.openxmlformats.org/officeDocument/2006/relationships/hyperlink" Target="mailto:spenav@saludcastillayleon.es" TargetMode="External"/><Relationship Id="rId32" Type="http://schemas.openxmlformats.org/officeDocument/2006/relationships/ctrlProp" Target="../ctrlProps/ctrlProp51.xml"/><Relationship Id="rId37" Type="http://schemas.openxmlformats.org/officeDocument/2006/relationships/ctrlProp" Target="../ctrlProps/ctrlProp56.xml"/><Relationship Id="rId53" Type="http://schemas.openxmlformats.org/officeDocument/2006/relationships/ctrlProp" Target="../ctrlProps/ctrlProp72.xml"/><Relationship Id="rId58" Type="http://schemas.openxmlformats.org/officeDocument/2006/relationships/ctrlProp" Target="../ctrlProps/ctrlProp77.xml"/><Relationship Id="rId74" Type="http://schemas.openxmlformats.org/officeDocument/2006/relationships/ctrlProp" Target="../ctrlProps/ctrlProp93.xml"/><Relationship Id="rId79" Type="http://schemas.openxmlformats.org/officeDocument/2006/relationships/ctrlProp" Target="../ctrlProps/ctrlProp98.xml"/><Relationship Id="rId102" Type="http://schemas.openxmlformats.org/officeDocument/2006/relationships/ctrlProp" Target="../ctrlProps/ctrlProp121.xml"/><Relationship Id="rId123" Type="http://schemas.openxmlformats.org/officeDocument/2006/relationships/ctrlProp" Target="../ctrlProps/ctrlProp142.xml"/><Relationship Id="rId128" Type="http://schemas.openxmlformats.org/officeDocument/2006/relationships/ctrlProp" Target="../ctrlProps/ctrlProp147.xml"/><Relationship Id="rId5" Type="http://schemas.openxmlformats.org/officeDocument/2006/relationships/hyperlink" Target="mailto:jefesecci&#243;nhemodin&#225;mica@saludcastillayleon.es" TargetMode="External"/><Relationship Id="rId90" Type="http://schemas.openxmlformats.org/officeDocument/2006/relationships/ctrlProp" Target="../ctrlProps/ctrlProp109.xml"/><Relationship Id="rId95" Type="http://schemas.openxmlformats.org/officeDocument/2006/relationships/ctrlProp" Target="../ctrlProps/ctrlProp114.xml"/><Relationship Id="rId14" Type="http://schemas.openxmlformats.org/officeDocument/2006/relationships/hyperlink" Target="../Alertas_Intervencionismo" TargetMode="External"/><Relationship Id="rId22" Type="http://schemas.openxmlformats.org/officeDocument/2006/relationships/ctrlProp" Target="../ctrlProps/ctrlProp41.xml"/><Relationship Id="rId27" Type="http://schemas.openxmlformats.org/officeDocument/2006/relationships/ctrlProp" Target="../ctrlProps/ctrlProp46.xml"/><Relationship Id="rId30" Type="http://schemas.openxmlformats.org/officeDocument/2006/relationships/ctrlProp" Target="../ctrlProps/ctrlProp49.xml"/><Relationship Id="rId35" Type="http://schemas.openxmlformats.org/officeDocument/2006/relationships/ctrlProp" Target="../ctrlProps/ctrlProp54.xml"/><Relationship Id="rId43" Type="http://schemas.openxmlformats.org/officeDocument/2006/relationships/ctrlProp" Target="../ctrlProps/ctrlProp62.xml"/><Relationship Id="rId48" Type="http://schemas.openxmlformats.org/officeDocument/2006/relationships/ctrlProp" Target="../ctrlProps/ctrlProp67.xml"/><Relationship Id="rId56" Type="http://schemas.openxmlformats.org/officeDocument/2006/relationships/ctrlProp" Target="../ctrlProps/ctrlProp75.xml"/><Relationship Id="rId64" Type="http://schemas.openxmlformats.org/officeDocument/2006/relationships/ctrlProp" Target="../ctrlProps/ctrlProp83.xml"/><Relationship Id="rId69" Type="http://schemas.openxmlformats.org/officeDocument/2006/relationships/ctrlProp" Target="../ctrlProps/ctrlProp88.xml"/><Relationship Id="rId77" Type="http://schemas.openxmlformats.org/officeDocument/2006/relationships/ctrlProp" Target="../ctrlProps/ctrlProp96.xml"/><Relationship Id="rId100" Type="http://schemas.openxmlformats.org/officeDocument/2006/relationships/ctrlProp" Target="../ctrlProps/ctrlProp119.xml"/><Relationship Id="rId105" Type="http://schemas.openxmlformats.org/officeDocument/2006/relationships/ctrlProp" Target="../ctrlProps/ctrlProp124.xml"/><Relationship Id="rId113" Type="http://schemas.openxmlformats.org/officeDocument/2006/relationships/ctrlProp" Target="../ctrlProps/ctrlProp132.xml"/><Relationship Id="rId118" Type="http://schemas.openxmlformats.org/officeDocument/2006/relationships/ctrlProp" Target="../ctrlProps/ctrlProp137.xml"/><Relationship Id="rId126" Type="http://schemas.openxmlformats.org/officeDocument/2006/relationships/ctrlProp" Target="../ctrlProps/ctrlProp145.xml"/><Relationship Id="rId134" Type="http://schemas.openxmlformats.org/officeDocument/2006/relationships/ctrlProp" Target="../ctrlProps/ctrlProp153.xml"/><Relationship Id="rId8" Type="http://schemas.openxmlformats.org/officeDocument/2006/relationships/hyperlink" Target="mailto:magulot@saludcastillayleon.es" TargetMode="External"/><Relationship Id="rId51" Type="http://schemas.openxmlformats.org/officeDocument/2006/relationships/ctrlProp" Target="../ctrlProps/ctrlProp70.xml"/><Relationship Id="rId72" Type="http://schemas.openxmlformats.org/officeDocument/2006/relationships/ctrlProp" Target="../ctrlProps/ctrlProp91.xml"/><Relationship Id="rId80" Type="http://schemas.openxmlformats.org/officeDocument/2006/relationships/ctrlProp" Target="../ctrlProps/ctrlProp99.xml"/><Relationship Id="rId85" Type="http://schemas.openxmlformats.org/officeDocument/2006/relationships/ctrlProp" Target="../ctrlProps/ctrlProp104.xml"/><Relationship Id="rId93" Type="http://schemas.openxmlformats.org/officeDocument/2006/relationships/ctrlProp" Target="../ctrlProps/ctrlProp112.xml"/><Relationship Id="rId98" Type="http://schemas.openxmlformats.org/officeDocument/2006/relationships/ctrlProp" Target="../ctrlProps/ctrlProp117.xml"/><Relationship Id="rId121" Type="http://schemas.openxmlformats.org/officeDocument/2006/relationships/ctrlProp" Target="../ctrlProps/ctrlProp140.xml"/><Relationship Id="rId3" Type="http://schemas.openxmlformats.org/officeDocument/2006/relationships/hyperlink" Target="mailto:jefesecci&#243;nhemodin&#225;mica@saludcastillayleon.es" TargetMode="External"/><Relationship Id="rId12" Type="http://schemas.openxmlformats.org/officeDocument/2006/relationships/hyperlink" Target="mailto:danton@saludcastillayleon.es" TargetMode="Externa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33" Type="http://schemas.openxmlformats.org/officeDocument/2006/relationships/ctrlProp" Target="../ctrlProps/ctrlProp52.xml"/><Relationship Id="rId38" Type="http://schemas.openxmlformats.org/officeDocument/2006/relationships/ctrlProp" Target="../ctrlProps/ctrlProp57.xml"/><Relationship Id="rId46" Type="http://schemas.openxmlformats.org/officeDocument/2006/relationships/ctrlProp" Target="../ctrlProps/ctrlProp65.xml"/><Relationship Id="rId59" Type="http://schemas.openxmlformats.org/officeDocument/2006/relationships/ctrlProp" Target="../ctrlProps/ctrlProp78.xml"/><Relationship Id="rId67" Type="http://schemas.openxmlformats.org/officeDocument/2006/relationships/ctrlProp" Target="../ctrlProps/ctrlProp86.xml"/><Relationship Id="rId103" Type="http://schemas.openxmlformats.org/officeDocument/2006/relationships/ctrlProp" Target="../ctrlProps/ctrlProp122.xml"/><Relationship Id="rId108" Type="http://schemas.openxmlformats.org/officeDocument/2006/relationships/ctrlProp" Target="../ctrlProps/ctrlProp127.xml"/><Relationship Id="rId116" Type="http://schemas.openxmlformats.org/officeDocument/2006/relationships/ctrlProp" Target="../ctrlProps/ctrlProp135.xml"/><Relationship Id="rId124" Type="http://schemas.openxmlformats.org/officeDocument/2006/relationships/ctrlProp" Target="../ctrlProps/ctrlProp143.xml"/><Relationship Id="rId129" Type="http://schemas.openxmlformats.org/officeDocument/2006/relationships/ctrlProp" Target="../ctrlProps/ctrlProp148.xml"/><Relationship Id="rId20" Type="http://schemas.openxmlformats.org/officeDocument/2006/relationships/ctrlProp" Target="../ctrlProps/ctrlProp39.xml"/><Relationship Id="rId41" Type="http://schemas.openxmlformats.org/officeDocument/2006/relationships/ctrlProp" Target="../ctrlProps/ctrlProp60.xml"/><Relationship Id="rId54" Type="http://schemas.openxmlformats.org/officeDocument/2006/relationships/ctrlProp" Target="../ctrlProps/ctrlProp73.xml"/><Relationship Id="rId62" Type="http://schemas.openxmlformats.org/officeDocument/2006/relationships/ctrlProp" Target="../ctrlProps/ctrlProp81.xml"/><Relationship Id="rId70" Type="http://schemas.openxmlformats.org/officeDocument/2006/relationships/ctrlProp" Target="../ctrlProps/ctrlProp89.xml"/><Relationship Id="rId75" Type="http://schemas.openxmlformats.org/officeDocument/2006/relationships/ctrlProp" Target="../ctrlProps/ctrlProp94.xml"/><Relationship Id="rId83" Type="http://schemas.openxmlformats.org/officeDocument/2006/relationships/ctrlProp" Target="../ctrlProps/ctrlProp102.xml"/><Relationship Id="rId88" Type="http://schemas.openxmlformats.org/officeDocument/2006/relationships/ctrlProp" Target="../ctrlProps/ctrlProp107.xml"/><Relationship Id="rId91" Type="http://schemas.openxmlformats.org/officeDocument/2006/relationships/ctrlProp" Target="../ctrlProps/ctrlProp110.xml"/><Relationship Id="rId96" Type="http://schemas.openxmlformats.org/officeDocument/2006/relationships/ctrlProp" Target="../ctrlProps/ctrlProp115.xml"/><Relationship Id="rId111" Type="http://schemas.openxmlformats.org/officeDocument/2006/relationships/ctrlProp" Target="../ctrlProps/ctrlProp130.xml"/><Relationship Id="rId132" Type="http://schemas.openxmlformats.org/officeDocument/2006/relationships/ctrlProp" Target="../ctrlProps/ctrlProp151.xml"/><Relationship Id="rId1" Type="http://schemas.openxmlformats.org/officeDocument/2006/relationships/hyperlink" Target="mailto:jeferayosHCUV@saludcastillayleon.es" TargetMode="External"/><Relationship Id="rId6" Type="http://schemas.openxmlformats.org/officeDocument/2006/relationships/hyperlink" Target="mailto:candresr@saludcastillayleon.es" TargetMode="External"/><Relationship Id="rId15" Type="http://schemas.openxmlformats.org/officeDocument/2006/relationships/drawing" Target="../drawings/drawing2.xml"/><Relationship Id="rId23" Type="http://schemas.openxmlformats.org/officeDocument/2006/relationships/ctrlProp" Target="../ctrlProps/ctrlProp42.xml"/><Relationship Id="rId28" Type="http://schemas.openxmlformats.org/officeDocument/2006/relationships/ctrlProp" Target="../ctrlProps/ctrlProp47.xml"/><Relationship Id="rId36" Type="http://schemas.openxmlformats.org/officeDocument/2006/relationships/ctrlProp" Target="../ctrlProps/ctrlProp55.xml"/><Relationship Id="rId49" Type="http://schemas.openxmlformats.org/officeDocument/2006/relationships/ctrlProp" Target="../ctrlProps/ctrlProp68.xml"/><Relationship Id="rId57" Type="http://schemas.openxmlformats.org/officeDocument/2006/relationships/ctrlProp" Target="../ctrlProps/ctrlProp76.xml"/><Relationship Id="rId106" Type="http://schemas.openxmlformats.org/officeDocument/2006/relationships/ctrlProp" Target="../ctrlProps/ctrlProp125.xml"/><Relationship Id="rId114" Type="http://schemas.openxmlformats.org/officeDocument/2006/relationships/ctrlProp" Target="../ctrlProps/ctrlProp133.xml"/><Relationship Id="rId119" Type="http://schemas.openxmlformats.org/officeDocument/2006/relationships/ctrlProp" Target="../ctrlProps/ctrlProp138.xml"/><Relationship Id="rId127" Type="http://schemas.openxmlformats.org/officeDocument/2006/relationships/ctrlProp" Target="../ctrlProps/ctrlProp146.xml"/><Relationship Id="rId10" Type="http://schemas.openxmlformats.org/officeDocument/2006/relationships/hyperlink" Target="mailto:rtorresc@saludcastillayleon.es" TargetMode="External"/><Relationship Id="rId31" Type="http://schemas.openxmlformats.org/officeDocument/2006/relationships/ctrlProp" Target="../ctrlProps/ctrlProp50.xml"/><Relationship Id="rId44" Type="http://schemas.openxmlformats.org/officeDocument/2006/relationships/ctrlProp" Target="../ctrlProps/ctrlProp63.xml"/><Relationship Id="rId52" Type="http://schemas.openxmlformats.org/officeDocument/2006/relationships/ctrlProp" Target="../ctrlProps/ctrlProp71.xml"/><Relationship Id="rId60" Type="http://schemas.openxmlformats.org/officeDocument/2006/relationships/ctrlProp" Target="../ctrlProps/ctrlProp79.xml"/><Relationship Id="rId65" Type="http://schemas.openxmlformats.org/officeDocument/2006/relationships/ctrlProp" Target="../ctrlProps/ctrlProp84.xml"/><Relationship Id="rId73" Type="http://schemas.openxmlformats.org/officeDocument/2006/relationships/ctrlProp" Target="../ctrlProps/ctrlProp92.xml"/><Relationship Id="rId78" Type="http://schemas.openxmlformats.org/officeDocument/2006/relationships/ctrlProp" Target="../ctrlProps/ctrlProp97.xml"/><Relationship Id="rId81" Type="http://schemas.openxmlformats.org/officeDocument/2006/relationships/ctrlProp" Target="../ctrlProps/ctrlProp100.xml"/><Relationship Id="rId86" Type="http://schemas.openxmlformats.org/officeDocument/2006/relationships/ctrlProp" Target="../ctrlProps/ctrlProp105.xml"/><Relationship Id="rId94" Type="http://schemas.openxmlformats.org/officeDocument/2006/relationships/ctrlProp" Target="../ctrlProps/ctrlProp113.xml"/><Relationship Id="rId99" Type="http://schemas.openxmlformats.org/officeDocument/2006/relationships/ctrlProp" Target="../ctrlProps/ctrlProp118.xml"/><Relationship Id="rId101" Type="http://schemas.openxmlformats.org/officeDocument/2006/relationships/ctrlProp" Target="../ctrlProps/ctrlProp120.xml"/><Relationship Id="rId122" Type="http://schemas.openxmlformats.org/officeDocument/2006/relationships/ctrlProp" Target="../ctrlProps/ctrlProp141.xml"/><Relationship Id="rId130" Type="http://schemas.openxmlformats.org/officeDocument/2006/relationships/ctrlProp" Target="../ctrlProps/ctrlProp149.xml"/><Relationship Id="rId135" Type="http://schemas.openxmlformats.org/officeDocument/2006/relationships/ctrlProp" Target="../ctrlProps/ctrlProp154.xml"/><Relationship Id="rId4" Type="http://schemas.openxmlformats.org/officeDocument/2006/relationships/hyperlink" Target="mailto:jefesecci&#243;nhemodin&#225;mica@saludcastillayleon.es" TargetMode="External"/><Relationship Id="rId9" Type="http://schemas.openxmlformats.org/officeDocument/2006/relationships/hyperlink" Target="mailto:lrio@saludcastillayleon.es" TargetMode="External"/><Relationship Id="rId13" Type="http://schemas.openxmlformats.org/officeDocument/2006/relationships/hyperlink" Target="mailto:fperezg@saludcastillayleon.es" TargetMode="External"/><Relationship Id="rId18" Type="http://schemas.openxmlformats.org/officeDocument/2006/relationships/ctrlProp" Target="../ctrlProps/ctrlProp37.xml"/><Relationship Id="rId39" Type="http://schemas.openxmlformats.org/officeDocument/2006/relationships/ctrlProp" Target="../ctrlProps/ctrlProp58.xml"/><Relationship Id="rId109" Type="http://schemas.openxmlformats.org/officeDocument/2006/relationships/ctrlProp" Target="../ctrlProps/ctrlProp128.xml"/><Relationship Id="rId34" Type="http://schemas.openxmlformats.org/officeDocument/2006/relationships/ctrlProp" Target="../ctrlProps/ctrlProp53.xml"/><Relationship Id="rId50" Type="http://schemas.openxmlformats.org/officeDocument/2006/relationships/ctrlProp" Target="../ctrlProps/ctrlProp69.xml"/><Relationship Id="rId55" Type="http://schemas.openxmlformats.org/officeDocument/2006/relationships/ctrlProp" Target="../ctrlProps/ctrlProp74.xml"/><Relationship Id="rId76" Type="http://schemas.openxmlformats.org/officeDocument/2006/relationships/ctrlProp" Target="../ctrlProps/ctrlProp95.xml"/><Relationship Id="rId97" Type="http://schemas.openxmlformats.org/officeDocument/2006/relationships/ctrlProp" Target="../ctrlProps/ctrlProp116.xml"/><Relationship Id="rId104" Type="http://schemas.openxmlformats.org/officeDocument/2006/relationships/ctrlProp" Target="../ctrlProps/ctrlProp123.xml"/><Relationship Id="rId120" Type="http://schemas.openxmlformats.org/officeDocument/2006/relationships/ctrlProp" Target="../ctrlProps/ctrlProp139.xml"/><Relationship Id="rId125" Type="http://schemas.openxmlformats.org/officeDocument/2006/relationships/ctrlProp" Target="../ctrlProps/ctrlProp144.xml"/><Relationship Id="rId7" Type="http://schemas.openxmlformats.org/officeDocument/2006/relationships/hyperlink" Target="mailto:mschuller@saludcastillayleon.es" TargetMode="External"/><Relationship Id="rId71" Type="http://schemas.openxmlformats.org/officeDocument/2006/relationships/ctrlProp" Target="../ctrlProps/ctrlProp90.xml"/><Relationship Id="rId92" Type="http://schemas.openxmlformats.org/officeDocument/2006/relationships/ctrlProp" Target="../ctrlProps/ctrlProp111.xml"/><Relationship Id="rId2" Type="http://schemas.openxmlformats.org/officeDocument/2006/relationships/hyperlink" Target="mailto:jefesecci&#243;nhemodin&#225;mica@saludcastillayleon.es" TargetMode="External"/><Relationship Id="rId29" Type="http://schemas.openxmlformats.org/officeDocument/2006/relationships/ctrlProp" Target="../ctrlProps/ctrlProp48.xml"/><Relationship Id="rId24" Type="http://schemas.openxmlformats.org/officeDocument/2006/relationships/ctrlProp" Target="../ctrlProps/ctrlProp43.xml"/><Relationship Id="rId40" Type="http://schemas.openxmlformats.org/officeDocument/2006/relationships/ctrlProp" Target="../ctrlProps/ctrlProp59.xml"/><Relationship Id="rId45" Type="http://schemas.openxmlformats.org/officeDocument/2006/relationships/ctrlProp" Target="../ctrlProps/ctrlProp64.xml"/><Relationship Id="rId66" Type="http://schemas.openxmlformats.org/officeDocument/2006/relationships/ctrlProp" Target="../ctrlProps/ctrlProp85.xml"/><Relationship Id="rId87" Type="http://schemas.openxmlformats.org/officeDocument/2006/relationships/ctrlProp" Target="../ctrlProps/ctrlProp106.xml"/><Relationship Id="rId110" Type="http://schemas.openxmlformats.org/officeDocument/2006/relationships/ctrlProp" Target="../ctrlProps/ctrlProp129.xml"/><Relationship Id="rId115" Type="http://schemas.openxmlformats.org/officeDocument/2006/relationships/ctrlProp" Target="../ctrlProps/ctrlProp134.xml"/><Relationship Id="rId131" Type="http://schemas.openxmlformats.org/officeDocument/2006/relationships/ctrlProp" Target="../ctrlProps/ctrlProp150.xml"/><Relationship Id="rId61" Type="http://schemas.openxmlformats.org/officeDocument/2006/relationships/ctrlProp" Target="../ctrlProps/ctrlProp80.xml"/><Relationship Id="rId82" Type="http://schemas.openxmlformats.org/officeDocument/2006/relationships/ctrlProp" Target="../ctrlProps/ctrlProp101.xml"/><Relationship Id="rId19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494"/>
  <sheetViews>
    <sheetView zoomScaleNormal="100" workbookViewId="0">
      <pane ySplit="1" topLeftCell="A483" activePane="bottomLeft" state="frozen"/>
      <selection pane="bottomLeft" activeCell="P1" sqref="P1:Q1048576"/>
    </sheetView>
  </sheetViews>
  <sheetFormatPr baseColWidth="10" defaultRowHeight="15" x14ac:dyDescent="0.25"/>
  <cols>
    <col min="1" max="1" width="23.7109375" style="10" customWidth="1"/>
    <col min="2" max="2" width="11.42578125" style="10" customWidth="1"/>
    <col min="3" max="3" width="11" style="10" bestFit="1" customWidth="1"/>
    <col min="4" max="4" width="32.42578125" style="10" bestFit="1" customWidth="1"/>
    <col min="5" max="5" width="12.7109375" style="10" customWidth="1"/>
    <col min="6" max="6" width="12.28515625" style="10" bestFit="1" customWidth="1"/>
    <col min="7" max="7" width="41.140625" style="10" customWidth="1"/>
    <col min="8" max="8" width="9.85546875" style="10" customWidth="1"/>
    <col min="9" max="9" width="10.5703125" style="10" customWidth="1"/>
    <col min="10" max="10" width="11.42578125" style="10" customWidth="1"/>
    <col min="11" max="11" width="12.85546875" style="10" customWidth="1"/>
    <col min="12" max="12" width="8.85546875" style="10" bestFit="1" customWidth="1"/>
    <col min="13" max="13" width="22.5703125" style="10" bestFit="1" customWidth="1"/>
    <col min="14" max="14" width="10.7109375" style="10" bestFit="1" customWidth="1"/>
    <col min="15" max="15" width="11.42578125" style="10" customWidth="1"/>
  </cols>
  <sheetData>
    <row r="1" spans="1:15" ht="4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</row>
    <row r="2" spans="1:15" x14ac:dyDescent="0.25">
      <c r="A2" s="24" t="s">
        <v>15</v>
      </c>
      <c r="B2" s="24" t="s">
        <v>16</v>
      </c>
      <c r="C2" s="24">
        <v>297123</v>
      </c>
      <c r="D2" s="24" t="s">
        <v>17</v>
      </c>
      <c r="E2" s="24" t="s">
        <v>18</v>
      </c>
      <c r="F2" s="24" t="s">
        <v>19</v>
      </c>
      <c r="G2" s="24" t="s">
        <v>20</v>
      </c>
      <c r="H2" s="24">
        <v>1262.52</v>
      </c>
      <c r="I2" s="24">
        <v>5.43</v>
      </c>
      <c r="J2" s="24">
        <v>87.2</v>
      </c>
      <c r="K2" s="24" t="s">
        <v>21</v>
      </c>
      <c r="L2" s="24" t="s">
        <v>21</v>
      </c>
      <c r="M2" s="24" t="s">
        <v>22</v>
      </c>
      <c r="N2" s="24">
        <v>43985</v>
      </c>
      <c r="O2" s="24" t="s">
        <v>21</v>
      </c>
    </row>
    <row r="3" spans="1:15" x14ac:dyDescent="0.25">
      <c r="A3" s="24" t="s">
        <v>23</v>
      </c>
      <c r="B3" s="24" t="s">
        <v>24</v>
      </c>
      <c r="C3" s="24">
        <v>644095</v>
      </c>
      <c r="D3" s="24" t="s">
        <v>25</v>
      </c>
      <c r="E3" s="24" t="s">
        <v>26</v>
      </c>
      <c r="F3" s="24" t="s">
        <v>27</v>
      </c>
      <c r="G3" s="24" t="s">
        <v>28</v>
      </c>
      <c r="H3" s="24">
        <v>468.83699999999999</v>
      </c>
      <c r="I3" s="24">
        <v>4.55</v>
      </c>
      <c r="J3" s="24">
        <v>62.003999999999998</v>
      </c>
      <c r="K3" s="24" t="s">
        <v>21</v>
      </c>
      <c r="L3" s="24" t="s">
        <v>21</v>
      </c>
      <c r="M3" s="24" t="s">
        <v>22</v>
      </c>
      <c r="N3" s="24">
        <v>43985</v>
      </c>
      <c r="O3" s="24" t="s">
        <v>21</v>
      </c>
    </row>
    <row r="4" spans="1:15" x14ac:dyDescent="0.25">
      <c r="A4" s="24" t="s">
        <v>15</v>
      </c>
      <c r="B4" s="24" t="s">
        <v>16</v>
      </c>
      <c r="C4" s="24">
        <v>628852</v>
      </c>
      <c r="D4" s="24" t="s">
        <v>29</v>
      </c>
      <c r="E4" s="24" t="s">
        <v>30</v>
      </c>
      <c r="F4" s="24" t="s">
        <v>31</v>
      </c>
      <c r="G4" s="24" t="s">
        <v>20</v>
      </c>
      <c r="H4" s="24">
        <v>659.15</v>
      </c>
      <c r="I4" s="24">
        <v>1.96</v>
      </c>
      <c r="J4" s="24">
        <v>34.9</v>
      </c>
      <c r="K4" s="24" t="s">
        <v>21</v>
      </c>
      <c r="L4" s="24" t="s">
        <v>21</v>
      </c>
      <c r="M4" s="24" t="s">
        <v>22</v>
      </c>
      <c r="N4" s="24">
        <v>43991</v>
      </c>
      <c r="O4" s="24" t="s">
        <v>21</v>
      </c>
    </row>
    <row r="5" spans="1:15" x14ac:dyDescent="0.25">
      <c r="A5" s="24" t="s">
        <v>32</v>
      </c>
      <c r="B5" s="24" t="s">
        <v>24</v>
      </c>
      <c r="C5" s="24">
        <v>327499</v>
      </c>
      <c r="D5" s="24" t="s">
        <v>33</v>
      </c>
      <c r="E5" s="24" t="s">
        <v>34</v>
      </c>
      <c r="F5" s="24" t="s">
        <v>35</v>
      </c>
      <c r="G5" s="24" t="s">
        <v>28</v>
      </c>
      <c r="H5" s="24">
        <v>609.87</v>
      </c>
      <c r="I5" s="24">
        <v>6.2930000000000001</v>
      </c>
      <c r="J5" s="24">
        <v>88.9</v>
      </c>
      <c r="K5" s="24" t="s">
        <v>21</v>
      </c>
      <c r="L5" s="24" t="s">
        <v>21</v>
      </c>
      <c r="M5" s="24" t="s">
        <v>22</v>
      </c>
      <c r="N5" s="24">
        <v>43998</v>
      </c>
      <c r="O5" s="24" t="s">
        <v>21</v>
      </c>
    </row>
    <row r="6" spans="1:15" x14ac:dyDescent="0.25">
      <c r="A6" s="24" t="s">
        <v>23</v>
      </c>
      <c r="B6" s="24" t="s">
        <v>24</v>
      </c>
      <c r="C6" s="24">
        <v>451229</v>
      </c>
      <c r="D6" s="24" t="s">
        <v>36</v>
      </c>
      <c r="E6" s="24" t="s">
        <v>34</v>
      </c>
      <c r="F6" s="24" t="s">
        <v>37</v>
      </c>
      <c r="G6" s="24" t="s">
        <v>28</v>
      </c>
      <c r="H6" s="24">
        <v>384.36799999999999</v>
      </c>
      <c r="I6" s="24">
        <v>4.7279999999999998</v>
      </c>
      <c r="J6" s="24">
        <v>77.817999999999998</v>
      </c>
      <c r="K6" s="24" t="s">
        <v>21</v>
      </c>
      <c r="L6" s="24" t="s">
        <v>21</v>
      </c>
      <c r="M6" s="24" t="s">
        <v>22</v>
      </c>
      <c r="N6" s="24">
        <v>43998</v>
      </c>
      <c r="O6" s="24" t="s">
        <v>21</v>
      </c>
    </row>
    <row r="7" spans="1:15" x14ac:dyDescent="0.25">
      <c r="A7" s="24" t="s">
        <v>32</v>
      </c>
      <c r="B7" s="24" t="s">
        <v>24</v>
      </c>
      <c r="C7" s="24">
        <v>470988</v>
      </c>
      <c r="D7" s="24" t="s">
        <v>38</v>
      </c>
      <c r="E7" s="24" t="s">
        <v>39</v>
      </c>
      <c r="F7" s="24" t="s">
        <v>40</v>
      </c>
      <c r="G7" s="24" t="s">
        <v>28</v>
      </c>
      <c r="H7" s="24">
        <v>212.09800000000001</v>
      </c>
      <c r="I7" s="24">
        <v>3.456</v>
      </c>
      <c r="J7" s="24">
        <v>66.909000000000006</v>
      </c>
      <c r="K7" s="24" t="s">
        <v>21</v>
      </c>
      <c r="L7" s="24" t="s">
        <v>21</v>
      </c>
      <c r="M7" s="24" t="s">
        <v>22</v>
      </c>
      <c r="N7" s="24">
        <v>43998</v>
      </c>
      <c r="O7" s="24" t="s">
        <v>21</v>
      </c>
    </row>
    <row r="8" spans="1:15" x14ac:dyDescent="0.25">
      <c r="A8" s="24" t="s">
        <v>23</v>
      </c>
      <c r="B8" s="24" t="s">
        <v>24</v>
      </c>
      <c r="C8" s="24">
        <v>425591</v>
      </c>
      <c r="D8" s="24" t="s">
        <v>41</v>
      </c>
      <c r="E8" s="24" t="s">
        <v>42</v>
      </c>
      <c r="F8" s="24" t="s">
        <v>43</v>
      </c>
      <c r="G8" s="24" t="s">
        <v>28</v>
      </c>
      <c r="H8" s="24">
        <v>326.04700000000003</v>
      </c>
      <c r="I8" s="24">
        <v>5.2869999999999999</v>
      </c>
      <c r="J8" s="24">
        <v>40.284999999999997</v>
      </c>
      <c r="K8" s="24" t="s">
        <v>21</v>
      </c>
      <c r="L8" s="24" t="s">
        <v>21</v>
      </c>
      <c r="M8" s="24" t="s">
        <v>22</v>
      </c>
      <c r="N8" s="24">
        <v>43998</v>
      </c>
      <c r="O8" s="24" t="s">
        <v>21</v>
      </c>
    </row>
    <row r="9" spans="1:15" x14ac:dyDescent="0.25">
      <c r="A9" s="24" t="s">
        <v>32</v>
      </c>
      <c r="B9" s="24" t="s">
        <v>24</v>
      </c>
      <c r="C9" s="24">
        <v>644470</v>
      </c>
      <c r="D9" s="24" t="s">
        <v>44</v>
      </c>
      <c r="E9" s="24" t="s">
        <v>45</v>
      </c>
      <c r="F9" s="24" t="s">
        <v>46</v>
      </c>
      <c r="G9" s="24" t="s">
        <v>28</v>
      </c>
      <c r="H9" s="24">
        <v>341.755</v>
      </c>
      <c r="I9" s="24">
        <v>3.351</v>
      </c>
      <c r="J9" s="24">
        <v>66.239000000000004</v>
      </c>
      <c r="K9" s="24" t="s">
        <v>21</v>
      </c>
      <c r="L9" s="24" t="s">
        <v>21</v>
      </c>
      <c r="M9" s="24" t="s">
        <v>47</v>
      </c>
      <c r="N9" s="24">
        <v>43999</v>
      </c>
      <c r="O9" s="24" t="s">
        <v>21</v>
      </c>
    </row>
    <row r="10" spans="1:15" x14ac:dyDescent="0.25">
      <c r="A10" s="24" t="s">
        <v>23</v>
      </c>
      <c r="B10" s="24" t="s">
        <v>24</v>
      </c>
      <c r="C10" s="24">
        <v>131087</v>
      </c>
      <c r="D10" s="24" t="s">
        <v>48</v>
      </c>
      <c r="E10" s="24" t="s">
        <v>45</v>
      </c>
      <c r="F10" s="24" t="s">
        <v>49</v>
      </c>
      <c r="G10" s="24" t="s">
        <v>28</v>
      </c>
      <c r="H10" s="24">
        <v>380.58300000000003</v>
      </c>
      <c r="I10" s="24">
        <v>3.778</v>
      </c>
      <c r="J10" s="24">
        <v>75.126000000000005</v>
      </c>
      <c r="K10" s="24" t="s">
        <v>21</v>
      </c>
      <c r="L10" s="24" t="s">
        <v>21</v>
      </c>
      <c r="M10" s="24" t="s">
        <v>47</v>
      </c>
      <c r="N10" s="24">
        <v>43999</v>
      </c>
      <c r="O10" s="24" t="s">
        <v>21</v>
      </c>
    </row>
    <row r="11" spans="1:15" x14ac:dyDescent="0.25">
      <c r="A11" s="24" t="s">
        <v>15</v>
      </c>
      <c r="B11" s="24" t="s">
        <v>16</v>
      </c>
      <c r="C11" s="24">
        <v>425603</v>
      </c>
      <c r="D11" s="24" t="s">
        <v>50</v>
      </c>
      <c r="E11" s="24" t="s">
        <v>51</v>
      </c>
      <c r="F11" s="24" t="s">
        <v>52</v>
      </c>
      <c r="G11" s="24" t="s">
        <v>53</v>
      </c>
      <c r="H11" s="24">
        <v>1469.54</v>
      </c>
      <c r="I11" s="24">
        <v>6.51</v>
      </c>
      <c r="J11" s="24">
        <v>85.92</v>
      </c>
      <c r="K11" s="24" t="s">
        <v>21</v>
      </c>
      <c r="L11" s="24" t="s">
        <v>21</v>
      </c>
      <c r="M11" s="24" t="s">
        <v>22</v>
      </c>
      <c r="N11" s="24">
        <v>44005</v>
      </c>
      <c r="O11" s="24" t="s">
        <v>21</v>
      </c>
    </row>
    <row r="12" spans="1:15" x14ac:dyDescent="0.25">
      <c r="A12" s="24" t="s">
        <v>15</v>
      </c>
      <c r="B12" s="24" t="s">
        <v>16</v>
      </c>
      <c r="C12" s="24">
        <v>628852</v>
      </c>
      <c r="D12" s="24" t="s">
        <v>29</v>
      </c>
      <c r="E12" s="24" t="s">
        <v>54</v>
      </c>
      <c r="F12" s="24" t="s">
        <v>55</v>
      </c>
      <c r="G12" s="24" t="s">
        <v>20</v>
      </c>
      <c r="H12" s="24">
        <v>1375.47</v>
      </c>
      <c r="I12" s="24">
        <v>5.33</v>
      </c>
      <c r="J12" s="24">
        <v>105.08</v>
      </c>
      <c r="K12" s="24" t="s">
        <v>21</v>
      </c>
      <c r="L12" s="24" t="s">
        <v>21</v>
      </c>
      <c r="M12" s="24" t="s">
        <v>22</v>
      </c>
      <c r="N12" s="24">
        <v>44011</v>
      </c>
      <c r="O12" s="24" t="s">
        <v>21</v>
      </c>
    </row>
    <row r="13" spans="1:15" x14ac:dyDescent="0.25">
      <c r="A13" s="24" t="s">
        <v>15</v>
      </c>
      <c r="B13" s="24" t="s">
        <v>16</v>
      </c>
      <c r="C13" s="24">
        <v>645562</v>
      </c>
      <c r="D13" s="24" t="s">
        <v>56</v>
      </c>
      <c r="E13" s="24" t="s">
        <v>57</v>
      </c>
      <c r="F13" s="24" t="s">
        <v>58</v>
      </c>
      <c r="G13" s="24" t="s">
        <v>59</v>
      </c>
      <c r="H13" s="24">
        <v>793.54</v>
      </c>
      <c r="I13" s="24">
        <v>2.0699999999999998</v>
      </c>
      <c r="J13" s="24">
        <v>58.48</v>
      </c>
      <c r="K13" s="24" t="s">
        <v>21</v>
      </c>
      <c r="L13" s="24" t="s">
        <v>21</v>
      </c>
      <c r="M13" s="24" t="s">
        <v>47</v>
      </c>
      <c r="N13" s="24">
        <v>44029</v>
      </c>
      <c r="O13" s="24" t="s">
        <v>21</v>
      </c>
    </row>
    <row r="14" spans="1:15" x14ac:dyDescent="0.25">
      <c r="A14" s="24" t="s">
        <v>15</v>
      </c>
      <c r="B14" s="24" t="s">
        <v>16</v>
      </c>
      <c r="C14" s="24">
        <v>371067</v>
      </c>
      <c r="D14" s="24" t="s">
        <v>60</v>
      </c>
      <c r="E14" s="24" t="s">
        <v>61</v>
      </c>
      <c r="F14" s="24" t="s">
        <v>62</v>
      </c>
      <c r="G14" s="24" t="s">
        <v>63</v>
      </c>
      <c r="H14" s="24">
        <v>506.93</v>
      </c>
      <c r="I14" s="24">
        <v>2.21</v>
      </c>
      <c r="J14" s="24">
        <v>92.42</v>
      </c>
      <c r="K14" s="24" t="s">
        <v>21</v>
      </c>
      <c r="L14" s="24" t="s">
        <v>21</v>
      </c>
      <c r="M14" s="24" t="s">
        <v>47</v>
      </c>
      <c r="N14" s="24">
        <v>44036</v>
      </c>
      <c r="O14" s="24" t="s">
        <v>21</v>
      </c>
    </row>
    <row r="15" spans="1:15" x14ac:dyDescent="0.25">
      <c r="A15" s="24" t="s">
        <v>15</v>
      </c>
      <c r="B15" s="24" t="s">
        <v>16</v>
      </c>
      <c r="C15" s="24">
        <v>19644</v>
      </c>
      <c r="D15" s="24" t="s">
        <v>64</v>
      </c>
      <c r="E15" s="24" t="s">
        <v>65</v>
      </c>
      <c r="F15" s="24" t="s">
        <v>66</v>
      </c>
      <c r="G15" s="24" t="s">
        <v>67</v>
      </c>
      <c r="H15" s="24">
        <v>962.27</v>
      </c>
      <c r="I15" s="24">
        <v>3.33</v>
      </c>
      <c r="J15" s="24">
        <v>69.3</v>
      </c>
      <c r="K15" s="24" t="s">
        <v>21</v>
      </c>
      <c r="L15" s="24" t="s">
        <v>21</v>
      </c>
      <c r="M15" s="24" t="s">
        <v>47</v>
      </c>
      <c r="N15" s="24">
        <v>44041</v>
      </c>
      <c r="O15" s="24" t="s">
        <v>21</v>
      </c>
    </row>
    <row r="16" spans="1:15" x14ac:dyDescent="0.25">
      <c r="A16" s="24" t="s">
        <v>15</v>
      </c>
      <c r="B16" s="24" t="s">
        <v>16</v>
      </c>
      <c r="C16" s="24">
        <v>314118</v>
      </c>
      <c r="D16" s="24" t="s">
        <v>68</v>
      </c>
      <c r="E16" s="24" t="s">
        <v>69</v>
      </c>
      <c r="F16" s="24" t="s">
        <v>70</v>
      </c>
      <c r="G16" s="24" t="s">
        <v>71</v>
      </c>
      <c r="H16" s="24">
        <v>179.13</v>
      </c>
      <c r="I16" s="24">
        <v>0.81</v>
      </c>
      <c r="J16" s="24">
        <v>75.23</v>
      </c>
      <c r="K16" s="24" t="s">
        <v>21</v>
      </c>
      <c r="L16" s="24" t="s">
        <v>21</v>
      </c>
      <c r="M16" s="24" t="s">
        <v>22</v>
      </c>
      <c r="N16" s="24">
        <v>44055</v>
      </c>
      <c r="O16" s="24" t="s">
        <v>21</v>
      </c>
    </row>
    <row r="17" spans="1:15" x14ac:dyDescent="0.25">
      <c r="A17" s="24" t="s">
        <v>15</v>
      </c>
      <c r="B17" s="24" t="s">
        <v>16</v>
      </c>
      <c r="C17" s="24">
        <v>225630</v>
      </c>
      <c r="D17" s="24" t="s">
        <v>72</v>
      </c>
      <c r="E17" s="24" t="s">
        <v>73</v>
      </c>
      <c r="F17" s="24" t="s">
        <v>74</v>
      </c>
      <c r="G17" s="24" t="s">
        <v>75</v>
      </c>
      <c r="H17" s="24">
        <v>661.14</v>
      </c>
      <c r="I17" s="24">
        <v>1.72</v>
      </c>
      <c r="J17" s="24">
        <v>29.95</v>
      </c>
      <c r="K17" s="24" t="s">
        <v>21</v>
      </c>
      <c r="L17" s="24" t="s">
        <v>21</v>
      </c>
      <c r="M17" s="24" t="s">
        <v>22</v>
      </c>
      <c r="N17" s="24">
        <v>44061</v>
      </c>
      <c r="O17" s="24" t="s">
        <v>21</v>
      </c>
    </row>
    <row r="18" spans="1:15" x14ac:dyDescent="0.25">
      <c r="A18" s="24" t="s">
        <v>15</v>
      </c>
      <c r="B18" s="24" t="s">
        <v>16</v>
      </c>
      <c r="C18" s="24">
        <v>619427</v>
      </c>
      <c r="D18" s="24" t="s">
        <v>76</v>
      </c>
      <c r="E18" s="24" t="s">
        <v>77</v>
      </c>
      <c r="F18" s="24" t="s">
        <v>78</v>
      </c>
      <c r="G18" s="24" t="s">
        <v>59</v>
      </c>
      <c r="H18" s="24">
        <v>656.25</v>
      </c>
      <c r="I18" s="24">
        <v>1.44</v>
      </c>
      <c r="J18" s="24">
        <v>23.53</v>
      </c>
      <c r="K18" s="24" t="s">
        <v>21</v>
      </c>
      <c r="L18" s="24" t="s">
        <v>21</v>
      </c>
      <c r="M18" s="24" t="s">
        <v>47</v>
      </c>
      <c r="N18" s="24">
        <v>44078</v>
      </c>
      <c r="O18" s="24" t="s">
        <v>21</v>
      </c>
    </row>
    <row r="19" spans="1:15" x14ac:dyDescent="0.25">
      <c r="A19" s="24" t="s">
        <v>23</v>
      </c>
      <c r="B19" s="24" t="s">
        <v>24</v>
      </c>
      <c r="C19" s="24">
        <v>639181</v>
      </c>
      <c r="D19" s="24" t="s">
        <v>79</v>
      </c>
      <c r="E19" s="24" t="s">
        <v>80</v>
      </c>
      <c r="F19" s="24" t="s">
        <v>81</v>
      </c>
      <c r="G19" s="24" t="s">
        <v>28</v>
      </c>
      <c r="H19" s="24">
        <v>804.81</v>
      </c>
      <c r="I19" s="24">
        <v>10.16</v>
      </c>
      <c r="J19" s="24">
        <v>88.838999999999999</v>
      </c>
      <c r="K19" s="24" t="s">
        <v>21</v>
      </c>
      <c r="L19" s="24" t="s">
        <v>21</v>
      </c>
      <c r="M19" s="24" t="s">
        <v>22</v>
      </c>
      <c r="N19" s="24">
        <v>44097</v>
      </c>
      <c r="O19" s="24" t="s">
        <v>21</v>
      </c>
    </row>
    <row r="20" spans="1:15" x14ac:dyDescent="0.25">
      <c r="A20" s="24" t="s">
        <v>23</v>
      </c>
      <c r="B20" s="24" t="s">
        <v>24</v>
      </c>
      <c r="C20" s="24">
        <v>396956</v>
      </c>
      <c r="D20" s="24" t="s">
        <v>82</v>
      </c>
      <c r="E20" s="24" t="s">
        <v>80</v>
      </c>
      <c r="F20" s="24" t="s">
        <v>83</v>
      </c>
      <c r="G20" s="24" t="s">
        <v>28</v>
      </c>
      <c r="H20" s="24">
        <v>244.833</v>
      </c>
      <c r="I20" s="24">
        <v>3.71</v>
      </c>
      <c r="J20" s="24">
        <v>72.453999999999994</v>
      </c>
      <c r="K20" s="24" t="s">
        <v>21</v>
      </c>
      <c r="L20" s="24" t="s">
        <v>21</v>
      </c>
      <c r="M20" s="24" t="s">
        <v>22</v>
      </c>
      <c r="N20" s="24">
        <v>44097</v>
      </c>
      <c r="O20" s="24" t="s">
        <v>21</v>
      </c>
    </row>
    <row r="21" spans="1:15" x14ac:dyDescent="0.25">
      <c r="A21" s="24" t="s">
        <v>84</v>
      </c>
      <c r="B21" s="24" t="s">
        <v>24</v>
      </c>
      <c r="C21" s="24">
        <v>613915</v>
      </c>
      <c r="D21" s="24" t="s">
        <v>85</v>
      </c>
      <c r="E21" s="24" t="s">
        <v>86</v>
      </c>
      <c r="F21" s="24" t="s">
        <v>87</v>
      </c>
      <c r="G21" s="24" t="s">
        <v>28</v>
      </c>
      <c r="H21" s="24">
        <v>217.791</v>
      </c>
      <c r="I21" s="24">
        <v>2.6549999999999998</v>
      </c>
      <c r="J21" s="24">
        <v>60.204999999999998</v>
      </c>
      <c r="K21" s="24" t="s">
        <v>21</v>
      </c>
      <c r="L21" s="24" t="s">
        <v>21</v>
      </c>
      <c r="M21" s="24" t="s">
        <v>22</v>
      </c>
      <c r="N21" s="24">
        <v>44097</v>
      </c>
      <c r="O21" s="24" t="s">
        <v>21</v>
      </c>
    </row>
    <row r="22" spans="1:15" x14ac:dyDescent="0.25">
      <c r="A22" s="24" t="s">
        <v>32</v>
      </c>
      <c r="B22" s="24" t="s">
        <v>24</v>
      </c>
      <c r="C22" s="24">
        <v>396956</v>
      </c>
      <c r="D22" s="24" t="s">
        <v>82</v>
      </c>
      <c r="E22" s="24" t="s">
        <v>88</v>
      </c>
      <c r="F22" s="24" t="s">
        <v>89</v>
      </c>
      <c r="G22" s="24" t="s">
        <v>28</v>
      </c>
      <c r="H22" s="24">
        <v>180.42099999999999</v>
      </c>
      <c r="I22" s="24">
        <v>2.9620000000000002</v>
      </c>
      <c r="J22" s="24">
        <v>60.834000000000003</v>
      </c>
      <c r="K22" s="24" t="s">
        <v>21</v>
      </c>
      <c r="L22" s="24" t="s">
        <v>21</v>
      </c>
      <c r="M22" s="24" t="s">
        <v>47</v>
      </c>
      <c r="N22" s="24">
        <v>44098</v>
      </c>
      <c r="O22" s="24" t="s">
        <v>90</v>
      </c>
    </row>
    <row r="23" spans="1:15" x14ac:dyDescent="0.25">
      <c r="A23" s="24" t="s">
        <v>32</v>
      </c>
      <c r="B23" s="24" t="s">
        <v>24</v>
      </c>
      <c r="C23" s="24">
        <v>408520</v>
      </c>
      <c r="D23" s="24" t="s">
        <v>91</v>
      </c>
      <c r="E23" s="24" t="s">
        <v>92</v>
      </c>
      <c r="F23" s="24" t="s">
        <v>93</v>
      </c>
      <c r="G23" s="24" t="s">
        <v>28</v>
      </c>
      <c r="H23" s="24">
        <v>457.12400000000002</v>
      </c>
      <c r="I23" s="24">
        <v>7.6769999999999996</v>
      </c>
      <c r="J23" s="24">
        <v>101.199</v>
      </c>
      <c r="K23" s="24" t="s">
        <v>21</v>
      </c>
      <c r="L23" s="24" t="s">
        <v>21</v>
      </c>
      <c r="M23" s="24" t="s">
        <v>47</v>
      </c>
      <c r="N23" s="24">
        <v>44098</v>
      </c>
      <c r="O23" s="24" t="s">
        <v>90</v>
      </c>
    </row>
    <row r="24" spans="1:15" x14ac:dyDescent="0.25">
      <c r="A24" s="24" t="s">
        <v>23</v>
      </c>
      <c r="B24" s="24" t="s">
        <v>24</v>
      </c>
      <c r="C24" s="24">
        <v>646398</v>
      </c>
      <c r="D24" s="24" t="s">
        <v>94</v>
      </c>
      <c r="E24" s="24" t="s">
        <v>88</v>
      </c>
      <c r="F24" s="24" t="s">
        <v>95</v>
      </c>
      <c r="G24" s="24" t="s">
        <v>28</v>
      </c>
      <c r="H24" s="24">
        <v>535.55999999999995</v>
      </c>
      <c r="I24" s="24">
        <v>4.0519999999999996</v>
      </c>
      <c r="J24" s="24">
        <v>86.965000000000003</v>
      </c>
      <c r="K24" s="24" t="s">
        <v>21</v>
      </c>
      <c r="L24" s="24" t="s">
        <v>21</v>
      </c>
      <c r="M24" s="24" t="s">
        <v>47</v>
      </c>
      <c r="N24" s="24">
        <v>44098</v>
      </c>
      <c r="O24" s="24" t="s">
        <v>90</v>
      </c>
    </row>
    <row r="25" spans="1:15" x14ac:dyDescent="0.25">
      <c r="A25" s="24" t="s">
        <v>23</v>
      </c>
      <c r="B25" s="24" t="s">
        <v>24</v>
      </c>
      <c r="C25" s="24">
        <v>251427</v>
      </c>
      <c r="D25" s="24" t="s">
        <v>96</v>
      </c>
      <c r="E25" s="24" t="s">
        <v>97</v>
      </c>
      <c r="F25" s="24" t="s">
        <v>98</v>
      </c>
      <c r="G25" s="24" t="s">
        <v>28</v>
      </c>
      <c r="H25" s="24">
        <v>428.73</v>
      </c>
      <c r="I25" s="24">
        <v>6.77</v>
      </c>
      <c r="J25" s="24">
        <v>76.45</v>
      </c>
      <c r="K25" s="24" t="s">
        <v>21</v>
      </c>
      <c r="L25" s="24" t="s">
        <v>21</v>
      </c>
      <c r="M25" s="24" t="s">
        <v>22</v>
      </c>
      <c r="N25" s="24">
        <v>44109</v>
      </c>
      <c r="O25" s="24" t="s">
        <v>21</v>
      </c>
    </row>
    <row r="26" spans="1:15" x14ac:dyDescent="0.25">
      <c r="A26" s="24" t="s">
        <v>15</v>
      </c>
      <c r="B26" s="24" t="s">
        <v>16</v>
      </c>
      <c r="C26" s="24">
        <v>646728</v>
      </c>
      <c r="D26" s="24" t="s">
        <v>99</v>
      </c>
      <c r="E26" s="24" t="s">
        <v>100</v>
      </c>
      <c r="F26" s="24" t="s">
        <v>101</v>
      </c>
      <c r="G26" s="24" t="s">
        <v>102</v>
      </c>
      <c r="H26" s="24">
        <v>261.60000000000002</v>
      </c>
      <c r="I26" s="24">
        <v>0.65</v>
      </c>
      <c r="J26" s="24">
        <v>76.7</v>
      </c>
      <c r="K26" s="24" t="s">
        <v>21</v>
      </c>
      <c r="L26" s="24" t="s">
        <v>21</v>
      </c>
      <c r="M26" s="24" t="s">
        <v>22</v>
      </c>
      <c r="N26" s="24">
        <v>44112</v>
      </c>
      <c r="O26" s="24" t="s">
        <v>21</v>
      </c>
    </row>
    <row r="27" spans="1:15" x14ac:dyDescent="0.25">
      <c r="A27" s="24" t="s">
        <v>23</v>
      </c>
      <c r="B27" s="24" t="s">
        <v>24</v>
      </c>
      <c r="C27" s="24">
        <v>169077</v>
      </c>
      <c r="D27" s="24" t="s">
        <v>103</v>
      </c>
      <c r="E27" s="24" t="s">
        <v>104</v>
      </c>
      <c r="F27" s="24" t="s">
        <v>105</v>
      </c>
      <c r="G27" s="24" t="s">
        <v>28</v>
      </c>
      <c r="H27" s="24">
        <v>152.42500000000001</v>
      </c>
      <c r="I27" s="24">
        <v>1.294</v>
      </c>
      <c r="J27" s="24">
        <v>79.599999999999994</v>
      </c>
      <c r="K27" s="24" t="s">
        <v>21</v>
      </c>
      <c r="L27" s="24" t="s">
        <v>21</v>
      </c>
      <c r="M27" s="24" t="s">
        <v>22</v>
      </c>
      <c r="N27" s="24">
        <v>44112</v>
      </c>
      <c r="O27" s="24" t="s">
        <v>21</v>
      </c>
    </row>
    <row r="28" spans="1:15" x14ac:dyDescent="0.25">
      <c r="A28" s="24" t="s">
        <v>23</v>
      </c>
      <c r="B28" s="24" t="s">
        <v>24</v>
      </c>
      <c r="C28" s="24">
        <v>646467</v>
      </c>
      <c r="D28" s="24" t="s">
        <v>106</v>
      </c>
      <c r="E28" s="24" t="s">
        <v>107</v>
      </c>
      <c r="F28" s="24" t="s">
        <v>108</v>
      </c>
      <c r="G28" s="24" t="s">
        <v>28</v>
      </c>
      <c r="H28" s="24">
        <v>364.36500000000001</v>
      </c>
      <c r="I28" s="24">
        <v>3.1059999999999999</v>
      </c>
      <c r="J28" s="24">
        <v>71.905000000000001</v>
      </c>
      <c r="K28" s="24" t="s">
        <v>21</v>
      </c>
      <c r="L28" s="24" t="s">
        <v>21</v>
      </c>
      <c r="M28" s="24" t="s">
        <v>22</v>
      </c>
      <c r="N28" s="24">
        <v>44112</v>
      </c>
      <c r="O28" s="24" t="s">
        <v>21</v>
      </c>
    </row>
    <row r="29" spans="1:15" x14ac:dyDescent="0.25">
      <c r="A29" s="24" t="s">
        <v>84</v>
      </c>
      <c r="B29" s="24" t="s">
        <v>24</v>
      </c>
      <c r="C29" s="24">
        <v>161742</v>
      </c>
      <c r="D29" s="24" t="s">
        <v>109</v>
      </c>
      <c r="E29" s="24" t="s">
        <v>110</v>
      </c>
      <c r="F29" s="24" t="s">
        <v>111</v>
      </c>
      <c r="G29" s="24" t="s">
        <v>28</v>
      </c>
      <c r="H29" s="24">
        <v>110.255</v>
      </c>
      <c r="I29" s="24">
        <v>0.77700000000000002</v>
      </c>
      <c r="J29" s="24">
        <v>68.334999999999994</v>
      </c>
      <c r="K29" s="24" t="s">
        <v>21</v>
      </c>
      <c r="L29" s="24" t="s">
        <v>21</v>
      </c>
      <c r="M29" s="24" t="s">
        <v>22</v>
      </c>
      <c r="N29" s="24">
        <v>44119</v>
      </c>
      <c r="O29" s="24" t="s">
        <v>21</v>
      </c>
    </row>
    <row r="30" spans="1:15" x14ac:dyDescent="0.25">
      <c r="A30" s="24" t="s">
        <v>15</v>
      </c>
      <c r="B30" s="24" t="s">
        <v>16</v>
      </c>
      <c r="C30" s="24">
        <v>3375</v>
      </c>
      <c r="D30" s="24" t="s">
        <v>112</v>
      </c>
      <c r="E30" s="24" t="s">
        <v>113</v>
      </c>
      <c r="F30" s="24" t="s">
        <v>114</v>
      </c>
      <c r="G30" s="24" t="s">
        <v>115</v>
      </c>
      <c r="H30" s="24">
        <v>724.7</v>
      </c>
      <c r="I30" s="24">
        <v>2.33</v>
      </c>
      <c r="J30" s="24">
        <v>54.6</v>
      </c>
      <c r="K30" s="24" t="s">
        <v>21</v>
      </c>
      <c r="L30" s="24" t="s">
        <v>21</v>
      </c>
      <c r="M30" s="24" t="s">
        <v>22</v>
      </c>
      <c r="N30" s="24">
        <v>44120</v>
      </c>
      <c r="O30" s="24" t="s">
        <v>21</v>
      </c>
    </row>
    <row r="31" spans="1:15" x14ac:dyDescent="0.25">
      <c r="A31" s="24" t="s">
        <v>84</v>
      </c>
      <c r="B31" s="24" t="s">
        <v>24</v>
      </c>
      <c r="C31" s="24">
        <v>648189</v>
      </c>
      <c r="D31" s="24" t="s">
        <v>116</v>
      </c>
      <c r="E31" s="24" t="s">
        <v>117</v>
      </c>
      <c r="F31" s="24" t="s">
        <v>118</v>
      </c>
      <c r="G31" s="24" t="s">
        <v>28</v>
      </c>
      <c r="H31" s="24">
        <v>447.89400000000001</v>
      </c>
      <c r="I31" s="24">
        <v>6.9279999999999999</v>
      </c>
      <c r="J31" s="24">
        <v>68.254000000000005</v>
      </c>
      <c r="K31" s="24" t="s">
        <v>21</v>
      </c>
      <c r="L31" s="24" t="s">
        <v>21</v>
      </c>
      <c r="M31" s="24" t="s">
        <v>47</v>
      </c>
      <c r="N31" s="24">
        <v>44126</v>
      </c>
      <c r="O31" s="24" t="s">
        <v>21</v>
      </c>
    </row>
    <row r="32" spans="1:15" x14ac:dyDescent="0.25">
      <c r="A32" s="24" t="s">
        <v>84</v>
      </c>
      <c r="B32" s="24" t="s">
        <v>24</v>
      </c>
      <c r="C32" s="24">
        <v>648201</v>
      </c>
      <c r="D32" s="24" t="s">
        <v>119</v>
      </c>
      <c r="E32" s="24" t="s">
        <v>120</v>
      </c>
      <c r="F32" s="24" t="s">
        <v>121</v>
      </c>
      <c r="G32" s="24" t="s">
        <v>28</v>
      </c>
      <c r="H32" s="24">
        <v>510.62900000000002</v>
      </c>
      <c r="I32" s="24">
        <v>7</v>
      </c>
      <c r="J32" s="24">
        <v>55.247999999999998</v>
      </c>
      <c r="K32" s="24" t="s">
        <v>21</v>
      </c>
      <c r="L32" s="24" t="s">
        <v>21</v>
      </c>
      <c r="M32" s="24" t="s">
        <v>47</v>
      </c>
      <c r="N32" s="24">
        <v>44126</v>
      </c>
      <c r="O32" s="24" t="s">
        <v>21</v>
      </c>
    </row>
    <row r="33" spans="1:15" x14ac:dyDescent="0.25">
      <c r="A33" s="24" t="s">
        <v>32</v>
      </c>
      <c r="B33" s="24" t="s">
        <v>24</v>
      </c>
      <c r="C33" s="24">
        <v>648347</v>
      </c>
      <c r="D33" s="24" t="s">
        <v>122</v>
      </c>
      <c r="E33" s="24" t="s">
        <v>123</v>
      </c>
      <c r="F33" s="24" t="s">
        <v>124</v>
      </c>
      <c r="G33" s="24" t="s">
        <v>28</v>
      </c>
      <c r="H33" s="24">
        <v>382.51</v>
      </c>
      <c r="I33" s="24">
        <v>5.9240000000000004</v>
      </c>
      <c r="J33" s="24">
        <v>43.725000000000001</v>
      </c>
      <c r="K33" s="24" t="s">
        <v>21</v>
      </c>
      <c r="L33" s="24" t="s">
        <v>21</v>
      </c>
      <c r="M33" s="24" t="s">
        <v>47</v>
      </c>
      <c r="N33" s="24">
        <v>44139</v>
      </c>
      <c r="O33" s="24" t="s">
        <v>21</v>
      </c>
    </row>
    <row r="34" spans="1:15" x14ac:dyDescent="0.25">
      <c r="A34" s="24" t="s">
        <v>15</v>
      </c>
      <c r="B34" s="24" t="s">
        <v>16</v>
      </c>
      <c r="C34" s="24">
        <v>18031</v>
      </c>
      <c r="D34" s="24" t="s">
        <v>125</v>
      </c>
      <c r="E34" s="24" t="s">
        <v>126</v>
      </c>
      <c r="F34" s="24" t="s">
        <v>127</v>
      </c>
      <c r="G34" s="24" t="s">
        <v>128</v>
      </c>
      <c r="H34" s="24">
        <v>1106.5899999999999</v>
      </c>
      <c r="I34" s="24">
        <v>4.1100000000000003</v>
      </c>
      <c r="J34" s="24">
        <v>62.83</v>
      </c>
      <c r="K34" s="24" t="s">
        <v>21</v>
      </c>
      <c r="L34" s="24" t="s">
        <v>21</v>
      </c>
      <c r="M34" s="24" t="s">
        <v>47</v>
      </c>
      <c r="N34" s="24">
        <v>44141</v>
      </c>
      <c r="O34" s="24" t="s">
        <v>21</v>
      </c>
    </row>
    <row r="35" spans="1:15" x14ac:dyDescent="0.25">
      <c r="A35" s="24" t="s">
        <v>32</v>
      </c>
      <c r="B35" s="24" t="s">
        <v>24</v>
      </c>
      <c r="C35" s="24">
        <v>648652</v>
      </c>
      <c r="D35" s="24" t="s">
        <v>129</v>
      </c>
      <c r="E35" s="24" t="s">
        <v>130</v>
      </c>
      <c r="F35" s="24" t="s">
        <v>131</v>
      </c>
      <c r="G35" s="24" t="s">
        <v>28</v>
      </c>
      <c r="H35" s="24">
        <v>301.00099999999998</v>
      </c>
      <c r="I35" s="24">
        <v>4.3</v>
      </c>
      <c r="J35" s="24">
        <v>102.062</v>
      </c>
      <c r="K35" s="24" t="s">
        <v>21</v>
      </c>
      <c r="L35" s="24" t="s">
        <v>21</v>
      </c>
      <c r="M35" s="24" t="s">
        <v>22</v>
      </c>
      <c r="N35" s="24">
        <v>44144</v>
      </c>
      <c r="O35" s="24" t="s">
        <v>21</v>
      </c>
    </row>
    <row r="36" spans="1:15" x14ac:dyDescent="0.25">
      <c r="A36" s="24" t="s">
        <v>84</v>
      </c>
      <c r="B36" s="24" t="s">
        <v>24</v>
      </c>
      <c r="C36" s="24">
        <v>648876</v>
      </c>
      <c r="D36" s="24" t="s">
        <v>132</v>
      </c>
      <c r="E36" s="24" t="s">
        <v>133</v>
      </c>
      <c r="F36" s="24" t="s">
        <v>134</v>
      </c>
      <c r="G36" s="24" t="s">
        <v>28</v>
      </c>
      <c r="H36" s="24">
        <v>805.50099999999998</v>
      </c>
      <c r="I36" s="24">
        <v>9.5730000000000004</v>
      </c>
      <c r="J36" s="24">
        <v>60.844999999999999</v>
      </c>
      <c r="K36" s="24" t="s">
        <v>21</v>
      </c>
      <c r="L36" s="24" t="s">
        <v>21</v>
      </c>
      <c r="M36" s="24" t="s">
        <v>47</v>
      </c>
      <c r="N36" s="24">
        <v>44145</v>
      </c>
      <c r="O36" s="24" t="s">
        <v>21</v>
      </c>
    </row>
    <row r="37" spans="1:15" x14ac:dyDescent="0.25">
      <c r="A37" s="24" t="s">
        <v>32</v>
      </c>
      <c r="B37" s="24" t="s">
        <v>24</v>
      </c>
      <c r="C37" s="24">
        <v>648347</v>
      </c>
      <c r="D37" s="24" t="s">
        <v>122</v>
      </c>
      <c r="E37" s="24" t="s">
        <v>135</v>
      </c>
      <c r="F37" s="24" t="s">
        <v>136</v>
      </c>
      <c r="G37" s="24" t="s">
        <v>28</v>
      </c>
      <c r="H37" s="24">
        <v>526.06600000000003</v>
      </c>
      <c r="I37" s="24">
        <v>7.3719999999999999</v>
      </c>
      <c r="J37" s="24">
        <v>64.572000000000003</v>
      </c>
      <c r="K37" s="24" t="s">
        <v>21</v>
      </c>
      <c r="L37" s="24" t="s">
        <v>21</v>
      </c>
      <c r="M37" s="24" t="s">
        <v>22</v>
      </c>
      <c r="N37" s="24">
        <v>44146</v>
      </c>
      <c r="O37" s="24" t="s">
        <v>21</v>
      </c>
    </row>
    <row r="38" spans="1:15" x14ac:dyDescent="0.25">
      <c r="A38" s="24" t="s">
        <v>32</v>
      </c>
      <c r="B38" s="24" t="s">
        <v>24</v>
      </c>
      <c r="C38" s="24">
        <v>553032</v>
      </c>
      <c r="D38" s="24" t="s">
        <v>137</v>
      </c>
      <c r="E38" s="24" t="s">
        <v>135</v>
      </c>
      <c r="F38" s="24" t="s">
        <v>138</v>
      </c>
      <c r="G38" s="24" t="s">
        <v>28</v>
      </c>
      <c r="H38" s="24">
        <v>385.63499999999999</v>
      </c>
      <c r="I38" s="24">
        <v>4.6470000000000002</v>
      </c>
      <c r="J38" s="24">
        <v>64.668000000000006</v>
      </c>
      <c r="K38" s="24" t="s">
        <v>21</v>
      </c>
      <c r="L38" s="24" t="s">
        <v>21</v>
      </c>
      <c r="M38" s="24" t="s">
        <v>22</v>
      </c>
      <c r="N38" s="24">
        <v>44146</v>
      </c>
      <c r="O38" s="24" t="s">
        <v>21</v>
      </c>
    </row>
    <row r="39" spans="1:15" x14ac:dyDescent="0.25">
      <c r="A39" s="24" t="s">
        <v>84</v>
      </c>
      <c r="B39" s="24" t="s">
        <v>24</v>
      </c>
      <c r="C39" s="24">
        <v>560758</v>
      </c>
      <c r="D39" s="24" t="s">
        <v>139</v>
      </c>
      <c r="E39" s="24" t="s">
        <v>135</v>
      </c>
      <c r="F39" s="24" t="s">
        <v>140</v>
      </c>
      <c r="G39" s="24" t="s">
        <v>28</v>
      </c>
      <c r="H39" s="24">
        <v>227.48</v>
      </c>
      <c r="I39" s="24">
        <v>3.3159999999999998</v>
      </c>
      <c r="J39" s="24">
        <v>71.471000000000004</v>
      </c>
      <c r="K39" s="24" t="s">
        <v>21</v>
      </c>
      <c r="L39" s="24" t="s">
        <v>21</v>
      </c>
      <c r="M39" s="24" t="s">
        <v>22</v>
      </c>
      <c r="N39" s="24">
        <v>44146</v>
      </c>
      <c r="O39" s="24" t="s">
        <v>21</v>
      </c>
    </row>
    <row r="40" spans="1:15" x14ac:dyDescent="0.25">
      <c r="A40" s="24" t="s">
        <v>84</v>
      </c>
      <c r="B40" s="24" t="s">
        <v>24</v>
      </c>
      <c r="C40" s="24">
        <v>31816</v>
      </c>
      <c r="D40" s="24" t="s">
        <v>141</v>
      </c>
      <c r="E40" s="24" t="s">
        <v>142</v>
      </c>
      <c r="F40" s="24" t="s">
        <v>143</v>
      </c>
      <c r="G40" s="24" t="s">
        <v>28</v>
      </c>
      <c r="H40" s="24">
        <v>146.11500000000001</v>
      </c>
      <c r="I40" s="24">
        <v>1.821</v>
      </c>
      <c r="J40" s="24">
        <v>88.53</v>
      </c>
      <c r="K40" s="24" t="s">
        <v>21</v>
      </c>
      <c r="L40" s="24" t="s">
        <v>21</v>
      </c>
      <c r="M40" s="24" t="s">
        <v>22</v>
      </c>
      <c r="N40" s="24">
        <v>44151</v>
      </c>
      <c r="O40" s="24" t="s">
        <v>21</v>
      </c>
    </row>
    <row r="41" spans="1:15" x14ac:dyDescent="0.25">
      <c r="A41" s="24" t="s">
        <v>144</v>
      </c>
      <c r="B41" s="24" t="s">
        <v>24</v>
      </c>
      <c r="C41" s="24">
        <v>597386</v>
      </c>
      <c r="D41" s="24" t="s">
        <v>145</v>
      </c>
      <c r="E41" s="24" t="s">
        <v>146</v>
      </c>
      <c r="F41" s="24" t="s">
        <v>147</v>
      </c>
      <c r="G41" s="24" t="e">
        <v>#N/A</v>
      </c>
      <c r="H41" s="24">
        <v>113.83969999999999</v>
      </c>
      <c r="I41" s="24">
        <v>1.16252</v>
      </c>
      <c r="J41" s="24">
        <v>60.45</v>
      </c>
      <c r="K41" s="24" t="s">
        <v>21</v>
      </c>
      <c r="L41" s="24" t="s">
        <v>21</v>
      </c>
      <c r="M41" s="24" t="s">
        <v>22</v>
      </c>
      <c r="N41" s="24">
        <v>44155</v>
      </c>
      <c r="O41" s="24" t="s">
        <v>21</v>
      </c>
    </row>
    <row r="42" spans="1:15" x14ac:dyDescent="0.25">
      <c r="A42" s="24" t="s">
        <v>144</v>
      </c>
      <c r="B42" s="24" t="s">
        <v>24</v>
      </c>
      <c r="C42" s="24">
        <v>648892</v>
      </c>
      <c r="D42" s="24" t="s">
        <v>148</v>
      </c>
      <c r="E42" s="24" t="s">
        <v>149</v>
      </c>
      <c r="F42" s="24" t="s">
        <v>150</v>
      </c>
      <c r="G42" s="24" t="s">
        <v>151</v>
      </c>
      <c r="H42" s="24">
        <v>112.3944</v>
      </c>
      <c r="I42" s="24">
        <v>1.1555800000000001</v>
      </c>
      <c r="J42" s="24">
        <v>62.85</v>
      </c>
      <c r="K42" s="24" t="s">
        <v>21</v>
      </c>
      <c r="L42" s="24" t="s">
        <v>21</v>
      </c>
      <c r="M42" s="24" t="s">
        <v>22</v>
      </c>
      <c r="N42" s="24">
        <v>44158</v>
      </c>
      <c r="O42" s="24" t="s">
        <v>21</v>
      </c>
    </row>
    <row r="43" spans="1:15" x14ac:dyDescent="0.25">
      <c r="A43" s="24" t="s">
        <v>84</v>
      </c>
      <c r="B43" s="24" t="s">
        <v>24</v>
      </c>
      <c r="C43" s="24">
        <v>472356</v>
      </c>
      <c r="D43" s="24" t="s">
        <v>152</v>
      </c>
      <c r="E43" s="24" t="s">
        <v>149</v>
      </c>
      <c r="F43" s="24" t="s">
        <v>143</v>
      </c>
      <c r="G43" s="24" t="s">
        <v>28</v>
      </c>
      <c r="H43" s="24">
        <v>452.57400000000001</v>
      </c>
      <c r="I43" s="24">
        <v>5.1820000000000004</v>
      </c>
      <c r="J43" s="24">
        <v>50.722999999999999</v>
      </c>
      <c r="K43" s="24" t="s">
        <v>21</v>
      </c>
      <c r="L43" s="24" t="s">
        <v>21</v>
      </c>
      <c r="M43" s="24" t="s">
        <v>22</v>
      </c>
      <c r="N43" s="24">
        <v>44158</v>
      </c>
      <c r="O43" s="24" t="s">
        <v>21</v>
      </c>
    </row>
    <row r="44" spans="1:15" x14ac:dyDescent="0.25">
      <c r="A44" s="24" t="s">
        <v>144</v>
      </c>
      <c r="B44" s="24" t="s">
        <v>24</v>
      </c>
      <c r="C44" s="24" t="s">
        <v>153</v>
      </c>
      <c r="D44" s="24" t="s">
        <v>154</v>
      </c>
      <c r="E44" s="24" t="s">
        <v>155</v>
      </c>
      <c r="F44" s="24" t="s">
        <v>156</v>
      </c>
      <c r="G44" s="24" t="s">
        <v>157</v>
      </c>
      <c r="H44" s="24">
        <v>224.79810000000001</v>
      </c>
      <c r="I44" s="24">
        <v>2.3010799999999998</v>
      </c>
      <c r="J44" s="24">
        <v>60.85</v>
      </c>
      <c r="K44" s="24" t="s">
        <v>21</v>
      </c>
      <c r="L44" s="24" t="s">
        <v>21</v>
      </c>
      <c r="M44" s="24" t="s">
        <v>22</v>
      </c>
      <c r="N44" s="24">
        <v>44165</v>
      </c>
      <c r="O44" s="24" t="s">
        <v>21</v>
      </c>
    </row>
    <row r="45" spans="1:15" x14ac:dyDescent="0.25">
      <c r="A45" s="24" t="s">
        <v>15</v>
      </c>
      <c r="B45" s="24" t="s">
        <v>16</v>
      </c>
      <c r="C45" s="24">
        <v>55712</v>
      </c>
      <c r="D45" s="24" t="s">
        <v>158</v>
      </c>
      <c r="E45" s="24" t="s">
        <v>159</v>
      </c>
      <c r="F45" s="24" t="s">
        <v>160</v>
      </c>
      <c r="G45" s="24" t="s">
        <v>161</v>
      </c>
      <c r="H45" s="24">
        <v>120.24</v>
      </c>
      <c r="I45" s="24">
        <v>0.26</v>
      </c>
      <c r="J45" s="24">
        <v>63.5</v>
      </c>
      <c r="K45" s="24" t="s">
        <v>21</v>
      </c>
      <c r="L45" s="24" t="s">
        <v>21</v>
      </c>
      <c r="M45" s="24" t="s">
        <v>22</v>
      </c>
      <c r="N45" s="24">
        <v>44165</v>
      </c>
      <c r="O45" s="24" t="s">
        <v>21</v>
      </c>
    </row>
    <row r="46" spans="1:15" x14ac:dyDescent="0.25">
      <c r="A46" s="24" t="s">
        <v>15</v>
      </c>
      <c r="B46" s="24" t="s">
        <v>16</v>
      </c>
      <c r="C46" s="24">
        <v>169383</v>
      </c>
      <c r="D46" s="24" t="s">
        <v>162</v>
      </c>
      <c r="E46" s="24" t="s">
        <v>163</v>
      </c>
      <c r="F46" s="24" t="s">
        <v>164</v>
      </c>
      <c r="G46" s="24" t="s">
        <v>165</v>
      </c>
      <c r="H46" s="24">
        <v>116</v>
      </c>
      <c r="I46" s="24">
        <v>0.65</v>
      </c>
      <c r="J46" s="24">
        <v>61.28</v>
      </c>
      <c r="K46" s="24" t="s">
        <v>21</v>
      </c>
      <c r="L46" s="24" t="s">
        <v>21</v>
      </c>
      <c r="M46" s="24" t="s">
        <v>47</v>
      </c>
      <c r="N46" s="24">
        <v>44175</v>
      </c>
      <c r="O46" s="24" t="s">
        <v>21</v>
      </c>
    </row>
    <row r="47" spans="1:15" x14ac:dyDescent="0.25">
      <c r="A47" s="24" t="s">
        <v>84</v>
      </c>
      <c r="B47" s="24" t="s">
        <v>24</v>
      </c>
      <c r="C47" s="24">
        <v>283015</v>
      </c>
      <c r="D47" s="24" t="s">
        <v>166</v>
      </c>
      <c r="E47" s="24" t="s">
        <v>163</v>
      </c>
      <c r="F47" s="24" t="s">
        <v>167</v>
      </c>
      <c r="G47" s="24" t="s">
        <v>168</v>
      </c>
      <c r="H47" s="24">
        <v>49.558999999999997</v>
      </c>
      <c r="I47" s="24">
        <v>0.55100000000000005</v>
      </c>
      <c r="J47" s="24">
        <v>64.066999999999993</v>
      </c>
      <c r="K47" s="24" t="s">
        <v>21</v>
      </c>
      <c r="L47" s="24" t="s">
        <v>21</v>
      </c>
      <c r="M47" s="24" t="s">
        <v>47</v>
      </c>
      <c r="N47" s="24">
        <v>44175</v>
      </c>
      <c r="O47" s="24" t="s">
        <v>21</v>
      </c>
    </row>
    <row r="48" spans="1:15" x14ac:dyDescent="0.25">
      <c r="A48" s="24" t="s">
        <v>169</v>
      </c>
      <c r="B48" s="24" t="s">
        <v>169</v>
      </c>
      <c r="C48" s="24" t="s">
        <v>170</v>
      </c>
      <c r="D48" s="24" t="s">
        <v>171</v>
      </c>
      <c r="E48" s="24" t="s">
        <v>172</v>
      </c>
      <c r="F48" s="24" t="s">
        <v>173</v>
      </c>
      <c r="G48" s="24" t="s">
        <v>174</v>
      </c>
      <c r="H48" s="24">
        <v>166.31559999999999</v>
      </c>
      <c r="I48" s="24">
        <v>7.1749700000000001</v>
      </c>
      <c r="J48" s="24">
        <v>193.68333333333331</v>
      </c>
      <c r="K48" s="24" t="s">
        <v>21</v>
      </c>
      <c r="L48" s="24" t="s">
        <v>21</v>
      </c>
      <c r="M48" s="24" t="s">
        <v>47</v>
      </c>
      <c r="N48" s="24">
        <v>44175</v>
      </c>
      <c r="O48" s="24" t="s">
        <v>21</v>
      </c>
    </row>
    <row r="49" spans="1:15" x14ac:dyDescent="0.25">
      <c r="A49" s="24" t="s">
        <v>169</v>
      </c>
      <c r="B49" s="24" t="s">
        <v>169</v>
      </c>
      <c r="C49" s="24" t="s">
        <v>170</v>
      </c>
      <c r="D49" s="24" t="s">
        <v>171</v>
      </c>
      <c r="E49" s="24" t="s">
        <v>172</v>
      </c>
      <c r="F49" s="24" t="s">
        <v>173</v>
      </c>
      <c r="G49" s="24" t="s">
        <v>174</v>
      </c>
      <c r="H49" s="24">
        <v>50.983800000000002</v>
      </c>
      <c r="I49" s="24">
        <v>1.67761</v>
      </c>
      <c r="J49" s="24">
        <v>95.433333333333337</v>
      </c>
      <c r="K49" s="24" t="s">
        <v>21</v>
      </c>
      <c r="L49" s="24" t="s">
        <v>90</v>
      </c>
      <c r="M49" s="24" t="s">
        <v>47</v>
      </c>
      <c r="N49" s="24">
        <v>44175</v>
      </c>
      <c r="O49" s="24" t="s">
        <v>90</v>
      </c>
    </row>
    <row r="50" spans="1:15" x14ac:dyDescent="0.25">
      <c r="A50" s="24" t="s">
        <v>169</v>
      </c>
      <c r="B50" s="24" t="s">
        <v>169</v>
      </c>
      <c r="C50" s="24">
        <v>649986</v>
      </c>
      <c r="D50" s="24" t="s">
        <v>175</v>
      </c>
      <c r="E50" s="24" t="s">
        <v>176</v>
      </c>
      <c r="F50" s="24" t="s">
        <v>177</v>
      </c>
      <c r="G50" s="24" t="s">
        <v>174</v>
      </c>
      <c r="H50" s="24">
        <v>104.76739999999999</v>
      </c>
      <c r="I50" s="24">
        <v>4.25291</v>
      </c>
      <c r="J50" s="24">
        <v>70.416666666666657</v>
      </c>
      <c r="K50" s="24" t="s">
        <v>21</v>
      </c>
      <c r="L50" s="24" t="s">
        <v>21</v>
      </c>
      <c r="M50" s="24" t="s">
        <v>22</v>
      </c>
      <c r="N50" s="24">
        <v>44181</v>
      </c>
      <c r="O50" s="24" t="s">
        <v>21</v>
      </c>
    </row>
    <row r="51" spans="1:15" x14ac:dyDescent="0.25">
      <c r="A51" s="24" t="s">
        <v>84</v>
      </c>
      <c r="B51" s="24" t="s">
        <v>24</v>
      </c>
      <c r="C51" s="24">
        <v>279695</v>
      </c>
      <c r="D51" s="24" t="s">
        <v>178</v>
      </c>
      <c r="E51" s="24" t="s">
        <v>179</v>
      </c>
      <c r="F51" s="24" t="s">
        <v>180</v>
      </c>
      <c r="G51" s="24" t="s">
        <v>28</v>
      </c>
      <c r="H51" s="24">
        <v>393.87299999999999</v>
      </c>
      <c r="I51" s="24">
        <v>4.0629999999999997</v>
      </c>
      <c r="J51" s="24">
        <v>77.135000000000005</v>
      </c>
      <c r="K51" s="24" t="s">
        <v>21</v>
      </c>
      <c r="L51" s="24" t="s">
        <v>21</v>
      </c>
      <c r="M51" s="24" t="s">
        <v>22</v>
      </c>
      <c r="N51" s="24">
        <v>44186</v>
      </c>
      <c r="O51" s="24" t="s">
        <v>21</v>
      </c>
    </row>
    <row r="52" spans="1:15" x14ac:dyDescent="0.25">
      <c r="A52" s="24" t="s">
        <v>15</v>
      </c>
      <c r="B52" s="24" t="s">
        <v>16</v>
      </c>
      <c r="C52" s="24">
        <v>576560</v>
      </c>
      <c r="D52" s="24" t="s">
        <v>181</v>
      </c>
      <c r="E52" s="24" t="s">
        <v>182</v>
      </c>
      <c r="F52" s="24" t="s">
        <v>183</v>
      </c>
      <c r="G52" s="24" t="s">
        <v>59</v>
      </c>
      <c r="H52" s="24">
        <v>258.97000000000003</v>
      </c>
      <c r="I52" s="24">
        <v>0.64</v>
      </c>
      <c r="J52" s="24">
        <v>86.57</v>
      </c>
      <c r="K52" s="24" t="s">
        <v>21</v>
      </c>
      <c r="L52" s="24" t="s">
        <v>21</v>
      </c>
      <c r="M52" s="24" t="s">
        <v>22</v>
      </c>
      <c r="N52" s="24">
        <v>44186</v>
      </c>
      <c r="O52" s="24" t="s">
        <v>21</v>
      </c>
    </row>
    <row r="53" spans="1:15" x14ac:dyDescent="0.25">
      <c r="A53" s="24" t="s">
        <v>169</v>
      </c>
      <c r="B53" s="24" t="s">
        <v>169</v>
      </c>
      <c r="C53" s="24" t="s">
        <v>184</v>
      </c>
      <c r="D53" s="24" t="s">
        <v>185</v>
      </c>
      <c r="E53" s="24" t="s">
        <v>186</v>
      </c>
      <c r="F53" s="24" t="s">
        <v>187</v>
      </c>
      <c r="G53" s="24" t="s">
        <v>174</v>
      </c>
      <c r="H53" s="24">
        <v>76.760599999999997</v>
      </c>
      <c r="I53" s="24">
        <v>1.5983000000000001</v>
      </c>
      <c r="J53" s="24">
        <v>62.516666666666673</v>
      </c>
      <c r="K53" s="24" t="s">
        <v>21</v>
      </c>
      <c r="L53" s="24" t="s">
        <v>21</v>
      </c>
      <c r="M53" s="24" t="s">
        <v>22</v>
      </c>
      <c r="N53" s="24">
        <v>44187</v>
      </c>
      <c r="O53" s="24" t="s">
        <v>21</v>
      </c>
    </row>
    <row r="54" spans="1:15" x14ac:dyDescent="0.25">
      <c r="A54" s="24" t="s">
        <v>169</v>
      </c>
      <c r="B54" s="24" t="s">
        <v>169</v>
      </c>
      <c r="C54" s="24">
        <v>650161</v>
      </c>
      <c r="D54" s="24" t="s">
        <v>188</v>
      </c>
      <c r="E54" s="24" t="s">
        <v>189</v>
      </c>
      <c r="F54" s="24" t="s">
        <v>190</v>
      </c>
      <c r="G54" s="24" t="s">
        <v>174</v>
      </c>
      <c r="H54" s="24">
        <v>160.22219999999999</v>
      </c>
      <c r="I54" s="24">
        <v>2.9682499999999998</v>
      </c>
      <c r="J54" s="24">
        <v>90.216666666666669</v>
      </c>
      <c r="K54" s="24" t="s">
        <v>21</v>
      </c>
      <c r="L54" s="24" t="s">
        <v>21</v>
      </c>
      <c r="M54" s="24" t="s">
        <v>22</v>
      </c>
      <c r="N54" s="24">
        <v>44187</v>
      </c>
      <c r="O54" s="24" t="s">
        <v>21</v>
      </c>
    </row>
    <row r="55" spans="1:15" x14ac:dyDescent="0.25">
      <c r="A55" s="24" t="s">
        <v>169</v>
      </c>
      <c r="B55" s="24" t="s">
        <v>169</v>
      </c>
      <c r="C55" s="24" t="s">
        <v>191</v>
      </c>
      <c r="D55" s="24" t="s">
        <v>192</v>
      </c>
      <c r="E55" s="24" t="s">
        <v>193</v>
      </c>
      <c r="F55" s="24" t="s">
        <v>194</v>
      </c>
      <c r="G55" s="24" t="s">
        <v>174</v>
      </c>
      <c r="H55" s="24">
        <v>124.7664</v>
      </c>
      <c r="I55" s="24">
        <v>2.75284</v>
      </c>
      <c r="J55" s="24">
        <v>69.95</v>
      </c>
      <c r="K55" s="24" t="s">
        <v>21</v>
      </c>
      <c r="L55" s="24" t="s">
        <v>21</v>
      </c>
      <c r="M55" s="24" t="s">
        <v>22</v>
      </c>
      <c r="N55" s="24">
        <v>44193</v>
      </c>
      <c r="O55" s="24" t="s">
        <v>21</v>
      </c>
    </row>
    <row r="56" spans="1:15" x14ac:dyDescent="0.25">
      <c r="A56" s="24" t="s">
        <v>84</v>
      </c>
      <c r="B56" s="24" t="s">
        <v>24</v>
      </c>
      <c r="C56" s="24">
        <v>650289</v>
      </c>
      <c r="D56" s="24" t="s">
        <v>195</v>
      </c>
      <c r="E56" s="24" t="s">
        <v>196</v>
      </c>
      <c r="F56" s="24" t="s">
        <v>197</v>
      </c>
      <c r="G56" s="24" t="s">
        <v>28</v>
      </c>
      <c r="H56" s="24">
        <v>379.10599999999999</v>
      </c>
      <c r="I56" s="24">
        <v>6.2990000000000004</v>
      </c>
      <c r="J56" s="24">
        <v>42.811999999999998</v>
      </c>
      <c r="K56" s="24" t="s">
        <v>21</v>
      </c>
      <c r="L56" s="24" t="s">
        <v>21</v>
      </c>
      <c r="M56" s="24" t="s">
        <v>22</v>
      </c>
      <c r="N56" s="24">
        <v>44195</v>
      </c>
      <c r="O56" s="24" t="s">
        <v>21</v>
      </c>
    </row>
    <row r="57" spans="1:15" x14ac:dyDescent="0.25">
      <c r="A57" s="24" t="s">
        <v>169</v>
      </c>
      <c r="B57" s="24" t="s">
        <v>169</v>
      </c>
      <c r="C57" s="24" t="s">
        <v>198</v>
      </c>
      <c r="D57" s="24" t="s">
        <v>199</v>
      </c>
      <c r="E57" s="24" t="s">
        <v>200</v>
      </c>
      <c r="F57" s="24" t="s">
        <v>201</v>
      </c>
      <c r="G57" s="24" t="s">
        <v>174</v>
      </c>
      <c r="H57" s="24">
        <v>58.203699999999991</v>
      </c>
      <c r="I57" s="24">
        <v>1.30138</v>
      </c>
      <c r="J57" s="24">
        <v>61.816666666666663</v>
      </c>
      <c r="K57" s="24" t="s">
        <v>21</v>
      </c>
      <c r="L57" s="24" t="s">
        <v>21</v>
      </c>
      <c r="M57" s="24" t="s">
        <v>47</v>
      </c>
      <c r="N57" s="24">
        <v>44207</v>
      </c>
      <c r="O57" s="24" t="s">
        <v>21</v>
      </c>
    </row>
    <row r="58" spans="1:15" x14ac:dyDescent="0.25">
      <c r="A58" s="24" t="s">
        <v>84</v>
      </c>
      <c r="B58" s="24" t="s">
        <v>24</v>
      </c>
      <c r="C58" s="24">
        <v>248608</v>
      </c>
      <c r="D58" s="24" t="s">
        <v>202</v>
      </c>
      <c r="E58" s="24" t="s">
        <v>203</v>
      </c>
      <c r="F58" s="24" t="s">
        <v>194</v>
      </c>
      <c r="G58" s="24" t="s">
        <v>28</v>
      </c>
      <c r="H58" s="24">
        <v>216.46199999999999</v>
      </c>
      <c r="I58" s="24">
        <v>3.4529999999999998</v>
      </c>
      <c r="J58" s="24">
        <v>60.423000000000002</v>
      </c>
      <c r="K58" s="24" t="s">
        <v>21</v>
      </c>
      <c r="L58" s="24" t="s">
        <v>21</v>
      </c>
      <c r="M58" s="24" t="s">
        <v>47</v>
      </c>
      <c r="N58" s="24">
        <v>44208</v>
      </c>
      <c r="O58" s="24" t="s">
        <v>21</v>
      </c>
    </row>
    <row r="59" spans="1:15" x14ac:dyDescent="0.25">
      <c r="A59" s="24" t="s">
        <v>84</v>
      </c>
      <c r="B59" s="24" t="s">
        <v>24</v>
      </c>
      <c r="C59" s="24">
        <v>281519</v>
      </c>
      <c r="D59" s="24" t="s">
        <v>204</v>
      </c>
      <c r="E59" s="24" t="s">
        <v>205</v>
      </c>
      <c r="F59" s="24" t="s">
        <v>206</v>
      </c>
      <c r="G59" s="24" t="s">
        <v>28</v>
      </c>
      <c r="H59" s="24">
        <v>99.025999999999996</v>
      </c>
      <c r="I59" s="24">
        <v>0.83499999999999996</v>
      </c>
      <c r="J59" s="24">
        <v>73.588999999999999</v>
      </c>
      <c r="K59" s="24" t="s">
        <v>21</v>
      </c>
      <c r="L59" s="24" t="s">
        <v>21</v>
      </c>
      <c r="M59" s="24" t="s">
        <v>22</v>
      </c>
      <c r="N59" s="24">
        <v>44209</v>
      </c>
      <c r="O59" s="24" t="s">
        <v>21</v>
      </c>
    </row>
    <row r="60" spans="1:15" x14ac:dyDescent="0.25">
      <c r="A60" s="24" t="s">
        <v>15</v>
      </c>
      <c r="B60" s="24" t="s">
        <v>16</v>
      </c>
      <c r="C60" s="24">
        <v>21799</v>
      </c>
      <c r="D60" s="24" t="s">
        <v>207</v>
      </c>
      <c r="E60" s="24" t="s">
        <v>205</v>
      </c>
      <c r="F60" s="24" t="s">
        <v>208</v>
      </c>
      <c r="G60" s="24" t="s">
        <v>59</v>
      </c>
      <c r="H60" s="24">
        <v>245.48</v>
      </c>
      <c r="I60" s="24">
        <v>0.48</v>
      </c>
      <c r="J60" s="24">
        <v>61.4</v>
      </c>
      <c r="K60" s="24" t="s">
        <v>21</v>
      </c>
      <c r="L60" s="24" t="s">
        <v>21</v>
      </c>
      <c r="M60" s="24" t="s">
        <v>22</v>
      </c>
      <c r="N60" s="24">
        <v>44210</v>
      </c>
      <c r="O60" s="24" t="s">
        <v>21</v>
      </c>
    </row>
    <row r="61" spans="1:15" x14ac:dyDescent="0.25">
      <c r="A61" s="24" t="s">
        <v>169</v>
      </c>
      <c r="B61" s="24" t="s">
        <v>169</v>
      </c>
      <c r="C61" s="24">
        <v>650752</v>
      </c>
      <c r="D61" s="24" t="s">
        <v>209</v>
      </c>
      <c r="E61" s="24" t="s">
        <v>210</v>
      </c>
      <c r="F61" s="24" t="s">
        <v>211</v>
      </c>
      <c r="G61" s="24" t="s">
        <v>174</v>
      </c>
      <c r="H61" s="24">
        <v>229.16589999999999</v>
      </c>
      <c r="I61" s="24">
        <v>3.1154199999999999</v>
      </c>
      <c r="J61" s="24">
        <v>98.183333333333337</v>
      </c>
      <c r="K61" s="24" t="s">
        <v>21</v>
      </c>
      <c r="L61" s="24" t="s">
        <v>21</v>
      </c>
      <c r="M61" s="24" t="s">
        <v>47</v>
      </c>
      <c r="N61" s="24">
        <v>44211</v>
      </c>
      <c r="O61" s="24" t="s">
        <v>21</v>
      </c>
    </row>
    <row r="62" spans="1:15" x14ac:dyDescent="0.25">
      <c r="A62" s="24" t="s">
        <v>15</v>
      </c>
      <c r="B62" s="24" t="s">
        <v>16</v>
      </c>
      <c r="C62" s="24">
        <v>578992</v>
      </c>
      <c r="D62" s="24" t="s">
        <v>212</v>
      </c>
      <c r="E62" s="24" t="s">
        <v>213</v>
      </c>
      <c r="F62" s="24" t="s">
        <v>214</v>
      </c>
      <c r="G62" s="24" t="s">
        <v>63</v>
      </c>
      <c r="H62" s="24">
        <v>680.57</v>
      </c>
      <c r="I62" s="24">
        <v>3.32</v>
      </c>
      <c r="J62" s="24">
        <v>122.82</v>
      </c>
      <c r="K62" s="24" t="s">
        <v>21</v>
      </c>
      <c r="L62" s="24" t="s">
        <v>21</v>
      </c>
      <c r="M62" s="24" t="s">
        <v>22</v>
      </c>
      <c r="N62" s="24">
        <v>44215</v>
      </c>
      <c r="O62" s="24" t="s">
        <v>21</v>
      </c>
    </row>
    <row r="63" spans="1:15" x14ac:dyDescent="0.25">
      <c r="A63" s="24" t="s">
        <v>15</v>
      </c>
      <c r="B63" s="24" t="s">
        <v>16</v>
      </c>
      <c r="C63" s="24">
        <v>310639</v>
      </c>
      <c r="D63" s="24" t="s">
        <v>215</v>
      </c>
      <c r="E63" s="24" t="s">
        <v>216</v>
      </c>
      <c r="F63" s="24" t="s">
        <v>217</v>
      </c>
      <c r="G63" s="24" t="s">
        <v>63</v>
      </c>
      <c r="H63" s="24">
        <v>1540.47</v>
      </c>
      <c r="I63" s="24">
        <v>5.12</v>
      </c>
      <c r="J63" s="24">
        <v>104.77</v>
      </c>
      <c r="K63" s="24" t="s">
        <v>21</v>
      </c>
      <c r="L63" s="24" t="s">
        <v>21</v>
      </c>
      <c r="M63" s="24" t="s">
        <v>22</v>
      </c>
      <c r="N63" s="24">
        <v>44217</v>
      </c>
      <c r="O63" s="24" t="s">
        <v>21</v>
      </c>
    </row>
    <row r="64" spans="1:15" x14ac:dyDescent="0.25">
      <c r="A64" s="24" t="s">
        <v>84</v>
      </c>
      <c r="B64" s="24" t="s">
        <v>24</v>
      </c>
      <c r="C64" s="24">
        <v>627297</v>
      </c>
      <c r="D64" s="24" t="s">
        <v>218</v>
      </c>
      <c r="E64" s="24" t="s">
        <v>216</v>
      </c>
      <c r="F64" s="24" t="s">
        <v>219</v>
      </c>
      <c r="G64" s="24" t="s">
        <v>28</v>
      </c>
      <c r="H64" s="24">
        <v>266.22899999999998</v>
      </c>
      <c r="I64" s="24">
        <v>5.5</v>
      </c>
      <c r="J64" s="24">
        <v>47.402000000000001</v>
      </c>
      <c r="K64" s="24" t="s">
        <v>21</v>
      </c>
      <c r="L64" s="24" t="s">
        <v>21</v>
      </c>
      <c r="M64" s="24" t="s">
        <v>22</v>
      </c>
      <c r="N64" s="24">
        <v>44217</v>
      </c>
      <c r="O64" s="24" t="s">
        <v>21</v>
      </c>
    </row>
    <row r="65" spans="1:15" x14ac:dyDescent="0.25">
      <c r="A65" s="24" t="s">
        <v>15</v>
      </c>
      <c r="B65" s="24" t="s">
        <v>16</v>
      </c>
      <c r="C65" s="24">
        <v>515317</v>
      </c>
      <c r="D65" s="24" t="s">
        <v>220</v>
      </c>
      <c r="E65" s="24" t="s">
        <v>221</v>
      </c>
      <c r="F65" s="24" t="s">
        <v>222</v>
      </c>
      <c r="G65" s="24" t="s">
        <v>63</v>
      </c>
      <c r="H65" s="24">
        <v>788.12</v>
      </c>
      <c r="I65" s="24">
        <v>2.62</v>
      </c>
      <c r="J65" s="24">
        <v>56.22</v>
      </c>
      <c r="K65" s="24" t="s">
        <v>21</v>
      </c>
      <c r="L65" s="24" t="s">
        <v>21</v>
      </c>
      <c r="M65" s="24" t="s">
        <v>22</v>
      </c>
      <c r="N65" s="24">
        <v>44221</v>
      </c>
      <c r="O65" s="24" t="s">
        <v>21</v>
      </c>
    </row>
    <row r="66" spans="1:15" x14ac:dyDescent="0.25">
      <c r="A66" s="24" t="s">
        <v>169</v>
      </c>
      <c r="B66" s="24" t="s">
        <v>169</v>
      </c>
      <c r="C66" s="24">
        <v>129003</v>
      </c>
      <c r="D66" s="24" t="s">
        <v>223</v>
      </c>
      <c r="E66" s="24" t="s">
        <v>224</v>
      </c>
      <c r="F66" s="24" t="s">
        <v>225</v>
      </c>
      <c r="G66" s="24" t="s">
        <v>226</v>
      </c>
      <c r="H66" s="24">
        <v>67.611499999999992</v>
      </c>
      <c r="I66" s="24">
        <v>0.97429999999999994</v>
      </c>
      <c r="J66" s="24">
        <v>74.25</v>
      </c>
      <c r="K66" s="24" t="s">
        <v>21</v>
      </c>
      <c r="L66" s="24" t="s">
        <v>21</v>
      </c>
      <c r="M66" s="24" t="s">
        <v>22</v>
      </c>
      <c r="N66" s="24">
        <v>44223</v>
      </c>
      <c r="O66" s="24" t="s">
        <v>21</v>
      </c>
    </row>
    <row r="67" spans="1:15" x14ac:dyDescent="0.25">
      <c r="A67" s="24" t="s">
        <v>15</v>
      </c>
      <c r="B67" s="24" t="s">
        <v>16</v>
      </c>
      <c r="C67" s="24">
        <v>644235</v>
      </c>
      <c r="D67" s="24" t="s">
        <v>227</v>
      </c>
      <c r="E67" s="24" t="s">
        <v>228</v>
      </c>
      <c r="F67" s="24" t="s">
        <v>229</v>
      </c>
      <c r="G67" s="24" t="s">
        <v>63</v>
      </c>
      <c r="H67" s="24">
        <v>318.10000000000002</v>
      </c>
      <c r="I67" s="24">
        <v>1.81</v>
      </c>
      <c r="J67" s="24">
        <v>85.4</v>
      </c>
      <c r="K67" s="24" t="s">
        <v>21</v>
      </c>
      <c r="L67" s="24" t="s">
        <v>21</v>
      </c>
      <c r="M67" s="24" t="s">
        <v>22</v>
      </c>
      <c r="N67" s="24">
        <v>44223</v>
      </c>
      <c r="O67" s="24" t="s">
        <v>21</v>
      </c>
    </row>
    <row r="68" spans="1:15" x14ac:dyDescent="0.25">
      <c r="A68" s="24" t="s">
        <v>15</v>
      </c>
      <c r="B68" s="24" t="s">
        <v>16</v>
      </c>
      <c r="C68" s="24">
        <v>476419</v>
      </c>
      <c r="D68" s="24" t="s">
        <v>230</v>
      </c>
      <c r="E68" s="24" t="s">
        <v>231</v>
      </c>
      <c r="F68" s="24" t="s">
        <v>87</v>
      </c>
      <c r="G68" s="24" t="s">
        <v>232</v>
      </c>
      <c r="H68" s="24">
        <v>537.39</v>
      </c>
      <c r="I68" s="24">
        <v>1.44</v>
      </c>
      <c r="J68" s="24">
        <v>64.930000000000007</v>
      </c>
      <c r="K68" s="24" t="s">
        <v>21</v>
      </c>
      <c r="L68" s="24" t="s">
        <v>21</v>
      </c>
      <c r="M68" s="24" t="s">
        <v>22</v>
      </c>
      <c r="N68" s="24">
        <v>44225</v>
      </c>
      <c r="O68" s="24" t="s">
        <v>21</v>
      </c>
    </row>
    <row r="69" spans="1:15" x14ac:dyDescent="0.25">
      <c r="A69" s="24" t="s">
        <v>84</v>
      </c>
      <c r="B69" s="24" t="s">
        <v>24</v>
      </c>
      <c r="C69" s="24">
        <v>651191</v>
      </c>
      <c r="D69" s="24" t="s">
        <v>233</v>
      </c>
      <c r="E69" s="24" t="s">
        <v>231</v>
      </c>
      <c r="F69" s="24" t="s">
        <v>234</v>
      </c>
      <c r="G69" s="24" t="s">
        <v>28</v>
      </c>
      <c r="H69" s="24">
        <v>969.197</v>
      </c>
      <c r="I69" s="24">
        <v>8.8279999999999994</v>
      </c>
      <c r="J69" s="24">
        <v>88.003</v>
      </c>
      <c r="K69" s="24" t="s">
        <v>21</v>
      </c>
      <c r="L69" s="24" t="s">
        <v>21</v>
      </c>
      <c r="M69" s="24" t="s">
        <v>22</v>
      </c>
      <c r="N69" s="24">
        <v>44225</v>
      </c>
      <c r="O69" s="24" t="s">
        <v>21</v>
      </c>
    </row>
    <row r="70" spans="1:15" x14ac:dyDescent="0.25">
      <c r="A70" s="24" t="s">
        <v>169</v>
      </c>
      <c r="B70" s="24" t="s">
        <v>169</v>
      </c>
      <c r="C70" s="24">
        <v>651348</v>
      </c>
      <c r="D70" s="24" t="s">
        <v>235</v>
      </c>
      <c r="E70" s="24" t="s">
        <v>236</v>
      </c>
      <c r="F70" s="24" t="s">
        <v>237</v>
      </c>
      <c r="G70" s="24" t="s">
        <v>238</v>
      </c>
      <c r="H70" s="24">
        <v>235.90270000000001</v>
      </c>
      <c r="I70" s="24">
        <v>12.34498</v>
      </c>
      <c r="J70" s="24">
        <v>176.3666666666667</v>
      </c>
      <c r="K70" s="24" t="s">
        <v>21</v>
      </c>
      <c r="L70" s="24" t="s">
        <v>21</v>
      </c>
      <c r="M70" s="24" t="s">
        <v>22</v>
      </c>
      <c r="N70" s="24">
        <v>44230</v>
      </c>
      <c r="O70" s="24" t="s">
        <v>21</v>
      </c>
    </row>
    <row r="71" spans="1:15" x14ac:dyDescent="0.25">
      <c r="A71" s="24" t="s">
        <v>169</v>
      </c>
      <c r="B71" s="24" t="s">
        <v>169</v>
      </c>
      <c r="C71" s="24" t="s">
        <v>239</v>
      </c>
      <c r="D71" s="24" t="s">
        <v>235</v>
      </c>
      <c r="E71" s="24" t="s">
        <v>236</v>
      </c>
      <c r="F71" s="24" t="s">
        <v>237</v>
      </c>
      <c r="G71" s="24" t="s">
        <v>238</v>
      </c>
      <c r="H71" s="24">
        <v>103.48180000000001</v>
      </c>
      <c r="I71" s="24">
        <v>4.39933</v>
      </c>
      <c r="J71" s="24">
        <v>91.8</v>
      </c>
      <c r="K71" s="24" t="s">
        <v>21</v>
      </c>
      <c r="L71" s="24" t="s">
        <v>90</v>
      </c>
      <c r="M71" s="24" t="s">
        <v>22</v>
      </c>
      <c r="N71" s="24">
        <v>44230</v>
      </c>
      <c r="O71" s="24" t="s">
        <v>90</v>
      </c>
    </row>
    <row r="72" spans="1:15" x14ac:dyDescent="0.25">
      <c r="A72" s="24" t="s">
        <v>169</v>
      </c>
      <c r="B72" s="24" t="s">
        <v>169</v>
      </c>
      <c r="C72" s="24">
        <v>651510</v>
      </c>
      <c r="D72" s="24" t="s">
        <v>240</v>
      </c>
      <c r="E72" s="24" t="s">
        <v>241</v>
      </c>
      <c r="F72" s="24" t="s">
        <v>242</v>
      </c>
      <c r="G72" s="24" t="s">
        <v>174</v>
      </c>
      <c r="H72" s="24">
        <v>129.9392</v>
      </c>
      <c r="I72" s="24">
        <v>2.8189700000000002</v>
      </c>
      <c r="J72" s="24">
        <v>86.733333333333334</v>
      </c>
      <c r="K72" s="24" t="s">
        <v>21</v>
      </c>
      <c r="L72" s="24" t="s">
        <v>21</v>
      </c>
      <c r="M72" s="24" t="s">
        <v>47</v>
      </c>
      <c r="N72" s="24">
        <v>44232</v>
      </c>
      <c r="O72" s="24" t="s">
        <v>21</v>
      </c>
    </row>
    <row r="73" spans="1:15" x14ac:dyDescent="0.25">
      <c r="A73" s="24" t="s">
        <v>15</v>
      </c>
      <c r="B73" s="24" t="s">
        <v>16</v>
      </c>
      <c r="C73" s="24">
        <v>650452</v>
      </c>
      <c r="D73" s="24" t="s">
        <v>243</v>
      </c>
      <c r="E73" s="24" t="s">
        <v>241</v>
      </c>
      <c r="F73" s="24" t="s">
        <v>217</v>
      </c>
      <c r="G73" s="24" t="s">
        <v>71</v>
      </c>
      <c r="H73" s="24">
        <v>137.97999999999999</v>
      </c>
      <c r="I73" s="24">
        <v>0.79</v>
      </c>
      <c r="J73" s="24">
        <v>99.23</v>
      </c>
      <c r="K73" s="24" t="s">
        <v>21</v>
      </c>
      <c r="L73" s="24" t="s">
        <v>21</v>
      </c>
      <c r="M73" s="24" t="s">
        <v>47</v>
      </c>
      <c r="N73" s="24">
        <v>44232</v>
      </c>
      <c r="O73" s="24" t="s">
        <v>21</v>
      </c>
    </row>
    <row r="74" spans="1:15" x14ac:dyDescent="0.25">
      <c r="A74" s="24" t="s">
        <v>169</v>
      </c>
      <c r="B74" s="24" t="s">
        <v>169</v>
      </c>
      <c r="C74" s="24" t="s">
        <v>244</v>
      </c>
      <c r="D74" s="24" t="s">
        <v>245</v>
      </c>
      <c r="E74" s="24" t="s">
        <v>246</v>
      </c>
      <c r="F74" s="24" t="s">
        <v>247</v>
      </c>
      <c r="G74" s="24" t="s">
        <v>248</v>
      </c>
      <c r="H74" s="24">
        <v>64.921700000000001</v>
      </c>
      <c r="I74" s="24">
        <v>3.3012100000000002</v>
      </c>
      <c r="J74" s="24">
        <v>98.183333333333337</v>
      </c>
      <c r="K74" s="24" t="s">
        <v>21</v>
      </c>
      <c r="L74" s="24" t="s">
        <v>21</v>
      </c>
      <c r="M74" s="24" t="s">
        <v>22</v>
      </c>
      <c r="N74" s="24">
        <v>44239</v>
      </c>
      <c r="O74" s="24" t="s">
        <v>21</v>
      </c>
    </row>
    <row r="75" spans="1:15" x14ac:dyDescent="0.25">
      <c r="A75" s="24" t="s">
        <v>169</v>
      </c>
      <c r="B75" s="24" t="s">
        <v>169</v>
      </c>
      <c r="C75" s="24" t="s">
        <v>249</v>
      </c>
      <c r="D75" s="24" t="s">
        <v>250</v>
      </c>
      <c r="E75" s="24" t="s">
        <v>251</v>
      </c>
      <c r="F75" s="24" t="s">
        <v>252</v>
      </c>
      <c r="G75" s="24" t="s">
        <v>174</v>
      </c>
      <c r="H75" s="24">
        <v>81.039600000000007</v>
      </c>
      <c r="I75" s="24">
        <v>1.63391</v>
      </c>
      <c r="J75" s="24">
        <v>67.516666666666666</v>
      </c>
      <c r="K75" s="24" t="s">
        <v>21</v>
      </c>
      <c r="L75" s="24" t="s">
        <v>21</v>
      </c>
      <c r="M75" s="24" t="s">
        <v>22</v>
      </c>
      <c r="N75" s="24">
        <v>44239</v>
      </c>
      <c r="O75" s="24" t="s">
        <v>21</v>
      </c>
    </row>
    <row r="76" spans="1:15" x14ac:dyDescent="0.25">
      <c r="A76" s="24" t="s">
        <v>15</v>
      </c>
      <c r="B76" s="24" t="s">
        <v>16</v>
      </c>
      <c r="C76" s="24">
        <v>18031</v>
      </c>
      <c r="D76" s="24" t="s">
        <v>125</v>
      </c>
      <c r="E76" s="24" t="s">
        <v>253</v>
      </c>
      <c r="F76" s="24" t="s">
        <v>254</v>
      </c>
      <c r="G76" s="24" t="s">
        <v>71</v>
      </c>
      <c r="H76" s="24">
        <v>850.43</v>
      </c>
      <c r="I76" s="24">
        <v>4.93</v>
      </c>
      <c r="J76" s="24">
        <v>58</v>
      </c>
      <c r="K76" s="24" t="s">
        <v>21</v>
      </c>
      <c r="L76" s="24" t="s">
        <v>21</v>
      </c>
      <c r="M76" s="24" t="s">
        <v>22</v>
      </c>
      <c r="N76" s="24">
        <v>44242</v>
      </c>
      <c r="O76" s="24" t="s">
        <v>21</v>
      </c>
    </row>
    <row r="77" spans="1:15" x14ac:dyDescent="0.25">
      <c r="A77" s="24" t="s">
        <v>15</v>
      </c>
      <c r="B77" s="24" t="s">
        <v>16</v>
      </c>
      <c r="C77" s="24">
        <v>616630</v>
      </c>
      <c r="D77" s="24" t="s">
        <v>255</v>
      </c>
      <c r="E77" s="24" t="s">
        <v>256</v>
      </c>
      <c r="F77" s="24" t="s">
        <v>257</v>
      </c>
      <c r="G77" s="24" t="s">
        <v>258</v>
      </c>
      <c r="H77" s="24">
        <v>1391.04</v>
      </c>
      <c r="I77" s="24">
        <v>3.84</v>
      </c>
      <c r="J77" s="24">
        <v>54.73</v>
      </c>
      <c r="K77" s="24" t="s">
        <v>21</v>
      </c>
      <c r="L77" s="24" t="s">
        <v>21</v>
      </c>
      <c r="M77" s="24" t="s">
        <v>22</v>
      </c>
      <c r="N77" s="24">
        <v>44244</v>
      </c>
      <c r="O77" s="24" t="s">
        <v>21</v>
      </c>
    </row>
    <row r="78" spans="1:15" x14ac:dyDescent="0.25">
      <c r="A78" s="24" t="s">
        <v>84</v>
      </c>
      <c r="B78" s="24" t="s">
        <v>24</v>
      </c>
      <c r="C78" s="24">
        <v>651913</v>
      </c>
      <c r="D78" s="24" t="s">
        <v>259</v>
      </c>
      <c r="E78" s="24" t="s">
        <v>260</v>
      </c>
      <c r="F78" s="24" t="s">
        <v>261</v>
      </c>
      <c r="G78" s="24" t="s">
        <v>28</v>
      </c>
      <c r="H78" s="24">
        <v>372.44900000000001</v>
      </c>
      <c r="I78" s="24">
        <v>5.7850000000000001</v>
      </c>
      <c r="J78" s="24">
        <v>33.075000000000003</v>
      </c>
      <c r="K78" s="24" t="s">
        <v>21</v>
      </c>
      <c r="L78" s="24" t="s">
        <v>21</v>
      </c>
      <c r="M78" s="24" t="s">
        <v>22</v>
      </c>
      <c r="N78" s="24">
        <v>44250</v>
      </c>
      <c r="O78" s="24" t="s">
        <v>21</v>
      </c>
    </row>
    <row r="79" spans="1:15" x14ac:dyDescent="0.25">
      <c r="A79" s="24" t="s">
        <v>169</v>
      </c>
      <c r="B79" s="24" t="s">
        <v>169</v>
      </c>
      <c r="C79" s="24" t="s">
        <v>262</v>
      </c>
      <c r="D79" s="24" t="s">
        <v>263</v>
      </c>
      <c r="E79" s="24" t="s">
        <v>264</v>
      </c>
      <c r="F79" s="24" t="s">
        <v>265</v>
      </c>
      <c r="G79" s="24" t="s">
        <v>174</v>
      </c>
      <c r="H79" s="24">
        <v>186.79419999999999</v>
      </c>
      <c r="I79" s="24">
        <v>3.4146800000000002</v>
      </c>
      <c r="J79" s="24">
        <v>99.716666666666669</v>
      </c>
      <c r="K79" s="24" t="s">
        <v>21</v>
      </c>
      <c r="L79" s="24" t="s">
        <v>21</v>
      </c>
      <c r="M79" s="24" t="s">
        <v>22</v>
      </c>
      <c r="N79" s="24">
        <v>44250</v>
      </c>
      <c r="O79" s="24" t="s">
        <v>21</v>
      </c>
    </row>
    <row r="80" spans="1:15" x14ac:dyDescent="0.25">
      <c r="A80" s="24" t="s">
        <v>15</v>
      </c>
      <c r="B80" s="24" t="s">
        <v>16</v>
      </c>
      <c r="C80" s="24">
        <v>249688</v>
      </c>
      <c r="D80" s="24" t="s">
        <v>266</v>
      </c>
      <c r="E80" s="24" t="s">
        <v>267</v>
      </c>
      <c r="F80" s="24" t="s">
        <v>268</v>
      </c>
      <c r="G80" s="24" t="s">
        <v>258</v>
      </c>
      <c r="H80" s="24">
        <v>885.2</v>
      </c>
      <c r="I80" s="24">
        <v>2.71</v>
      </c>
      <c r="J80" s="24">
        <v>52.1</v>
      </c>
      <c r="K80" s="24" t="s">
        <v>21</v>
      </c>
      <c r="L80" s="24" t="s">
        <v>21</v>
      </c>
      <c r="M80" s="24" t="s">
        <v>22</v>
      </c>
      <c r="N80" s="24">
        <v>44253</v>
      </c>
      <c r="O80" s="24" t="s">
        <v>21</v>
      </c>
    </row>
    <row r="81" spans="1:15" x14ac:dyDescent="0.25">
      <c r="A81" s="24" t="s">
        <v>84</v>
      </c>
      <c r="B81" s="24" t="s">
        <v>24</v>
      </c>
      <c r="C81" s="24">
        <v>652236</v>
      </c>
      <c r="D81" s="24" t="s">
        <v>269</v>
      </c>
      <c r="E81" s="24" t="s">
        <v>267</v>
      </c>
      <c r="F81" s="24" t="s">
        <v>270</v>
      </c>
      <c r="G81" s="24" t="s">
        <v>28</v>
      </c>
      <c r="H81" s="24">
        <v>468.33800000000002</v>
      </c>
      <c r="I81" s="24">
        <v>7.2069999999999999</v>
      </c>
      <c r="J81" s="24">
        <v>128.535</v>
      </c>
      <c r="K81" s="24" t="s">
        <v>21</v>
      </c>
      <c r="L81" s="24" t="s">
        <v>21</v>
      </c>
      <c r="M81" s="24" t="s">
        <v>22</v>
      </c>
      <c r="N81" s="24">
        <v>44253</v>
      </c>
      <c r="O81" s="24" t="s">
        <v>21</v>
      </c>
    </row>
    <row r="82" spans="1:15" x14ac:dyDescent="0.25">
      <c r="A82" s="24" t="s">
        <v>15</v>
      </c>
      <c r="B82" s="24" t="s">
        <v>16</v>
      </c>
      <c r="C82" s="24">
        <v>616630</v>
      </c>
      <c r="D82" s="24" t="s">
        <v>255</v>
      </c>
      <c r="E82" s="24" t="s">
        <v>271</v>
      </c>
      <c r="F82" s="24" t="s">
        <v>272</v>
      </c>
      <c r="G82" s="24" t="s">
        <v>115</v>
      </c>
      <c r="H82" s="24">
        <v>624.30999999999995</v>
      </c>
      <c r="I82" s="24">
        <v>1.49</v>
      </c>
      <c r="J82" s="24">
        <v>10.32</v>
      </c>
      <c r="K82" s="24" t="s">
        <v>21</v>
      </c>
      <c r="L82" s="24" t="s">
        <v>21</v>
      </c>
      <c r="M82" s="24" t="s">
        <v>22</v>
      </c>
      <c r="N82" s="24">
        <v>44257</v>
      </c>
      <c r="O82" s="24" t="s">
        <v>21</v>
      </c>
    </row>
    <row r="83" spans="1:15" x14ac:dyDescent="0.25">
      <c r="A83" s="24" t="s">
        <v>84</v>
      </c>
      <c r="B83" s="24" t="s">
        <v>24</v>
      </c>
      <c r="C83" s="24">
        <v>120372</v>
      </c>
      <c r="D83" s="24" t="s">
        <v>273</v>
      </c>
      <c r="E83" s="24" t="s">
        <v>271</v>
      </c>
      <c r="F83" s="24" t="s">
        <v>274</v>
      </c>
      <c r="G83" s="24" t="s">
        <v>28</v>
      </c>
      <c r="H83" s="24">
        <v>424.76499999999999</v>
      </c>
      <c r="I83" s="24">
        <v>7.48</v>
      </c>
      <c r="J83" s="24">
        <v>65.540999999999997</v>
      </c>
      <c r="K83" s="24" t="s">
        <v>21</v>
      </c>
      <c r="L83" s="24" t="s">
        <v>21</v>
      </c>
      <c r="M83" s="24" t="s">
        <v>22</v>
      </c>
      <c r="N83" s="24">
        <v>44257</v>
      </c>
      <c r="O83" s="24" t="s">
        <v>21</v>
      </c>
    </row>
    <row r="84" spans="1:15" x14ac:dyDescent="0.25">
      <c r="A84" s="24" t="s">
        <v>15</v>
      </c>
      <c r="B84" s="24" t="s">
        <v>16</v>
      </c>
      <c r="C84" s="24">
        <v>58624</v>
      </c>
      <c r="D84" s="24" t="s">
        <v>275</v>
      </c>
      <c r="E84" s="24" t="s">
        <v>276</v>
      </c>
      <c r="F84" s="24" t="s">
        <v>277</v>
      </c>
      <c r="G84" s="24" t="s">
        <v>258</v>
      </c>
      <c r="H84" s="24">
        <v>1075.05</v>
      </c>
      <c r="I84" s="24">
        <v>3.59</v>
      </c>
      <c r="J84" s="24">
        <v>49.73</v>
      </c>
      <c r="K84" s="24" t="s">
        <v>21</v>
      </c>
      <c r="L84" s="24" t="s">
        <v>21</v>
      </c>
      <c r="M84" s="24" t="s">
        <v>22</v>
      </c>
      <c r="N84" s="24">
        <v>44259</v>
      </c>
      <c r="O84" s="24" t="s">
        <v>21</v>
      </c>
    </row>
    <row r="85" spans="1:15" x14ac:dyDescent="0.25">
      <c r="A85" s="24" t="s">
        <v>15</v>
      </c>
      <c r="B85" s="24" t="s">
        <v>16</v>
      </c>
      <c r="C85" s="24">
        <v>94340</v>
      </c>
      <c r="D85" s="24" t="s">
        <v>278</v>
      </c>
      <c r="E85" s="24" t="s">
        <v>279</v>
      </c>
      <c r="F85" s="24" t="s">
        <v>280</v>
      </c>
      <c r="G85" s="24" t="s">
        <v>63</v>
      </c>
      <c r="H85" s="24">
        <v>380.27</v>
      </c>
      <c r="I85" s="24">
        <v>1.46</v>
      </c>
      <c r="J85" s="24">
        <v>94.55</v>
      </c>
      <c r="K85" s="24" t="s">
        <v>21</v>
      </c>
      <c r="L85" s="24" t="s">
        <v>21</v>
      </c>
      <c r="M85" s="24" t="s">
        <v>22</v>
      </c>
      <c r="N85" s="24">
        <v>44264</v>
      </c>
      <c r="O85" s="24" t="s">
        <v>21</v>
      </c>
    </row>
    <row r="86" spans="1:15" x14ac:dyDescent="0.25">
      <c r="A86" s="24" t="s">
        <v>84</v>
      </c>
      <c r="B86" s="24" t="s">
        <v>24</v>
      </c>
      <c r="C86" s="24">
        <v>279357</v>
      </c>
      <c r="D86" s="24" t="s">
        <v>281</v>
      </c>
      <c r="E86" s="24" t="s">
        <v>282</v>
      </c>
      <c r="F86" s="24" t="s">
        <v>283</v>
      </c>
      <c r="G86" s="24" t="s">
        <v>28</v>
      </c>
      <c r="H86" s="24">
        <v>402.56200000000001</v>
      </c>
      <c r="I86" s="24">
        <v>7.665</v>
      </c>
      <c r="J86" s="24">
        <v>87.039000000000001</v>
      </c>
      <c r="K86" s="24" t="s">
        <v>21</v>
      </c>
      <c r="L86" s="24" t="s">
        <v>21</v>
      </c>
      <c r="M86" s="24" t="s">
        <v>22</v>
      </c>
      <c r="N86" s="24">
        <v>44271</v>
      </c>
      <c r="O86" s="24" t="s">
        <v>21</v>
      </c>
    </row>
    <row r="87" spans="1:15" x14ac:dyDescent="0.25">
      <c r="A87" s="24" t="s">
        <v>15</v>
      </c>
      <c r="B87" s="24" t="s">
        <v>16</v>
      </c>
      <c r="C87" s="24">
        <v>652551</v>
      </c>
      <c r="D87" s="24" t="s">
        <v>284</v>
      </c>
      <c r="E87" s="24" t="s">
        <v>285</v>
      </c>
      <c r="F87" s="24" t="s">
        <v>197</v>
      </c>
      <c r="G87" s="24" t="s">
        <v>71</v>
      </c>
      <c r="H87" s="24">
        <v>490.51</v>
      </c>
      <c r="I87" s="24">
        <v>1.94</v>
      </c>
      <c r="J87" s="24">
        <v>104</v>
      </c>
      <c r="K87" s="24" t="s">
        <v>21</v>
      </c>
      <c r="L87" s="24" t="s">
        <v>21</v>
      </c>
      <c r="M87" s="24" t="s">
        <v>22</v>
      </c>
      <c r="N87" s="24">
        <v>44274</v>
      </c>
      <c r="O87" s="24" t="s">
        <v>21</v>
      </c>
    </row>
    <row r="88" spans="1:15" x14ac:dyDescent="0.25">
      <c r="A88" s="24" t="s">
        <v>169</v>
      </c>
      <c r="B88" s="24" t="s">
        <v>169</v>
      </c>
      <c r="C88" s="24" t="s">
        <v>286</v>
      </c>
      <c r="D88" s="24" t="s">
        <v>287</v>
      </c>
      <c r="E88" s="24" t="s">
        <v>285</v>
      </c>
      <c r="F88" s="24" t="s">
        <v>288</v>
      </c>
      <c r="G88" s="24" t="s">
        <v>289</v>
      </c>
      <c r="H88" s="24">
        <v>121.7411</v>
      </c>
      <c r="I88" s="24">
        <v>2.3220700000000001</v>
      </c>
      <c r="J88" s="24">
        <v>91.566666666666663</v>
      </c>
      <c r="K88" s="24" t="s">
        <v>21</v>
      </c>
      <c r="L88" s="24" t="s">
        <v>21</v>
      </c>
      <c r="M88" s="24" t="s">
        <v>22</v>
      </c>
      <c r="N88" s="24">
        <v>44274</v>
      </c>
      <c r="O88" s="24" t="s">
        <v>21</v>
      </c>
    </row>
    <row r="89" spans="1:15" x14ac:dyDescent="0.25">
      <c r="A89" s="24" t="s">
        <v>15</v>
      </c>
      <c r="B89" s="24" t="s">
        <v>16</v>
      </c>
      <c r="C89" s="24">
        <v>58624</v>
      </c>
      <c r="D89" s="24" t="s">
        <v>275</v>
      </c>
      <c r="E89" s="24" t="s">
        <v>290</v>
      </c>
      <c r="F89" s="24" t="s">
        <v>291</v>
      </c>
      <c r="G89" s="24" t="s">
        <v>20</v>
      </c>
      <c r="H89" s="24">
        <v>728.95</v>
      </c>
      <c r="I89" s="24">
        <v>2.13</v>
      </c>
      <c r="J89" s="24">
        <v>20</v>
      </c>
      <c r="K89" s="24" t="s">
        <v>21</v>
      </c>
      <c r="L89" s="24" t="s">
        <v>21</v>
      </c>
      <c r="M89" s="24" t="s">
        <v>22</v>
      </c>
      <c r="N89" s="24">
        <v>44274</v>
      </c>
      <c r="O89" s="24" t="s">
        <v>21</v>
      </c>
    </row>
    <row r="90" spans="1:15" x14ac:dyDescent="0.25">
      <c r="A90" s="24" t="s">
        <v>169</v>
      </c>
      <c r="B90" s="24" t="s">
        <v>169</v>
      </c>
      <c r="C90" s="24">
        <v>75597</v>
      </c>
      <c r="D90" s="24" t="s">
        <v>292</v>
      </c>
      <c r="E90" s="24" t="s">
        <v>293</v>
      </c>
      <c r="F90" s="24" t="s">
        <v>294</v>
      </c>
      <c r="G90" s="24" t="s">
        <v>295</v>
      </c>
      <c r="H90" s="24">
        <v>293.57600000000002</v>
      </c>
      <c r="I90" s="24">
        <v>3.7592699999999999</v>
      </c>
      <c r="J90" s="24">
        <v>101.8</v>
      </c>
      <c r="K90" s="24" t="s">
        <v>21</v>
      </c>
      <c r="L90" s="24" t="s">
        <v>21</v>
      </c>
      <c r="M90" s="24" t="s">
        <v>22</v>
      </c>
      <c r="N90" s="24">
        <v>44274</v>
      </c>
      <c r="O90" s="24" t="s">
        <v>21</v>
      </c>
    </row>
    <row r="91" spans="1:15" x14ac:dyDescent="0.25">
      <c r="A91" s="24" t="s">
        <v>15</v>
      </c>
      <c r="B91" s="24" t="s">
        <v>16</v>
      </c>
      <c r="C91" s="24">
        <v>7249</v>
      </c>
      <c r="D91" s="24" t="s">
        <v>296</v>
      </c>
      <c r="E91" s="24" t="s">
        <v>297</v>
      </c>
      <c r="F91" s="24" t="s">
        <v>298</v>
      </c>
      <c r="G91" s="24" t="s">
        <v>20</v>
      </c>
      <c r="H91" s="24">
        <v>257.05</v>
      </c>
      <c r="I91" s="24">
        <v>0.84</v>
      </c>
      <c r="J91" s="24">
        <v>83.68</v>
      </c>
      <c r="K91" s="24" t="s">
        <v>21</v>
      </c>
      <c r="L91" s="24" t="s">
        <v>21</v>
      </c>
      <c r="M91" s="24" t="s">
        <v>22</v>
      </c>
      <c r="N91" s="24">
        <v>44277</v>
      </c>
      <c r="O91" s="24" t="s">
        <v>21</v>
      </c>
    </row>
    <row r="92" spans="1:15" x14ac:dyDescent="0.25">
      <c r="A92" s="24" t="s">
        <v>15</v>
      </c>
      <c r="B92" s="24" t="s">
        <v>16</v>
      </c>
      <c r="C92" s="24">
        <v>299709</v>
      </c>
      <c r="D92" s="24" t="s">
        <v>299</v>
      </c>
      <c r="E92" s="24" t="s">
        <v>300</v>
      </c>
      <c r="F92" s="24" t="s">
        <v>301</v>
      </c>
      <c r="G92" s="24" t="s">
        <v>59</v>
      </c>
      <c r="H92" s="24">
        <v>363.57</v>
      </c>
      <c r="I92" s="24">
        <v>1.08</v>
      </c>
      <c r="J92" s="24">
        <v>95.83</v>
      </c>
      <c r="K92" s="24" t="s">
        <v>21</v>
      </c>
      <c r="L92" s="24" t="s">
        <v>21</v>
      </c>
      <c r="M92" s="24" t="s">
        <v>22</v>
      </c>
      <c r="N92" s="24">
        <v>44277</v>
      </c>
      <c r="O92" s="24" t="s">
        <v>21</v>
      </c>
    </row>
    <row r="93" spans="1:15" x14ac:dyDescent="0.25">
      <c r="A93" s="24" t="s">
        <v>84</v>
      </c>
      <c r="B93" s="24" t="s">
        <v>24</v>
      </c>
      <c r="C93" s="24">
        <v>652997</v>
      </c>
      <c r="D93" s="24" t="s">
        <v>302</v>
      </c>
      <c r="E93" s="24" t="s">
        <v>303</v>
      </c>
      <c r="F93" s="24" t="s">
        <v>225</v>
      </c>
      <c r="G93" s="24" t="s">
        <v>28</v>
      </c>
      <c r="H93" s="24">
        <v>331.35500000000002</v>
      </c>
      <c r="I93" s="24">
        <v>5.1470000000000002</v>
      </c>
      <c r="J93" s="24">
        <v>81.436999999999998</v>
      </c>
      <c r="K93" s="24" t="s">
        <v>21</v>
      </c>
      <c r="L93" s="24" t="s">
        <v>21</v>
      </c>
      <c r="M93" s="24" t="s">
        <v>22</v>
      </c>
      <c r="N93" s="24">
        <v>44278</v>
      </c>
      <c r="O93" s="24" t="s">
        <v>21</v>
      </c>
    </row>
    <row r="94" spans="1:15" x14ac:dyDescent="0.25">
      <c r="A94" s="24" t="s">
        <v>84</v>
      </c>
      <c r="B94" s="24" t="s">
        <v>24</v>
      </c>
      <c r="C94" s="24">
        <v>430610</v>
      </c>
      <c r="D94" s="24" t="s">
        <v>304</v>
      </c>
      <c r="E94" s="24" t="s">
        <v>305</v>
      </c>
      <c r="F94" s="24" t="s">
        <v>306</v>
      </c>
      <c r="G94" s="24" t="s">
        <v>28</v>
      </c>
      <c r="H94" s="24">
        <v>629.14400000000001</v>
      </c>
      <c r="I94" s="24">
        <v>7.04</v>
      </c>
      <c r="J94" s="24">
        <v>51.856000000000002</v>
      </c>
      <c r="K94" s="24" t="s">
        <v>21</v>
      </c>
      <c r="L94" s="24" t="s">
        <v>21</v>
      </c>
      <c r="M94" s="24" t="s">
        <v>22</v>
      </c>
      <c r="N94" s="24">
        <v>44280</v>
      </c>
      <c r="O94" s="24" t="s">
        <v>21</v>
      </c>
    </row>
    <row r="95" spans="1:15" x14ac:dyDescent="0.25">
      <c r="A95" s="24" t="s">
        <v>84</v>
      </c>
      <c r="B95" s="24" t="s">
        <v>24</v>
      </c>
      <c r="C95" s="24">
        <v>334867</v>
      </c>
      <c r="D95" s="24" t="s">
        <v>307</v>
      </c>
      <c r="E95" s="24" t="s">
        <v>305</v>
      </c>
      <c r="F95" s="24" t="s">
        <v>308</v>
      </c>
      <c r="G95" s="24" t="s">
        <v>28</v>
      </c>
      <c r="H95" s="24">
        <v>431.67099999999999</v>
      </c>
      <c r="I95" s="24">
        <v>6.1210000000000004</v>
      </c>
      <c r="J95" s="24">
        <v>52.713000000000001</v>
      </c>
      <c r="K95" s="24" t="s">
        <v>21</v>
      </c>
      <c r="L95" s="24" t="s">
        <v>21</v>
      </c>
      <c r="M95" s="24" t="s">
        <v>22</v>
      </c>
      <c r="N95" s="24">
        <v>44280</v>
      </c>
      <c r="O95" s="24" t="s">
        <v>21</v>
      </c>
    </row>
    <row r="96" spans="1:15" x14ac:dyDescent="0.25">
      <c r="A96" s="24" t="s">
        <v>169</v>
      </c>
      <c r="B96" s="24" t="s">
        <v>169</v>
      </c>
      <c r="C96" s="24">
        <v>653225</v>
      </c>
      <c r="D96" s="24" t="s">
        <v>309</v>
      </c>
      <c r="E96" s="24" t="s">
        <v>305</v>
      </c>
      <c r="F96" s="24" t="s">
        <v>310</v>
      </c>
      <c r="G96" s="24" t="s">
        <v>174</v>
      </c>
      <c r="H96" s="24">
        <v>58.984499999999997</v>
      </c>
      <c r="I96" s="24">
        <v>0.37959999999999999</v>
      </c>
      <c r="J96" s="24">
        <v>61.9</v>
      </c>
      <c r="K96" s="24" t="s">
        <v>21</v>
      </c>
      <c r="L96" s="24" t="s">
        <v>21</v>
      </c>
      <c r="M96" s="24" t="s">
        <v>22</v>
      </c>
      <c r="N96" s="24">
        <v>44280</v>
      </c>
      <c r="O96" s="24" t="s">
        <v>21</v>
      </c>
    </row>
    <row r="97" spans="1:15" x14ac:dyDescent="0.25">
      <c r="A97" s="24" t="s">
        <v>169</v>
      </c>
      <c r="B97" s="24" t="s">
        <v>169</v>
      </c>
      <c r="C97" s="24">
        <v>518136</v>
      </c>
      <c r="D97" s="24" t="s">
        <v>311</v>
      </c>
      <c r="E97" s="24" t="s">
        <v>312</v>
      </c>
      <c r="F97" s="24" t="s">
        <v>313</v>
      </c>
      <c r="G97" s="24" t="s">
        <v>314</v>
      </c>
      <c r="H97" s="24">
        <v>92.629800000000003</v>
      </c>
      <c r="I97" s="24">
        <v>3.7509199999999998</v>
      </c>
      <c r="J97" s="24">
        <v>92.266666666666666</v>
      </c>
      <c r="K97" s="24" t="s">
        <v>21</v>
      </c>
      <c r="L97" s="24" t="s">
        <v>21</v>
      </c>
      <c r="M97" s="24" t="s">
        <v>22</v>
      </c>
      <c r="N97" s="24">
        <v>44284</v>
      </c>
      <c r="O97" s="24" t="s">
        <v>21</v>
      </c>
    </row>
    <row r="98" spans="1:15" x14ac:dyDescent="0.25">
      <c r="A98" s="24" t="s">
        <v>84</v>
      </c>
      <c r="B98" s="24" t="s">
        <v>24</v>
      </c>
      <c r="C98" s="24">
        <v>653267</v>
      </c>
      <c r="D98" s="24" t="s">
        <v>315</v>
      </c>
      <c r="E98" s="24" t="s">
        <v>316</v>
      </c>
      <c r="F98" s="24" t="s">
        <v>317</v>
      </c>
      <c r="G98" s="24" t="s">
        <v>28</v>
      </c>
      <c r="H98" s="24">
        <v>853.20899999999995</v>
      </c>
      <c r="I98" s="24">
        <v>8.657</v>
      </c>
      <c r="J98" s="24">
        <v>83.606999999999999</v>
      </c>
      <c r="K98" s="24" t="s">
        <v>21</v>
      </c>
      <c r="L98" s="24" t="s">
        <v>21</v>
      </c>
      <c r="M98" s="24" t="s">
        <v>22</v>
      </c>
      <c r="N98" s="24">
        <v>44284</v>
      </c>
      <c r="O98" s="24" t="s">
        <v>21</v>
      </c>
    </row>
    <row r="99" spans="1:15" x14ac:dyDescent="0.25">
      <c r="A99" s="24" t="s">
        <v>84</v>
      </c>
      <c r="B99" s="24" t="s">
        <v>24</v>
      </c>
      <c r="C99" s="24">
        <v>653360</v>
      </c>
      <c r="D99" s="24" t="s">
        <v>318</v>
      </c>
      <c r="E99" s="24" t="s">
        <v>319</v>
      </c>
      <c r="F99" s="24" t="s">
        <v>320</v>
      </c>
      <c r="G99" s="24" t="s">
        <v>28</v>
      </c>
      <c r="H99" s="24">
        <v>501.18700000000001</v>
      </c>
      <c r="I99" s="24">
        <v>5.6749999999999998</v>
      </c>
      <c r="J99" s="24">
        <v>35.72</v>
      </c>
      <c r="K99" s="24" t="s">
        <v>21</v>
      </c>
      <c r="L99" s="24" t="s">
        <v>21</v>
      </c>
      <c r="M99" s="24" t="s">
        <v>47</v>
      </c>
      <c r="N99" s="24">
        <v>44285</v>
      </c>
      <c r="O99" s="24" t="s">
        <v>21</v>
      </c>
    </row>
    <row r="100" spans="1:15" x14ac:dyDescent="0.25">
      <c r="A100" s="24" t="s">
        <v>169</v>
      </c>
      <c r="B100" s="24" t="s">
        <v>169</v>
      </c>
      <c r="C100" s="24">
        <v>653419</v>
      </c>
      <c r="D100" s="24" t="s">
        <v>321</v>
      </c>
      <c r="E100" s="24" t="s">
        <v>322</v>
      </c>
      <c r="F100" s="24" t="s">
        <v>323</v>
      </c>
      <c r="G100" s="24" t="s">
        <v>174</v>
      </c>
      <c r="H100" s="22">
        <v>195.23939999999999</v>
      </c>
      <c r="I100" s="22">
        <v>9.5750899999999994</v>
      </c>
      <c r="J100" s="24">
        <v>114.48333333333331</v>
      </c>
      <c r="K100" s="24" t="s">
        <v>21</v>
      </c>
      <c r="L100" s="24" t="s">
        <v>21</v>
      </c>
      <c r="M100" s="24" t="s">
        <v>47</v>
      </c>
      <c r="N100" s="24">
        <v>44285</v>
      </c>
      <c r="O100" s="24" t="s">
        <v>21</v>
      </c>
    </row>
    <row r="101" spans="1:15" x14ac:dyDescent="0.25">
      <c r="A101" s="24" t="s">
        <v>84</v>
      </c>
      <c r="B101" s="24" t="s">
        <v>24</v>
      </c>
      <c r="C101" s="24">
        <v>86542</v>
      </c>
      <c r="D101" s="24" t="s">
        <v>324</v>
      </c>
      <c r="E101" s="24" t="s">
        <v>325</v>
      </c>
      <c r="F101" s="24" t="s">
        <v>326</v>
      </c>
      <c r="G101" s="24" t="s">
        <v>28</v>
      </c>
      <c r="H101" s="24">
        <v>110.782</v>
      </c>
      <c r="I101" s="24">
        <v>0.73899999999999999</v>
      </c>
      <c r="J101" s="24">
        <v>62.314999999999998</v>
      </c>
      <c r="K101" s="24" t="s">
        <v>21</v>
      </c>
      <c r="L101" s="24" t="s">
        <v>21</v>
      </c>
      <c r="M101" s="24" t="s">
        <v>47</v>
      </c>
      <c r="N101" s="24">
        <v>44291</v>
      </c>
      <c r="O101" s="24" t="s">
        <v>21</v>
      </c>
    </row>
    <row r="102" spans="1:15" x14ac:dyDescent="0.25">
      <c r="A102" s="24" t="s">
        <v>84</v>
      </c>
      <c r="B102" s="24" t="s">
        <v>24</v>
      </c>
      <c r="C102" s="24">
        <v>653058</v>
      </c>
      <c r="D102" s="24" t="s">
        <v>327</v>
      </c>
      <c r="E102" s="24" t="s">
        <v>328</v>
      </c>
      <c r="F102" s="24" t="s">
        <v>329</v>
      </c>
      <c r="G102" s="24" t="s">
        <v>28</v>
      </c>
      <c r="H102" s="24">
        <v>298.83699999999999</v>
      </c>
      <c r="I102" s="24">
        <v>2.8050000000000002</v>
      </c>
      <c r="J102" s="24">
        <v>64.536000000000001</v>
      </c>
      <c r="K102" s="24" t="s">
        <v>21</v>
      </c>
      <c r="L102" s="24" t="s">
        <v>21</v>
      </c>
      <c r="M102" s="24" t="s">
        <v>47</v>
      </c>
      <c r="N102" s="24">
        <v>44291</v>
      </c>
      <c r="O102" s="24" t="s">
        <v>21</v>
      </c>
    </row>
    <row r="103" spans="1:15" x14ac:dyDescent="0.25">
      <c r="A103" s="24" t="s">
        <v>169</v>
      </c>
      <c r="B103" s="24" t="s">
        <v>169</v>
      </c>
      <c r="C103" s="24">
        <v>653516</v>
      </c>
      <c r="D103" s="24" t="s">
        <v>330</v>
      </c>
      <c r="E103" s="24" t="s">
        <v>328</v>
      </c>
      <c r="F103" s="24" t="s">
        <v>131</v>
      </c>
      <c r="G103" s="24" t="s">
        <v>331</v>
      </c>
      <c r="H103" s="22">
        <v>108.0712</v>
      </c>
      <c r="I103" s="22">
        <v>4.5734300000000001</v>
      </c>
      <c r="J103" s="22">
        <v>146.06666666666669</v>
      </c>
      <c r="K103" s="24" t="s">
        <v>21</v>
      </c>
      <c r="L103" s="24" t="s">
        <v>21</v>
      </c>
      <c r="M103" s="24" t="s">
        <v>47</v>
      </c>
      <c r="N103" s="24">
        <v>44291</v>
      </c>
      <c r="O103" s="24" t="s">
        <v>21</v>
      </c>
    </row>
    <row r="104" spans="1:15" x14ac:dyDescent="0.25">
      <c r="A104" s="24" t="s">
        <v>84</v>
      </c>
      <c r="B104" s="24" t="s">
        <v>24</v>
      </c>
      <c r="C104" s="24">
        <v>582195</v>
      </c>
      <c r="D104" s="24" t="s">
        <v>332</v>
      </c>
      <c r="E104" s="24" t="s">
        <v>333</v>
      </c>
      <c r="F104" s="24" t="s">
        <v>334</v>
      </c>
      <c r="G104" s="24" t="s">
        <v>28</v>
      </c>
      <c r="H104" s="24">
        <v>245.922</v>
      </c>
      <c r="I104" s="24">
        <v>2.3959999999999999</v>
      </c>
      <c r="J104" s="24">
        <v>135.464</v>
      </c>
      <c r="K104" s="24" t="s">
        <v>21</v>
      </c>
      <c r="L104" s="24" t="s">
        <v>21</v>
      </c>
      <c r="M104" s="24" t="s">
        <v>47</v>
      </c>
      <c r="N104" s="24">
        <v>44293</v>
      </c>
      <c r="O104" s="24" t="s">
        <v>21</v>
      </c>
    </row>
    <row r="105" spans="1:15" x14ac:dyDescent="0.25">
      <c r="A105" s="24" t="s">
        <v>84</v>
      </c>
      <c r="B105" s="24" t="s">
        <v>24</v>
      </c>
      <c r="C105" s="24">
        <v>273303</v>
      </c>
      <c r="D105" s="24" t="s">
        <v>335</v>
      </c>
      <c r="E105" s="24" t="s">
        <v>336</v>
      </c>
      <c r="F105" s="24" t="s">
        <v>337</v>
      </c>
      <c r="G105" s="24" t="s">
        <v>28</v>
      </c>
      <c r="H105" s="24">
        <v>271.76900000000001</v>
      </c>
      <c r="I105" s="24">
        <v>3.7570000000000001</v>
      </c>
      <c r="J105" s="24">
        <v>82.147999999999996</v>
      </c>
      <c r="K105" s="24" t="s">
        <v>21</v>
      </c>
      <c r="L105" s="24" t="s">
        <v>21</v>
      </c>
      <c r="M105" s="24" t="s">
        <v>47</v>
      </c>
      <c r="N105" s="24">
        <v>44298</v>
      </c>
      <c r="O105" s="24" t="s">
        <v>21</v>
      </c>
    </row>
    <row r="106" spans="1:15" x14ac:dyDescent="0.25">
      <c r="A106" s="24" t="s">
        <v>84</v>
      </c>
      <c r="B106" s="24" t="s">
        <v>24</v>
      </c>
      <c r="C106" s="24">
        <v>142765</v>
      </c>
      <c r="D106" s="24" t="s">
        <v>338</v>
      </c>
      <c r="E106" s="24" t="s">
        <v>339</v>
      </c>
      <c r="F106" s="24" t="s">
        <v>340</v>
      </c>
      <c r="G106" s="24" t="s">
        <v>28</v>
      </c>
      <c r="H106" s="24">
        <v>383.86799999999999</v>
      </c>
      <c r="I106" s="24">
        <v>5.5250000000000004</v>
      </c>
      <c r="J106" s="24">
        <v>50.154000000000003</v>
      </c>
      <c r="K106" s="24" t="s">
        <v>21</v>
      </c>
      <c r="L106" s="24" t="s">
        <v>21</v>
      </c>
      <c r="M106" s="24" t="s">
        <v>22</v>
      </c>
      <c r="N106" s="24">
        <v>44300</v>
      </c>
      <c r="O106" s="24" t="s">
        <v>21</v>
      </c>
    </row>
    <row r="107" spans="1:15" x14ac:dyDescent="0.25">
      <c r="A107" s="24" t="s">
        <v>84</v>
      </c>
      <c r="B107" s="24" t="s">
        <v>24</v>
      </c>
      <c r="C107" s="24">
        <v>653510</v>
      </c>
      <c r="D107" s="24" t="s">
        <v>341</v>
      </c>
      <c r="E107" s="24" t="s">
        <v>342</v>
      </c>
      <c r="F107" s="24" t="s">
        <v>343</v>
      </c>
      <c r="G107" s="24" t="s">
        <v>28</v>
      </c>
      <c r="H107" s="24">
        <v>554.13599999999997</v>
      </c>
      <c r="I107" s="24">
        <v>8.2100000000000009</v>
      </c>
      <c r="J107" s="24">
        <v>65.597999999999999</v>
      </c>
      <c r="K107" s="24" t="s">
        <v>21</v>
      </c>
      <c r="L107" s="24" t="s">
        <v>21</v>
      </c>
      <c r="M107" s="24" t="s">
        <v>22</v>
      </c>
      <c r="N107" s="24">
        <v>44306</v>
      </c>
      <c r="O107" s="24" t="s">
        <v>21</v>
      </c>
    </row>
    <row r="108" spans="1:15" x14ac:dyDescent="0.25">
      <c r="A108" s="24" t="s">
        <v>84</v>
      </c>
      <c r="B108" s="24" t="s">
        <v>24</v>
      </c>
      <c r="C108" s="24">
        <v>379472</v>
      </c>
      <c r="D108" s="24" t="s">
        <v>344</v>
      </c>
      <c r="E108" s="24" t="s">
        <v>345</v>
      </c>
      <c r="F108" s="24" t="s">
        <v>346</v>
      </c>
      <c r="G108" s="24" t="s">
        <v>28</v>
      </c>
      <c r="H108" s="24">
        <v>554.42999999999995</v>
      </c>
      <c r="I108" s="24">
        <v>5.5279999999999996</v>
      </c>
      <c r="J108" s="24">
        <v>31.152999999999999</v>
      </c>
      <c r="K108" s="24" t="s">
        <v>21</v>
      </c>
      <c r="L108" s="24" t="s">
        <v>21</v>
      </c>
      <c r="M108" s="24" t="s">
        <v>47</v>
      </c>
      <c r="N108" s="24">
        <v>44315</v>
      </c>
      <c r="O108" s="24" t="s">
        <v>21</v>
      </c>
    </row>
    <row r="109" spans="1:15" x14ac:dyDescent="0.25">
      <c r="A109" s="24" t="s">
        <v>15</v>
      </c>
      <c r="B109" s="24" t="s">
        <v>16</v>
      </c>
      <c r="C109" s="24">
        <v>360458</v>
      </c>
      <c r="D109" s="24" t="s">
        <v>347</v>
      </c>
      <c r="E109" s="24" t="s">
        <v>348</v>
      </c>
      <c r="F109" s="24" t="s">
        <v>349</v>
      </c>
      <c r="G109" s="24" t="s">
        <v>59</v>
      </c>
      <c r="H109" s="24">
        <v>427.5</v>
      </c>
      <c r="I109" s="24">
        <v>1.27</v>
      </c>
      <c r="J109" s="24">
        <v>68</v>
      </c>
      <c r="K109" s="24" t="s">
        <v>21</v>
      </c>
      <c r="L109" s="24" t="s">
        <v>21</v>
      </c>
      <c r="M109" s="24" t="s">
        <v>22</v>
      </c>
      <c r="N109" s="24">
        <v>44316</v>
      </c>
      <c r="O109" s="24" t="s">
        <v>21</v>
      </c>
    </row>
    <row r="110" spans="1:15" x14ac:dyDescent="0.25">
      <c r="A110" s="24" t="s">
        <v>169</v>
      </c>
      <c r="B110" s="24" t="s">
        <v>169</v>
      </c>
      <c r="C110" s="24" t="s">
        <v>350</v>
      </c>
      <c r="D110" s="24" t="s">
        <v>351</v>
      </c>
      <c r="E110" s="24" t="s">
        <v>352</v>
      </c>
      <c r="F110" s="24" t="s">
        <v>353</v>
      </c>
      <c r="G110" s="24" t="s">
        <v>248</v>
      </c>
      <c r="H110" s="24">
        <v>122.37520000000001</v>
      </c>
      <c r="I110" s="24">
        <v>1.9691799999999999</v>
      </c>
      <c r="J110" s="24">
        <v>103.26666666666669</v>
      </c>
      <c r="K110" s="24" t="s">
        <v>21</v>
      </c>
      <c r="L110" s="24" t="s">
        <v>21</v>
      </c>
      <c r="M110" s="24" t="s">
        <v>22</v>
      </c>
      <c r="N110" s="24">
        <v>44316</v>
      </c>
      <c r="O110" s="24" t="s">
        <v>21</v>
      </c>
    </row>
    <row r="111" spans="1:15" x14ac:dyDescent="0.25">
      <c r="A111" s="24" t="s">
        <v>15</v>
      </c>
      <c r="B111" s="24" t="s">
        <v>16</v>
      </c>
      <c r="C111" s="24">
        <v>653774</v>
      </c>
      <c r="D111" s="24" t="s">
        <v>354</v>
      </c>
      <c r="E111" s="24" t="s">
        <v>355</v>
      </c>
      <c r="F111" s="24" t="s">
        <v>19</v>
      </c>
      <c r="G111" s="24" t="s">
        <v>20</v>
      </c>
      <c r="H111" s="24">
        <v>320.5</v>
      </c>
      <c r="I111" s="24">
        <v>1.33</v>
      </c>
      <c r="J111" s="24">
        <v>62.55</v>
      </c>
      <c r="K111" s="24" t="s">
        <v>21</v>
      </c>
      <c r="L111" s="24" t="s">
        <v>21</v>
      </c>
      <c r="M111" s="24" t="s">
        <v>22</v>
      </c>
      <c r="N111" s="24">
        <v>44320</v>
      </c>
      <c r="O111" s="24" t="s">
        <v>21</v>
      </c>
    </row>
    <row r="112" spans="1:15" x14ac:dyDescent="0.25">
      <c r="A112" s="24" t="s">
        <v>15</v>
      </c>
      <c r="B112" s="24" t="s">
        <v>16</v>
      </c>
      <c r="C112" s="24">
        <v>486439</v>
      </c>
      <c r="D112" s="24" t="s">
        <v>356</v>
      </c>
      <c r="E112" s="24" t="s">
        <v>357</v>
      </c>
      <c r="F112" s="24" t="s">
        <v>358</v>
      </c>
      <c r="G112" s="24" t="s">
        <v>71</v>
      </c>
      <c r="H112" s="24">
        <v>170.11</v>
      </c>
      <c r="I112" s="24">
        <v>0.69</v>
      </c>
      <c r="J112" s="24">
        <v>64.03</v>
      </c>
      <c r="K112" s="24" t="s">
        <v>21</v>
      </c>
      <c r="L112" s="24" t="s">
        <v>21</v>
      </c>
      <c r="M112" s="24" t="s">
        <v>22</v>
      </c>
      <c r="N112" s="24">
        <v>44322</v>
      </c>
      <c r="O112" s="24" t="s">
        <v>21</v>
      </c>
    </row>
    <row r="113" spans="1:15" x14ac:dyDescent="0.25">
      <c r="A113" s="24" t="s">
        <v>15</v>
      </c>
      <c r="B113" s="24" t="s">
        <v>16</v>
      </c>
      <c r="C113" s="24">
        <v>654773</v>
      </c>
      <c r="D113" s="24" t="s">
        <v>359</v>
      </c>
      <c r="E113" s="24" t="s">
        <v>360</v>
      </c>
      <c r="F113" s="24" t="s">
        <v>361</v>
      </c>
      <c r="G113" s="24" t="s">
        <v>362</v>
      </c>
      <c r="H113" s="24">
        <v>1170.82</v>
      </c>
      <c r="I113" s="24">
        <v>4.75</v>
      </c>
      <c r="J113" s="24">
        <v>37.65</v>
      </c>
      <c r="K113" s="24" t="s">
        <v>21</v>
      </c>
      <c r="L113" s="24" t="s">
        <v>21</v>
      </c>
      <c r="M113" s="24" t="s">
        <v>22</v>
      </c>
      <c r="N113" s="24">
        <v>44323</v>
      </c>
      <c r="O113" s="24" t="s">
        <v>21</v>
      </c>
    </row>
    <row r="114" spans="1:15" x14ac:dyDescent="0.25">
      <c r="A114" s="24" t="s">
        <v>169</v>
      </c>
      <c r="B114" s="24" t="s">
        <v>169</v>
      </c>
      <c r="C114" s="24" t="s">
        <v>363</v>
      </c>
      <c r="D114" s="24" t="s">
        <v>364</v>
      </c>
      <c r="E114" s="24" t="s">
        <v>357</v>
      </c>
      <c r="F114" s="24" t="s">
        <v>365</v>
      </c>
      <c r="G114" s="24" t="s">
        <v>238</v>
      </c>
      <c r="H114" s="24">
        <v>102.38420000000001</v>
      </c>
      <c r="I114" s="24">
        <v>5.5935799999999993</v>
      </c>
      <c r="J114" s="24">
        <v>114.1333333333333</v>
      </c>
      <c r="K114" s="24" t="s">
        <v>21</v>
      </c>
      <c r="L114" s="24" t="s">
        <v>21</v>
      </c>
      <c r="M114" s="24" t="s">
        <v>22</v>
      </c>
      <c r="N114" s="24">
        <v>44326</v>
      </c>
      <c r="O114" s="24" t="s">
        <v>21</v>
      </c>
    </row>
    <row r="115" spans="1:15" x14ac:dyDescent="0.25">
      <c r="A115" s="24" t="s">
        <v>84</v>
      </c>
      <c r="B115" s="24" t="s">
        <v>24</v>
      </c>
      <c r="C115" s="24">
        <v>438805</v>
      </c>
      <c r="D115" s="24" t="s">
        <v>366</v>
      </c>
      <c r="E115" s="24" t="s">
        <v>367</v>
      </c>
      <c r="F115" s="24" t="s">
        <v>368</v>
      </c>
      <c r="G115" s="24" t="s">
        <v>28</v>
      </c>
      <c r="H115" s="24">
        <v>349.91199999999998</v>
      </c>
      <c r="I115" s="24">
        <v>5.5540000000000003</v>
      </c>
      <c r="J115" s="24">
        <v>37.143999999999998</v>
      </c>
      <c r="K115" s="24" t="s">
        <v>21</v>
      </c>
      <c r="L115" s="24" t="s">
        <v>21</v>
      </c>
      <c r="M115" s="24" t="s">
        <v>22</v>
      </c>
      <c r="N115" s="24">
        <v>44326</v>
      </c>
      <c r="O115" s="24" t="s">
        <v>21</v>
      </c>
    </row>
    <row r="116" spans="1:15" x14ac:dyDescent="0.25">
      <c r="A116" s="24" t="s">
        <v>84</v>
      </c>
      <c r="B116" s="24" t="s">
        <v>24</v>
      </c>
      <c r="C116" s="24">
        <v>654781</v>
      </c>
      <c r="D116" s="24" t="s">
        <v>369</v>
      </c>
      <c r="E116" s="24" t="s">
        <v>370</v>
      </c>
      <c r="F116" s="24" t="s">
        <v>371</v>
      </c>
      <c r="G116" s="24" t="s">
        <v>28</v>
      </c>
      <c r="H116" s="24">
        <v>492.18700000000001</v>
      </c>
      <c r="I116" s="24">
        <v>6.6959999999999997</v>
      </c>
      <c r="J116" s="24">
        <v>31.783999999999999</v>
      </c>
      <c r="K116" s="24" t="s">
        <v>21</v>
      </c>
      <c r="L116" s="24" t="s">
        <v>21</v>
      </c>
      <c r="M116" s="24" t="s">
        <v>22</v>
      </c>
      <c r="N116" s="24">
        <v>44327</v>
      </c>
      <c r="O116" s="24" t="s">
        <v>21</v>
      </c>
    </row>
    <row r="117" spans="1:15" x14ac:dyDescent="0.25">
      <c r="A117" s="24" t="s">
        <v>144</v>
      </c>
      <c r="B117" s="24" t="s">
        <v>24</v>
      </c>
      <c r="C117" s="24" t="s">
        <v>372</v>
      </c>
      <c r="D117" s="24"/>
      <c r="E117" s="24" t="s">
        <v>373</v>
      </c>
      <c r="F117" s="24" t="s">
        <v>374</v>
      </c>
      <c r="G117" s="24" t="e">
        <v>#N/A</v>
      </c>
      <c r="H117" s="24">
        <v>160.5136</v>
      </c>
      <c r="I117" s="24">
        <v>1.98763</v>
      </c>
      <c r="J117" s="24">
        <v>85.066666666666663</v>
      </c>
      <c r="K117" s="24" t="s">
        <v>21</v>
      </c>
      <c r="L117" s="24" t="s">
        <v>90</v>
      </c>
      <c r="M117" s="24" t="s">
        <v>22</v>
      </c>
      <c r="N117" s="24">
        <v>44335</v>
      </c>
      <c r="O117" s="24" t="s">
        <v>90</v>
      </c>
    </row>
    <row r="118" spans="1:15" x14ac:dyDescent="0.25">
      <c r="A118" s="24" t="s">
        <v>169</v>
      </c>
      <c r="B118" s="24" t="s">
        <v>169</v>
      </c>
      <c r="C118" s="24">
        <v>260561</v>
      </c>
      <c r="D118" s="24" t="s">
        <v>375</v>
      </c>
      <c r="E118" s="24" t="s">
        <v>376</v>
      </c>
      <c r="F118" s="24" t="s">
        <v>58</v>
      </c>
      <c r="G118" s="24" t="s">
        <v>174</v>
      </c>
      <c r="H118" s="24">
        <v>267.42259999999999</v>
      </c>
      <c r="I118" s="24">
        <v>3.5143</v>
      </c>
      <c r="J118" s="24">
        <v>74.5</v>
      </c>
      <c r="K118" s="24" t="s">
        <v>21</v>
      </c>
      <c r="L118" s="24" t="s">
        <v>21</v>
      </c>
      <c r="M118" s="24" t="s">
        <v>22</v>
      </c>
      <c r="N118" s="24">
        <v>44335</v>
      </c>
      <c r="O118" s="24" t="s">
        <v>21</v>
      </c>
    </row>
    <row r="119" spans="1:15" x14ac:dyDescent="0.25">
      <c r="A119" s="24" t="s">
        <v>84</v>
      </c>
      <c r="B119" s="24" t="s">
        <v>24</v>
      </c>
      <c r="C119" s="24">
        <v>284941</v>
      </c>
      <c r="D119" s="24" t="s">
        <v>377</v>
      </c>
      <c r="E119" s="24" t="s">
        <v>378</v>
      </c>
      <c r="F119" s="24" t="s">
        <v>134</v>
      </c>
      <c r="G119" s="24" t="s">
        <v>28</v>
      </c>
      <c r="H119" s="24">
        <v>205.77500000000001</v>
      </c>
      <c r="I119" s="24">
        <v>4.1289999999999996</v>
      </c>
      <c r="J119" s="24">
        <v>82.543000000000006</v>
      </c>
      <c r="K119" s="24" t="s">
        <v>21</v>
      </c>
      <c r="L119" s="24" t="s">
        <v>21</v>
      </c>
      <c r="M119" s="24" t="s">
        <v>47</v>
      </c>
      <c r="N119" s="24">
        <v>44336</v>
      </c>
      <c r="O119" s="24" t="s">
        <v>21</v>
      </c>
    </row>
    <row r="120" spans="1:15" x14ac:dyDescent="0.25">
      <c r="A120" s="24" t="s">
        <v>169</v>
      </c>
      <c r="B120" s="24" t="s">
        <v>169</v>
      </c>
      <c r="C120" s="24" t="s">
        <v>379</v>
      </c>
      <c r="D120" s="24" t="s">
        <v>380</v>
      </c>
      <c r="E120" s="24" t="s">
        <v>381</v>
      </c>
      <c r="F120" s="24" t="s">
        <v>93</v>
      </c>
      <c r="G120" s="24" t="s">
        <v>331</v>
      </c>
      <c r="H120" s="24">
        <v>182.4974</v>
      </c>
      <c r="I120" s="24">
        <v>16.962409999999998</v>
      </c>
      <c r="J120" s="24">
        <v>52.1</v>
      </c>
      <c r="K120" s="24" t="s">
        <v>21</v>
      </c>
      <c r="L120" s="24" t="s">
        <v>21</v>
      </c>
      <c r="M120" s="24" t="s">
        <v>22</v>
      </c>
      <c r="N120" s="24">
        <v>44341</v>
      </c>
      <c r="O120" s="24" t="s">
        <v>21</v>
      </c>
    </row>
    <row r="121" spans="1:15" x14ac:dyDescent="0.25">
      <c r="A121" s="24" t="s">
        <v>169</v>
      </c>
      <c r="B121" s="24" t="s">
        <v>169</v>
      </c>
      <c r="C121" s="24" t="s">
        <v>379</v>
      </c>
      <c r="D121" s="24" t="s">
        <v>380</v>
      </c>
      <c r="E121" s="24" t="s">
        <v>381</v>
      </c>
      <c r="F121" s="24" t="s">
        <v>93</v>
      </c>
      <c r="G121" s="24" t="s">
        <v>331</v>
      </c>
      <c r="H121" s="24">
        <v>42.067</v>
      </c>
      <c r="I121" s="24">
        <v>11.66705</v>
      </c>
      <c r="J121" s="24">
        <v>1.2666666666666671</v>
      </c>
      <c r="K121" s="24" t="s">
        <v>21</v>
      </c>
      <c r="L121" s="24" t="s">
        <v>90</v>
      </c>
      <c r="M121" s="24" t="s">
        <v>22</v>
      </c>
      <c r="N121" s="24">
        <v>44341</v>
      </c>
      <c r="O121" s="24" t="s">
        <v>90</v>
      </c>
    </row>
    <row r="122" spans="1:15" x14ac:dyDescent="0.25">
      <c r="A122" s="24" t="s">
        <v>15</v>
      </c>
      <c r="B122" s="24" t="s">
        <v>16</v>
      </c>
      <c r="C122" s="24">
        <v>82228</v>
      </c>
      <c r="D122" s="24" t="s">
        <v>382</v>
      </c>
      <c r="E122" s="24" t="s">
        <v>383</v>
      </c>
      <c r="F122" s="24" t="s">
        <v>337</v>
      </c>
      <c r="G122" s="24" t="s">
        <v>115</v>
      </c>
      <c r="H122" s="24">
        <v>824.05</v>
      </c>
      <c r="I122" s="24">
        <v>2.41</v>
      </c>
      <c r="J122" s="24">
        <v>40.369999999999997</v>
      </c>
      <c r="K122" s="24" t="s">
        <v>21</v>
      </c>
      <c r="L122" s="24" t="s">
        <v>21</v>
      </c>
      <c r="M122" s="24" t="s">
        <v>22</v>
      </c>
      <c r="N122" s="24">
        <v>44343</v>
      </c>
      <c r="O122" s="24" t="s">
        <v>21</v>
      </c>
    </row>
    <row r="123" spans="1:15" x14ac:dyDescent="0.25">
      <c r="A123" s="24" t="s">
        <v>84</v>
      </c>
      <c r="B123" s="24" t="s">
        <v>24</v>
      </c>
      <c r="C123" s="24">
        <v>655163</v>
      </c>
      <c r="D123" s="24" t="s">
        <v>384</v>
      </c>
      <c r="E123" s="24" t="s">
        <v>383</v>
      </c>
      <c r="F123" s="24" t="s">
        <v>217</v>
      </c>
      <c r="G123" s="24" t="s">
        <v>28</v>
      </c>
      <c r="H123" s="24">
        <v>452.21899999999999</v>
      </c>
      <c r="I123" s="24">
        <v>7.0330000000000004</v>
      </c>
      <c r="J123" s="24">
        <v>56.194000000000003</v>
      </c>
      <c r="K123" s="24" t="s">
        <v>21</v>
      </c>
      <c r="L123" s="24" t="s">
        <v>21</v>
      </c>
      <c r="M123" s="24" t="s">
        <v>22</v>
      </c>
      <c r="N123" s="24">
        <v>44343</v>
      </c>
      <c r="O123" s="24" t="s">
        <v>21</v>
      </c>
    </row>
    <row r="124" spans="1:15" x14ac:dyDescent="0.25">
      <c r="A124" s="24" t="s">
        <v>84</v>
      </c>
      <c r="B124" s="24" t="s">
        <v>24</v>
      </c>
      <c r="C124" s="24">
        <v>655429</v>
      </c>
      <c r="D124" s="24" t="s">
        <v>385</v>
      </c>
      <c r="E124" s="24" t="s">
        <v>386</v>
      </c>
      <c r="F124" s="24" t="s">
        <v>261</v>
      </c>
      <c r="G124" s="24" t="s">
        <v>28</v>
      </c>
      <c r="H124" s="24">
        <v>204.44</v>
      </c>
      <c r="I124" s="24">
        <v>3.9590000000000001</v>
      </c>
      <c r="J124" s="24">
        <v>61.223999999999997</v>
      </c>
      <c r="K124" s="24" t="s">
        <v>21</v>
      </c>
      <c r="L124" s="24" t="s">
        <v>21</v>
      </c>
      <c r="M124" s="24" t="s">
        <v>22</v>
      </c>
      <c r="N124" s="24">
        <v>44344</v>
      </c>
      <c r="O124" s="24" t="s">
        <v>21</v>
      </c>
    </row>
    <row r="125" spans="1:15" x14ac:dyDescent="0.25">
      <c r="A125" s="24" t="s">
        <v>169</v>
      </c>
      <c r="B125" s="24" t="s">
        <v>169</v>
      </c>
      <c r="C125" s="24">
        <v>655216</v>
      </c>
      <c r="D125" s="24" t="s">
        <v>380</v>
      </c>
      <c r="E125" s="24" t="s">
        <v>387</v>
      </c>
      <c r="F125" s="24" t="s">
        <v>388</v>
      </c>
      <c r="G125" s="24" t="s">
        <v>389</v>
      </c>
      <c r="H125" s="24">
        <v>213.34540000000001</v>
      </c>
      <c r="I125" s="24">
        <v>6.6111000000000004</v>
      </c>
      <c r="J125" s="24">
        <v>41.783333333333331</v>
      </c>
      <c r="K125" s="24" t="s">
        <v>21</v>
      </c>
      <c r="L125" s="24" t="s">
        <v>21</v>
      </c>
      <c r="M125" s="24" t="s">
        <v>22</v>
      </c>
      <c r="N125" s="24">
        <v>44344</v>
      </c>
      <c r="O125" s="24" t="s">
        <v>21</v>
      </c>
    </row>
    <row r="126" spans="1:15" x14ac:dyDescent="0.25">
      <c r="A126" s="24" t="s">
        <v>84</v>
      </c>
      <c r="B126" s="24" t="s">
        <v>24</v>
      </c>
      <c r="C126" s="24">
        <v>655219</v>
      </c>
      <c r="D126" s="24" t="s">
        <v>390</v>
      </c>
      <c r="E126" s="24" t="s">
        <v>391</v>
      </c>
      <c r="F126" s="24" t="s">
        <v>392</v>
      </c>
      <c r="G126" s="24" t="s">
        <v>28</v>
      </c>
      <c r="H126" s="24">
        <v>270.55</v>
      </c>
      <c r="I126" s="24">
        <v>1.966</v>
      </c>
      <c r="J126" s="24">
        <v>96.683999999999997</v>
      </c>
      <c r="K126" s="24" t="s">
        <v>21</v>
      </c>
      <c r="L126" s="24" t="s">
        <v>21</v>
      </c>
      <c r="M126" s="24" t="s">
        <v>22</v>
      </c>
      <c r="N126" s="24">
        <v>44350</v>
      </c>
      <c r="O126" s="24" t="s">
        <v>21</v>
      </c>
    </row>
    <row r="127" spans="1:15" x14ac:dyDescent="0.25">
      <c r="A127" s="24" t="s">
        <v>169</v>
      </c>
      <c r="B127" s="24" t="s">
        <v>16</v>
      </c>
      <c r="C127" s="24" t="s">
        <v>393</v>
      </c>
      <c r="D127" s="24" t="s">
        <v>394</v>
      </c>
      <c r="E127" s="24" t="s">
        <v>395</v>
      </c>
      <c r="F127" s="24" t="s">
        <v>396</v>
      </c>
      <c r="G127" s="24" t="s">
        <v>174</v>
      </c>
      <c r="H127" s="24">
        <v>144.21260000000001</v>
      </c>
      <c r="I127" s="24">
        <v>2.5714299999999999</v>
      </c>
      <c r="J127" s="24">
        <v>68.283333333333331</v>
      </c>
      <c r="K127" s="24" t="s">
        <v>21</v>
      </c>
      <c r="L127" s="24" t="s">
        <v>21</v>
      </c>
      <c r="M127" s="24" t="s">
        <v>22</v>
      </c>
      <c r="N127" s="24">
        <v>44355</v>
      </c>
      <c r="O127" s="24" t="s">
        <v>21</v>
      </c>
    </row>
    <row r="128" spans="1:15" x14ac:dyDescent="0.25">
      <c r="A128" s="24" t="s">
        <v>15</v>
      </c>
      <c r="B128" s="24" t="s">
        <v>16</v>
      </c>
      <c r="C128" s="24">
        <v>1402167</v>
      </c>
      <c r="D128" s="24" t="s">
        <v>397</v>
      </c>
      <c r="E128" s="24" t="s">
        <v>398</v>
      </c>
      <c r="F128" s="24" t="s">
        <v>399</v>
      </c>
      <c r="G128" s="24" t="s">
        <v>59</v>
      </c>
      <c r="H128" s="24">
        <v>322.05</v>
      </c>
      <c r="I128" s="24">
        <v>0.98</v>
      </c>
      <c r="J128" s="24">
        <v>110.1</v>
      </c>
      <c r="K128" s="24" t="s">
        <v>21</v>
      </c>
      <c r="L128" s="24" t="s">
        <v>21</v>
      </c>
      <c r="M128" s="24" t="s">
        <v>47</v>
      </c>
      <c r="N128" s="24">
        <v>44356</v>
      </c>
      <c r="O128" s="24" t="s">
        <v>21</v>
      </c>
    </row>
    <row r="129" spans="1:15" x14ac:dyDescent="0.25">
      <c r="A129" s="24" t="s">
        <v>15</v>
      </c>
      <c r="B129" s="24" t="s">
        <v>16</v>
      </c>
      <c r="C129" s="24">
        <v>272925</v>
      </c>
      <c r="D129" s="24" t="s">
        <v>400</v>
      </c>
      <c r="E129" s="24" t="s">
        <v>401</v>
      </c>
      <c r="F129" s="24" t="s">
        <v>402</v>
      </c>
      <c r="G129" s="24" t="s">
        <v>403</v>
      </c>
      <c r="H129" s="24">
        <v>807.72</v>
      </c>
      <c r="I129" s="24">
        <v>3.53</v>
      </c>
      <c r="J129" s="24">
        <v>23.07</v>
      </c>
      <c r="K129" s="24" t="s">
        <v>21</v>
      </c>
      <c r="L129" s="24" t="s">
        <v>21</v>
      </c>
      <c r="M129" s="24" t="s">
        <v>22</v>
      </c>
      <c r="N129" s="24">
        <v>44361</v>
      </c>
      <c r="O129" s="24" t="s">
        <v>21</v>
      </c>
    </row>
    <row r="130" spans="1:15" x14ac:dyDescent="0.25">
      <c r="A130" s="24" t="s">
        <v>84</v>
      </c>
      <c r="B130" s="24" t="s">
        <v>24</v>
      </c>
      <c r="C130" s="24">
        <v>250939</v>
      </c>
      <c r="D130" s="24" t="s">
        <v>404</v>
      </c>
      <c r="E130" s="24" t="s">
        <v>405</v>
      </c>
      <c r="F130" s="24" t="s">
        <v>111</v>
      </c>
      <c r="G130" s="24" t="s">
        <v>28</v>
      </c>
      <c r="H130" s="24">
        <v>319.49099999999999</v>
      </c>
      <c r="I130" s="24">
        <v>5.875</v>
      </c>
      <c r="J130" s="24">
        <v>36.622999999999998</v>
      </c>
      <c r="K130" s="24" t="s">
        <v>21</v>
      </c>
      <c r="L130" s="24" t="s">
        <v>21</v>
      </c>
      <c r="M130" s="24" t="s">
        <v>22</v>
      </c>
      <c r="N130" s="24">
        <v>44362</v>
      </c>
      <c r="O130" s="24" t="s">
        <v>21</v>
      </c>
    </row>
    <row r="131" spans="1:15" x14ac:dyDescent="0.25">
      <c r="A131" s="24" t="s">
        <v>84</v>
      </c>
      <c r="B131" s="24" t="s">
        <v>24</v>
      </c>
      <c r="C131" s="24">
        <v>654784</v>
      </c>
      <c r="D131" s="24" t="s">
        <v>406</v>
      </c>
      <c r="E131" s="24" t="s">
        <v>407</v>
      </c>
      <c r="F131" s="24" t="s">
        <v>408</v>
      </c>
      <c r="G131" s="24" t="s">
        <v>28</v>
      </c>
      <c r="H131" s="24">
        <v>272.78399999999999</v>
      </c>
      <c r="I131" s="24">
        <v>3.488</v>
      </c>
      <c r="J131" s="24">
        <v>73.391999999999996</v>
      </c>
      <c r="K131" s="24" t="s">
        <v>21</v>
      </c>
      <c r="L131" s="24" t="s">
        <v>21</v>
      </c>
      <c r="M131" s="24" t="s">
        <v>22</v>
      </c>
      <c r="N131" s="24">
        <v>44363</v>
      </c>
      <c r="O131" s="24" t="s">
        <v>21</v>
      </c>
    </row>
    <row r="132" spans="1:15" x14ac:dyDescent="0.25">
      <c r="A132" s="24" t="s">
        <v>84</v>
      </c>
      <c r="B132" s="24" t="s">
        <v>24</v>
      </c>
      <c r="C132" s="24">
        <v>206679</v>
      </c>
      <c r="D132" s="24" t="s">
        <v>409</v>
      </c>
      <c r="E132" s="24" t="s">
        <v>410</v>
      </c>
      <c r="F132" s="24" t="s">
        <v>411</v>
      </c>
      <c r="G132" s="24" t="s">
        <v>28</v>
      </c>
      <c r="H132" s="24">
        <v>546.15700000000004</v>
      </c>
      <c r="I132" s="24">
        <v>5.6260000000000003</v>
      </c>
      <c r="J132" s="24">
        <v>46.268999999999998</v>
      </c>
      <c r="K132" s="24" t="s">
        <v>21</v>
      </c>
      <c r="L132" s="24" t="s">
        <v>21</v>
      </c>
      <c r="M132" s="24" t="s">
        <v>22</v>
      </c>
      <c r="N132" s="24">
        <v>44365</v>
      </c>
      <c r="O132" s="24" t="s">
        <v>21</v>
      </c>
    </row>
    <row r="133" spans="1:15" x14ac:dyDescent="0.25">
      <c r="A133" s="24" t="s">
        <v>169</v>
      </c>
      <c r="B133" s="24" t="s">
        <v>16</v>
      </c>
      <c r="C133" s="24" t="s">
        <v>412</v>
      </c>
      <c r="D133" s="24" t="s">
        <v>413</v>
      </c>
      <c r="E133" s="24" t="s">
        <v>407</v>
      </c>
      <c r="F133" s="24" t="s">
        <v>414</v>
      </c>
      <c r="G133" s="24" t="s">
        <v>248</v>
      </c>
      <c r="H133" s="24">
        <v>63.313099999999999</v>
      </c>
      <c r="I133" s="24">
        <v>1.7104999999999999</v>
      </c>
      <c r="J133" s="24">
        <v>79.133333333333326</v>
      </c>
      <c r="K133" s="24" t="s">
        <v>21</v>
      </c>
      <c r="L133" s="24" t="s">
        <v>21</v>
      </c>
      <c r="M133" s="24" t="s">
        <v>22</v>
      </c>
      <c r="N133" s="24">
        <v>44365</v>
      </c>
      <c r="O133" s="24" t="s">
        <v>21</v>
      </c>
    </row>
    <row r="134" spans="1:15" x14ac:dyDescent="0.25">
      <c r="A134" s="24" t="s">
        <v>84</v>
      </c>
      <c r="B134" s="24" t="s">
        <v>24</v>
      </c>
      <c r="C134" s="24">
        <v>150035</v>
      </c>
      <c r="D134" s="24" t="s">
        <v>415</v>
      </c>
      <c r="E134" s="24" t="s">
        <v>416</v>
      </c>
      <c r="F134" s="24" t="s">
        <v>417</v>
      </c>
      <c r="G134" s="24" t="s">
        <v>28</v>
      </c>
      <c r="H134" s="24">
        <v>507.66800000000001</v>
      </c>
      <c r="I134" s="24">
        <v>4.1870000000000003</v>
      </c>
      <c r="J134" s="24">
        <v>67.379000000000005</v>
      </c>
      <c r="K134" s="24" t="s">
        <v>21</v>
      </c>
      <c r="L134" s="24" t="s">
        <v>21</v>
      </c>
      <c r="M134" s="24" t="s">
        <v>22</v>
      </c>
      <c r="N134" s="24">
        <v>44365</v>
      </c>
      <c r="O134" s="24" t="s">
        <v>21</v>
      </c>
    </row>
    <row r="135" spans="1:15" x14ac:dyDescent="0.25">
      <c r="A135" s="24" t="s">
        <v>169</v>
      </c>
      <c r="B135" s="24" t="s">
        <v>16</v>
      </c>
      <c r="C135" s="24">
        <v>656401</v>
      </c>
      <c r="D135" s="24" t="s">
        <v>418</v>
      </c>
      <c r="E135" s="24" t="s">
        <v>419</v>
      </c>
      <c r="F135" s="24" t="s">
        <v>420</v>
      </c>
      <c r="G135" s="24" t="s">
        <v>331</v>
      </c>
      <c r="H135" s="24">
        <v>65.267099999999999</v>
      </c>
      <c r="I135" s="24">
        <v>4.0936899999999996</v>
      </c>
      <c r="J135" s="24">
        <v>79.050000000000011</v>
      </c>
      <c r="K135" s="24" t="s">
        <v>21</v>
      </c>
      <c r="L135" s="24" t="s">
        <v>21</v>
      </c>
      <c r="M135" s="24" t="s">
        <v>22</v>
      </c>
      <c r="N135" s="24">
        <v>44370</v>
      </c>
      <c r="O135" s="24" t="s">
        <v>21</v>
      </c>
    </row>
    <row r="136" spans="1:15" x14ac:dyDescent="0.25">
      <c r="A136" s="24" t="s">
        <v>84</v>
      </c>
      <c r="B136" s="24" t="s">
        <v>24</v>
      </c>
      <c r="C136" s="24">
        <v>655677</v>
      </c>
      <c r="D136" s="24" t="s">
        <v>421</v>
      </c>
      <c r="E136" s="24" t="s">
        <v>422</v>
      </c>
      <c r="F136" s="24" t="s">
        <v>31</v>
      </c>
      <c r="G136" s="24" t="s">
        <v>28</v>
      </c>
      <c r="H136" s="24">
        <v>517.46100000000001</v>
      </c>
      <c r="I136" s="24">
        <v>6.181</v>
      </c>
      <c r="J136" s="24">
        <v>74.322999999999993</v>
      </c>
      <c r="K136" s="24" t="s">
        <v>21</v>
      </c>
      <c r="L136" s="24" t="s">
        <v>21</v>
      </c>
      <c r="M136" s="24" t="s">
        <v>22</v>
      </c>
      <c r="N136" s="24">
        <v>44372</v>
      </c>
      <c r="O136" s="24" t="s">
        <v>21</v>
      </c>
    </row>
    <row r="137" spans="1:15" x14ac:dyDescent="0.25">
      <c r="A137" s="24" t="s">
        <v>169</v>
      </c>
      <c r="B137" s="24" t="s">
        <v>16</v>
      </c>
      <c r="C137" s="24">
        <v>538972</v>
      </c>
      <c r="D137" s="24" t="s">
        <v>423</v>
      </c>
      <c r="E137" s="24" t="s">
        <v>424</v>
      </c>
      <c r="F137" s="24" t="s">
        <v>388</v>
      </c>
      <c r="G137" s="24" t="s">
        <v>389</v>
      </c>
      <c r="H137" s="24">
        <v>206.46619999999999</v>
      </c>
      <c r="I137" s="24">
        <v>5.3274699999999999</v>
      </c>
      <c r="J137" s="24">
        <v>49.31666666666667</v>
      </c>
      <c r="K137" s="24" t="s">
        <v>21</v>
      </c>
      <c r="L137" s="24" t="s">
        <v>21</v>
      </c>
      <c r="M137" s="24" t="s">
        <v>22</v>
      </c>
      <c r="N137" s="24">
        <v>44372</v>
      </c>
      <c r="O137" s="24" t="s">
        <v>21</v>
      </c>
    </row>
    <row r="138" spans="1:15" x14ac:dyDescent="0.25">
      <c r="A138" s="24" t="s">
        <v>169</v>
      </c>
      <c r="B138" s="24" t="s">
        <v>16</v>
      </c>
      <c r="C138" s="24">
        <v>298928</v>
      </c>
      <c r="D138" s="24" t="s">
        <v>425</v>
      </c>
      <c r="E138" s="24" t="s">
        <v>422</v>
      </c>
      <c r="F138" s="24" t="s">
        <v>426</v>
      </c>
      <c r="G138" s="24" t="s">
        <v>331</v>
      </c>
      <c r="H138" s="24">
        <v>69.249799999999993</v>
      </c>
      <c r="I138" s="24">
        <v>2.7888099999999998</v>
      </c>
      <c r="J138" s="24">
        <v>144.26666666666671</v>
      </c>
      <c r="K138" s="24" t="s">
        <v>21</v>
      </c>
      <c r="L138" s="24" t="s">
        <v>21</v>
      </c>
      <c r="M138" s="24" t="s">
        <v>22</v>
      </c>
      <c r="N138" s="24">
        <v>44375</v>
      </c>
      <c r="O138" s="24" t="s">
        <v>21</v>
      </c>
    </row>
    <row r="139" spans="1:15" x14ac:dyDescent="0.25">
      <c r="A139" s="24" t="s">
        <v>169</v>
      </c>
      <c r="B139" s="24" t="s">
        <v>16</v>
      </c>
      <c r="C139" s="24">
        <v>298928</v>
      </c>
      <c r="D139" s="24"/>
      <c r="E139" s="24" t="s">
        <v>422</v>
      </c>
      <c r="F139" s="24" t="s">
        <v>426</v>
      </c>
      <c r="G139" s="24" t="s">
        <v>331</v>
      </c>
      <c r="H139" s="24">
        <v>25.716100000000001</v>
      </c>
      <c r="I139" s="24">
        <v>1.0080199999999999</v>
      </c>
      <c r="J139" s="24">
        <v>71.38333333333334</v>
      </c>
      <c r="K139" s="24" t="s">
        <v>21</v>
      </c>
      <c r="L139" s="24" t="s">
        <v>90</v>
      </c>
      <c r="M139" s="24" t="s">
        <v>22</v>
      </c>
      <c r="N139" s="24">
        <v>44375</v>
      </c>
      <c r="O139" s="24" t="s">
        <v>90</v>
      </c>
    </row>
    <row r="140" spans="1:15" x14ac:dyDescent="0.25">
      <c r="A140" s="24" t="s">
        <v>144</v>
      </c>
      <c r="B140" s="24" t="s">
        <v>24</v>
      </c>
      <c r="C140" s="24">
        <v>423793</v>
      </c>
      <c r="D140" s="24" t="s">
        <v>427</v>
      </c>
      <c r="E140" s="24" t="s">
        <v>428</v>
      </c>
      <c r="F140" s="24" t="s">
        <v>37</v>
      </c>
      <c r="G140" s="24" t="e">
        <v>#N/A</v>
      </c>
      <c r="H140" s="24">
        <v>485.21839999999997</v>
      </c>
      <c r="I140" s="24">
        <v>5.8826099999999997</v>
      </c>
      <c r="J140" s="24">
        <v>63.93333333333333</v>
      </c>
      <c r="K140" s="24" t="s">
        <v>21</v>
      </c>
      <c r="L140" s="24" t="s">
        <v>21</v>
      </c>
      <c r="M140" s="24" t="s">
        <v>22</v>
      </c>
      <c r="N140" s="24">
        <v>44377</v>
      </c>
      <c r="O140" s="24" t="s">
        <v>21</v>
      </c>
    </row>
    <row r="141" spans="1:15" x14ac:dyDescent="0.25">
      <c r="A141" s="24" t="s">
        <v>169</v>
      </c>
      <c r="B141" s="24" t="s">
        <v>16</v>
      </c>
      <c r="C141" s="24">
        <v>656962</v>
      </c>
      <c r="D141" s="24" t="s">
        <v>429</v>
      </c>
      <c r="E141" s="24" t="s">
        <v>430</v>
      </c>
      <c r="F141" s="24" t="s">
        <v>431</v>
      </c>
      <c r="G141" s="24" t="s">
        <v>331</v>
      </c>
      <c r="H141" s="24">
        <v>88.825299999999999</v>
      </c>
      <c r="I141" s="24">
        <v>4.6052599999999986</v>
      </c>
      <c r="J141" s="24">
        <v>98.283333333333331</v>
      </c>
      <c r="K141" s="24" t="s">
        <v>21</v>
      </c>
      <c r="L141" s="24" t="s">
        <v>21</v>
      </c>
      <c r="M141" s="24" t="s">
        <v>47</v>
      </c>
      <c r="N141" s="24">
        <v>44383</v>
      </c>
      <c r="O141" s="24" t="s">
        <v>21</v>
      </c>
    </row>
    <row r="142" spans="1:15" x14ac:dyDescent="0.25">
      <c r="A142" s="24" t="s">
        <v>84</v>
      </c>
      <c r="B142" s="24" t="s">
        <v>24</v>
      </c>
      <c r="C142" s="24">
        <v>224160</v>
      </c>
      <c r="D142" s="24" t="s">
        <v>432</v>
      </c>
      <c r="E142" s="24" t="s">
        <v>433</v>
      </c>
      <c r="F142" s="24" t="s">
        <v>402</v>
      </c>
      <c r="G142" s="24" t="s">
        <v>28</v>
      </c>
      <c r="H142" s="24">
        <v>274.93200000000002</v>
      </c>
      <c r="I142" s="24">
        <v>4.2089999999999996</v>
      </c>
      <c r="J142" s="24">
        <v>63.526000000000003</v>
      </c>
      <c r="K142" s="24" t="s">
        <v>21</v>
      </c>
      <c r="L142" s="24" t="s">
        <v>21</v>
      </c>
      <c r="M142" s="24" t="s">
        <v>47</v>
      </c>
      <c r="N142" s="24">
        <v>44385</v>
      </c>
      <c r="O142" s="24" t="s">
        <v>21</v>
      </c>
    </row>
    <row r="143" spans="1:15" x14ac:dyDescent="0.25">
      <c r="A143" s="24" t="s">
        <v>84</v>
      </c>
      <c r="B143" s="24" t="s">
        <v>24</v>
      </c>
      <c r="C143" s="24">
        <v>50446</v>
      </c>
      <c r="D143" s="24" t="s">
        <v>434</v>
      </c>
      <c r="E143" s="24" t="s">
        <v>433</v>
      </c>
      <c r="F143" s="24" t="s">
        <v>435</v>
      </c>
      <c r="G143" s="24" t="s">
        <v>28</v>
      </c>
      <c r="H143" s="24">
        <v>421.58100000000002</v>
      </c>
      <c r="I143" s="24">
        <v>7.8929999999999998</v>
      </c>
      <c r="J143" s="24">
        <v>36.840000000000003</v>
      </c>
      <c r="K143" s="24" t="s">
        <v>21</v>
      </c>
      <c r="L143" s="24" t="s">
        <v>21</v>
      </c>
      <c r="M143" s="24" t="s">
        <v>47</v>
      </c>
      <c r="N143" s="24">
        <v>44385</v>
      </c>
      <c r="O143" s="24" t="s">
        <v>21</v>
      </c>
    </row>
    <row r="144" spans="1:15" x14ac:dyDescent="0.25">
      <c r="A144" s="24" t="s">
        <v>169</v>
      </c>
      <c r="B144" s="24" t="s">
        <v>16</v>
      </c>
      <c r="C144" s="24">
        <v>129405</v>
      </c>
      <c r="D144" s="24" t="s">
        <v>436</v>
      </c>
      <c r="E144" s="24" t="s">
        <v>437</v>
      </c>
      <c r="F144" s="24" t="s">
        <v>438</v>
      </c>
      <c r="G144" s="24" t="s">
        <v>389</v>
      </c>
      <c r="H144" s="24">
        <v>129.78139999999999</v>
      </c>
      <c r="I144" s="24">
        <v>10.111370000000001</v>
      </c>
      <c r="J144" s="24">
        <v>44.483333333333327</v>
      </c>
      <c r="K144" s="24" t="s">
        <v>21</v>
      </c>
      <c r="L144" s="24" t="s">
        <v>21</v>
      </c>
      <c r="M144" s="24" t="s">
        <v>47</v>
      </c>
      <c r="N144" s="24">
        <v>44392</v>
      </c>
      <c r="O144" s="24" t="s">
        <v>21</v>
      </c>
    </row>
    <row r="145" spans="1:15" x14ac:dyDescent="0.25">
      <c r="A145" s="24" t="s">
        <v>84</v>
      </c>
      <c r="B145" s="24" t="s">
        <v>24</v>
      </c>
      <c r="C145" s="24">
        <v>212464</v>
      </c>
      <c r="D145" s="24" t="s">
        <v>439</v>
      </c>
      <c r="E145" s="24" t="s">
        <v>440</v>
      </c>
      <c r="F145" s="24" t="s">
        <v>441</v>
      </c>
      <c r="G145" s="24" t="s">
        <v>28</v>
      </c>
      <c r="H145" s="24">
        <v>463.79399999999998</v>
      </c>
      <c r="I145" s="24">
        <v>7.9109999999999996</v>
      </c>
      <c r="J145" s="24">
        <v>62.146999999999998</v>
      </c>
      <c r="K145" s="24" t="s">
        <v>21</v>
      </c>
      <c r="L145" s="24" t="s">
        <v>21</v>
      </c>
      <c r="M145" s="24" t="s">
        <v>47</v>
      </c>
      <c r="N145" s="24">
        <v>44393</v>
      </c>
      <c r="O145" s="24" t="s">
        <v>21</v>
      </c>
    </row>
    <row r="146" spans="1:15" x14ac:dyDescent="0.25">
      <c r="A146" s="24" t="s">
        <v>84</v>
      </c>
      <c r="B146" s="24" t="s">
        <v>24</v>
      </c>
      <c r="C146" s="24">
        <v>652278</v>
      </c>
      <c r="D146" s="24" t="s">
        <v>442</v>
      </c>
      <c r="E146" s="24" t="s">
        <v>443</v>
      </c>
      <c r="F146" s="24" t="s">
        <v>111</v>
      </c>
      <c r="G146" s="24" t="s">
        <v>28</v>
      </c>
      <c r="H146" s="24">
        <v>313.39299999999997</v>
      </c>
      <c r="I146" s="24">
        <v>3.6070000000000002</v>
      </c>
      <c r="J146" s="24">
        <v>81.728999999999999</v>
      </c>
      <c r="K146" s="24" t="s">
        <v>21</v>
      </c>
      <c r="L146" s="24" t="s">
        <v>21</v>
      </c>
      <c r="M146" s="24" t="s">
        <v>47</v>
      </c>
      <c r="N146" s="24">
        <v>44397</v>
      </c>
      <c r="O146" s="24" t="s">
        <v>21</v>
      </c>
    </row>
    <row r="147" spans="1:15" x14ac:dyDescent="0.25">
      <c r="A147" s="24" t="s">
        <v>169</v>
      </c>
      <c r="B147" s="24" t="s">
        <v>16</v>
      </c>
      <c r="C147" s="24" t="s">
        <v>444</v>
      </c>
      <c r="D147" s="24"/>
      <c r="E147" s="24" t="s">
        <v>445</v>
      </c>
      <c r="F147" s="24" t="s">
        <v>361</v>
      </c>
      <c r="G147" s="24" t="s">
        <v>174</v>
      </c>
      <c r="H147" s="24">
        <v>98.125299999999996</v>
      </c>
      <c r="I147" s="24">
        <v>1.4544699999999999</v>
      </c>
      <c r="J147" s="24">
        <v>70.533333333333331</v>
      </c>
      <c r="K147" s="24" t="s">
        <v>21</v>
      </c>
      <c r="L147" s="24" t="s">
        <v>90</v>
      </c>
      <c r="M147" s="24" t="s">
        <v>22</v>
      </c>
      <c r="N147" s="24">
        <v>44406</v>
      </c>
      <c r="O147" s="24" t="s">
        <v>90</v>
      </c>
    </row>
    <row r="148" spans="1:15" x14ac:dyDescent="0.25">
      <c r="A148" s="24" t="s">
        <v>84</v>
      </c>
      <c r="B148" s="24" t="s">
        <v>24</v>
      </c>
      <c r="C148" s="24">
        <v>150057</v>
      </c>
      <c r="D148" s="24" t="s">
        <v>446</v>
      </c>
      <c r="E148" s="24" t="s">
        <v>447</v>
      </c>
      <c r="F148" s="24" t="s">
        <v>448</v>
      </c>
      <c r="G148" s="24" t="s">
        <v>28</v>
      </c>
      <c r="H148" s="24">
        <v>548.65499999999997</v>
      </c>
      <c r="I148" s="24">
        <v>5.8970000000000002</v>
      </c>
      <c r="J148" s="24">
        <v>106.325</v>
      </c>
      <c r="K148" s="24" t="s">
        <v>21</v>
      </c>
      <c r="L148" s="24" t="s">
        <v>21</v>
      </c>
      <c r="M148" s="24" t="s">
        <v>22</v>
      </c>
      <c r="N148" s="24">
        <v>44406</v>
      </c>
      <c r="O148" s="24" t="s">
        <v>21</v>
      </c>
    </row>
    <row r="149" spans="1:15" x14ac:dyDescent="0.25">
      <c r="A149" s="24" t="s">
        <v>84</v>
      </c>
      <c r="B149" s="24" t="s">
        <v>24</v>
      </c>
      <c r="C149" s="24">
        <v>160933</v>
      </c>
      <c r="D149" s="24" t="s">
        <v>449</v>
      </c>
      <c r="E149" s="24" t="s">
        <v>450</v>
      </c>
      <c r="F149" s="24" t="s">
        <v>451</v>
      </c>
      <c r="G149" s="24" t="s">
        <v>28</v>
      </c>
      <c r="H149" s="24">
        <v>543.75400000000002</v>
      </c>
      <c r="I149" s="24">
        <v>4.7039999999999997</v>
      </c>
      <c r="J149" s="24">
        <v>39.414000000000001</v>
      </c>
      <c r="K149" s="24" t="s">
        <v>21</v>
      </c>
      <c r="L149" s="24" t="s">
        <v>21</v>
      </c>
      <c r="M149" s="24" t="s">
        <v>22</v>
      </c>
      <c r="N149" s="24">
        <v>44406</v>
      </c>
      <c r="O149" s="24" t="s">
        <v>21</v>
      </c>
    </row>
    <row r="150" spans="1:15" x14ac:dyDescent="0.25">
      <c r="A150" s="24" t="s">
        <v>169</v>
      </c>
      <c r="B150" s="24" t="s">
        <v>16</v>
      </c>
      <c r="C150" s="24">
        <v>1700583</v>
      </c>
      <c r="D150" s="24" t="s">
        <v>452</v>
      </c>
      <c r="E150" s="24" t="s">
        <v>445</v>
      </c>
      <c r="F150" s="24" t="s">
        <v>361</v>
      </c>
      <c r="G150" s="24" t="s">
        <v>174</v>
      </c>
      <c r="H150" s="24">
        <v>229.3819</v>
      </c>
      <c r="I150" s="24">
        <v>4.76431</v>
      </c>
      <c r="J150" s="24">
        <v>130.5</v>
      </c>
      <c r="K150" s="24" t="s">
        <v>21</v>
      </c>
      <c r="L150" s="24" t="s">
        <v>21</v>
      </c>
      <c r="M150" s="24" t="s">
        <v>22</v>
      </c>
      <c r="N150" s="24">
        <v>44406</v>
      </c>
      <c r="O150" s="24" t="s">
        <v>21</v>
      </c>
    </row>
    <row r="151" spans="1:15" x14ac:dyDescent="0.25">
      <c r="A151" s="24" t="s">
        <v>169</v>
      </c>
      <c r="B151" s="24" t="s">
        <v>16</v>
      </c>
      <c r="C151" s="24">
        <v>657394</v>
      </c>
      <c r="D151" s="24"/>
      <c r="E151" s="24" t="s">
        <v>453</v>
      </c>
      <c r="F151" s="24" t="s">
        <v>454</v>
      </c>
      <c r="G151" s="24" t="s">
        <v>331</v>
      </c>
      <c r="H151" s="24">
        <v>82.608199999999997</v>
      </c>
      <c r="I151" s="24">
        <v>2.6355599999999999</v>
      </c>
      <c r="J151" s="24">
        <v>98.483333333333334</v>
      </c>
      <c r="K151" s="24" t="s">
        <v>21</v>
      </c>
      <c r="L151" s="24" t="s">
        <v>90</v>
      </c>
      <c r="M151" s="24" t="s">
        <v>22</v>
      </c>
      <c r="N151" s="24">
        <v>44410</v>
      </c>
      <c r="O151" s="24" t="s">
        <v>90</v>
      </c>
    </row>
    <row r="152" spans="1:15" x14ac:dyDescent="0.25">
      <c r="A152" s="24" t="s">
        <v>169</v>
      </c>
      <c r="B152" s="24" t="s">
        <v>16</v>
      </c>
      <c r="C152" s="24">
        <v>657394</v>
      </c>
      <c r="D152" s="24" t="s">
        <v>455</v>
      </c>
      <c r="E152" s="24" t="s">
        <v>453</v>
      </c>
      <c r="F152" s="24" t="s">
        <v>454</v>
      </c>
      <c r="G152" s="24" t="s">
        <v>331</v>
      </c>
      <c r="H152" s="24">
        <v>226.09209999999999</v>
      </c>
      <c r="I152" s="24">
        <v>6.0798899999999998</v>
      </c>
      <c r="J152" s="24">
        <v>187.3666666666667</v>
      </c>
      <c r="K152" s="24" t="s">
        <v>21</v>
      </c>
      <c r="L152" s="24" t="s">
        <v>21</v>
      </c>
      <c r="M152" s="24" t="s">
        <v>22</v>
      </c>
      <c r="N152" s="24">
        <v>44410</v>
      </c>
      <c r="O152" s="24" t="s">
        <v>21</v>
      </c>
    </row>
    <row r="153" spans="1:15" x14ac:dyDescent="0.25">
      <c r="A153" s="24" t="s">
        <v>84</v>
      </c>
      <c r="B153" s="24" t="s">
        <v>24</v>
      </c>
      <c r="C153" s="24">
        <v>657765</v>
      </c>
      <c r="D153" s="24" t="s">
        <v>456</v>
      </c>
      <c r="E153" s="24" t="s">
        <v>457</v>
      </c>
      <c r="F153" s="24" t="s">
        <v>143</v>
      </c>
      <c r="G153" s="24" t="s">
        <v>28</v>
      </c>
      <c r="H153" s="24">
        <v>596.37900000000002</v>
      </c>
      <c r="I153" s="24">
        <v>6.5069999999999997</v>
      </c>
      <c r="J153" s="24">
        <v>66.704999999999998</v>
      </c>
      <c r="K153" s="24" t="s">
        <v>21</v>
      </c>
      <c r="L153" s="24" t="s">
        <v>21</v>
      </c>
      <c r="M153" s="24" t="s">
        <v>22</v>
      </c>
      <c r="N153" s="24">
        <v>44410</v>
      </c>
      <c r="O153" s="24" t="s">
        <v>21</v>
      </c>
    </row>
    <row r="154" spans="1:15" x14ac:dyDescent="0.25">
      <c r="A154" s="24" t="s">
        <v>84</v>
      </c>
      <c r="B154" s="24" t="s">
        <v>24</v>
      </c>
      <c r="C154" s="24">
        <v>146306</v>
      </c>
      <c r="D154" s="24" t="s">
        <v>458</v>
      </c>
      <c r="E154" s="24" t="s">
        <v>459</v>
      </c>
      <c r="F154" s="24" t="s">
        <v>460</v>
      </c>
      <c r="G154" s="24" t="s">
        <v>28</v>
      </c>
      <c r="H154" s="24">
        <v>345.483</v>
      </c>
      <c r="I154" s="24">
        <v>4.2009999999999996</v>
      </c>
      <c r="J154" s="24">
        <v>69.25</v>
      </c>
      <c r="K154" s="24" t="s">
        <v>21</v>
      </c>
      <c r="L154" s="24" t="s">
        <v>21</v>
      </c>
      <c r="M154" s="24" t="s">
        <v>22</v>
      </c>
      <c r="N154" s="24">
        <v>44410</v>
      </c>
      <c r="O154" s="24" t="s">
        <v>21</v>
      </c>
    </row>
    <row r="155" spans="1:15" x14ac:dyDescent="0.25">
      <c r="A155" s="24" t="s">
        <v>84</v>
      </c>
      <c r="B155" s="24" t="s">
        <v>24</v>
      </c>
      <c r="C155" s="24">
        <v>58531</v>
      </c>
      <c r="D155" s="24" t="s">
        <v>461</v>
      </c>
      <c r="E155" s="24" t="s">
        <v>462</v>
      </c>
      <c r="F155" s="24" t="s">
        <v>463</v>
      </c>
      <c r="G155" s="24" t="s">
        <v>28</v>
      </c>
      <c r="H155" s="24">
        <v>856.24900000000002</v>
      </c>
      <c r="I155" s="24">
        <v>8.9870000000000001</v>
      </c>
      <c r="J155" s="24">
        <v>70.36</v>
      </c>
      <c r="K155" s="24" t="s">
        <v>21</v>
      </c>
      <c r="L155" s="24" t="s">
        <v>21</v>
      </c>
      <c r="M155" s="24" t="s">
        <v>22</v>
      </c>
      <c r="N155" s="24">
        <v>44412</v>
      </c>
      <c r="O155" s="24" t="s">
        <v>21</v>
      </c>
    </row>
    <row r="156" spans="1:15" x14ac:dyDescent="0.25">
      <c r="A156" s="24" t="s">
        <v>15</v>
      </c>
      <c r="B156" s="24" t="s">
        <v>16</v>
      </c>
      <c r="C156" s="24">
        <v>179021</v>
      </c>
      <c r="D156" s="24" t="s">
        <v>464</v>
      </c>
      <c r="E156" s="24" t="s">
        <v>465</v>
      </c>
      <c r="F156" s="24" t="s">
        <v>466</v>
      </c>
      <c r="G156" s="24" t="s">
        <v>71</v>
      </c>
      <c r="H156" s="24">
        <v>440.25</v>
      </c>
      <c r="I156" s="24">
        <v>1.38</v>
      </c>
      <c r="J156" s="24">
        <v>64.63</v>
      </c>
      <c r="K156" s="24" t="s">
        <v>21</v>
      </c>
      <c r="L156" s="24" t="s">
        <v>21</v>
      </c>
      <c r="M156" s="24" t="s">
        <v>22</v>
      </c>
      <c r="N156" s="24">
        <v>44413</v>
      </c>
      <c r="O156" s="24" t="s">
        <v>21</v>
      </c>
    </row>
    <row r="157" spans="1:15" x14ac:dyDescent="0.25">
      <c r="A157" s="24" t="s">
        <v>84</v>
      </c>
      <c r="B157" s="24" t="s">
        <v>24</v>
      </c>
      <c r="C157" s="24">
        <v>657910</v>
      </c>
      <c r="D157" s="24" t="s">
        <v>467</v>
      </c>
      <c r="E157" s="24" t="s">
        <v>465</v>
      </c>
      <c r="F157" s="24" t="s">
        <v>468</v>
      </c>
      <c r="G157" s="24" t="s">
        <v>28</v>
      </c>
      <c r="H157" s="24">
        <v>397.41899999999998</v>
      </c>
      <c r="I157" s="24">
        <v>5.7469999999999999</v>
      </c>
      <c r="J157" s="24">
        <v>54.59</v>
      </c>
      <c r="K157" s="24" t="s">
        <v>21</v>
      </c>
      <c r="L157" s="24" t="s">
        <v>21</v>
      </c>
      <c r="M157" s="24" t="s">
        <v>22</v>
      </c>
      <c r="N157" s="24">
        <v>44413</v>
      </c>
      <c r="O157" s="24" t="s">
        <v>21</v>
      </c>
    </row>
    <row r="158" spans="1:15" x14ac:dyDescent="0.25">
      <c r="A158" s="24" t="s">
        <v>169</v>
      </c>
      <c r="B158" s="24" t="s">
        <v>16</v>
      </c>
      <c r="C158" s="24" t="s">
        <v>469</v>
      </c>
      <c r="D158" s="24" t="s">
        <v>470</v>
      </c>
      <c r="E158" s="24" t="s">
        <v>471</v>
      </c>
      <c r="F158" s="24" t="s">
        <v>472</v>
      </c>
      <c r="G158" s="24" t="s">
        <v>174</v>
      </c>
      <c r="H158" s="24">
        <v>114.5356</v>
      </c>
      <c r="I158" s="24">
        <v>2.65767</v>
      </c>
      <c r="J158" s="24">
        <v>65.7</v>
      </c>
      <c r="K158" s="24" t="s">
        <v>21</v>
      </c>
      <c r="L158" s="24" t="s">
        <v>21</v>
      </c>
      <c r="M158" s="24" t="s">
        <v>22</v>
      </c>
      <c r="N158" s="24">
        <v>44413</v>
      </c>
      <c r="O158" s="24" t="s">
        <v>21</v>
      </c>
    </row>
    <row r="159" spans="1:15" x14ac:dyDescent="0.25">
      <c r="A159" s="24" t="s">
        <v>169</v>
      </c>
      <c r="B159" s="24" t="s">
        <v>16</v>
      </c>
      <c r="C159" s="24">
        <v>657994</v>
      </c>
      <c r="D159" s="24"/>
      <c r="E159" s="24" t="s">
        <v>473</v>
      </c>
      <c r="F159" s="24" t="s">
        <v>127</v>
      </c>
      <c r="G159" s="24" t="s">
        <v>289</v>
      </c>
      <c r="H159" s="24">
        <v>35.491700000000002</v>
      </c>
      <c r="I159" s="24">
        <v>0.75133000000000005</v>
      </c>
      <c r="J159" s="24">
        <v>86.433333333333337</v>
      </c>
      <c r="K159" s="24" t="s">
        <v>21</v>
      </c>
      <c r="L159" s="24" t="s">
        <v>90</v>
      </c>
      <c r="M159" s="24" t="s">
        <v>22</v>
      </c>
      <c r="N159" s="24">
        <v>44419</v>
      </c>
      <c r="O159" s="24" t="s">
        <v>90</v>
      </c>
    </row>
    <row r="160" spans="1:15" x14ac:dyDescent="0.25">
      <c r="A160" s="24" t="s">
        <v>169</v>
      </c>
      <c r="B160" s="24" t="s">
        <v>16</v>
      </c>
      <c r="C160" s="24">
        <v>657994</v>
      </c>
      <c r="D160" s="24" t="s">
        <v>474</v>
      </c>
      <c r="E160" s="24" t="s">
        <v>473</v>
      </c>
      <c r="F160" s="24" t="s">
        <v>127</v>
      </c>
      <c r="G160" s="24" t="s">
        <v>289</v>
      </c>
      <c r="H160" s="24">
        <v>183.3997</v>
      </c>
      <c r="I160" s="24">
        <v>3.7349000000000001</v>
      </c>
      <c r="J160" s="24">
        <v>164.2</v>
      </c>
      <c r="K160" s="24" t="s">
        <v>21</v>
      </c>
      <c r="L160" s="24" t="s">
        <v>21</v>
      </c>
      <c r="M160" s="24" t="s">
        <v>22</v>
      </c>
      <c r="N160" s="24">
        <v>44419</v>
      </c>
      <c r="O160" s="24" t="s">
        <v>21</v>
      </c>
    </row>
    <row r="161" spans="1:15" x14ac:dyDescent="0.25">
      <c r="A161" s="24" t="s">
        <v>169</v>
      </c>
      <c r="B161" s="24" t="s">
        <v>16</v>
      </c>
      <c r="C161" s="24">
        <v>1701767</v>
      </c>
      <c r="D161" s="24" t="s">
        <v>475</v>
      </c>
      <c r="E161" s="24" t="s">
        <v>476</v>
      </c>
      <c r="F161" s="24" t="s">
        <v>477</v>
      </c>
      <c r="G161" s="24" t="s">
        <v>174</v>
      </c>
      <c r="H161" s="24">
        <v>95.538000000000011</v>
      </c>
      <c r="I161" s="24">
        <v>1.0002899999999999</v>
      </c>
      <c r="J161" s="24">
        <v>87.366666666666674</v>
      </c>
      <c r="K161" s="24" t="s">
        <v>21</v>
      </c>
      <c r="L161" s="24" t="s">
        <v>21</v>
      </c>
      <c r="M161" s="24" t="s">
        <v>22</v>
      </c>
      <c r="N161" s="24">
        <v>44419</v>
      </c>
      <c r="O161" s="24" t="s">
        <v>21</v>
      </c>
    </row>
    <row r="162" spans="1:15" x14ac:dyDescent="0.25">
      <c r="A162" s="24" t="s">
        <v>15</v>
      </c>
      <c r="B162" s="24" t="s">
        <v>16</v>
      </c>
      <c r="C162" s="24">
        <v>574851</v>
      </c>
      <c r="D162" s="24" t="s">
        <v>478</v>
      </c>
      <c r="E162" s="24" t="s">
        <v>479</v>
      </c>
      <c r="F162" s="24" t="s">
        <v>43</v>
      </c>
      <c r="G162" s="24" t="s">
        <v>232</v>
      </c>
      <c r="H162" s="24">
        <v>221.98</v>
      </c>
      <c r="I162" s="24">
        <v>1.01</v>
      </c>
      <c r="J162" s="24">
        <v>120.15</v>
      </c>
      <c r="K162" s="24" t="s">
        <v>21</v>
      </c>
      <c r="L162" s="24" t="s">
        <v>21</v>
      </c>
      <c r="M162" s="24" t="s">
        <v>22</v>
      </c>
      <c r="N162" s="24">
        <v>44421</v>
      </c>
      <c r="O162" s="24" t="s">
        <v>21</v>
      </c>
    </row>
    <row r="163" spans="1:15" x14ac:dyDescent="0.25">
      <c r="A163" s="24" t="s">
        <v>84</v>
      </c>
      <c r="B163" s="24" t="s">
        <v>24</v>
      </c>
      <c r="C163" s="24">
        <v>254889</v>
      </c>
      <c r="D163" s="24" t="s">
        <v>480</v>
      </c>
      <c r="E163" s="24" t="s">
        <v>481</v>
      </c>
      <c r="F163" s="24" t="s">
        <v>482</v>
      </c>
      <c r="G163" s="24" t="s">
        <v>28</v>
      </c>
      <c r="H163" s="24">
        <v>337.68299999999999</v>
      </c>
      <c r="I163" s="24">
        <v>5.7130000000000001</v>
      </c>
      <c r="J163" s="24">
        <v>36.963999999999999</v>
      </c>
      <c r="K163" s="24" t="s">
        <v>21</v>
      </c>
      <c r="L163" s="24" t="s">
        <v>21</v>
      </c>
      <c r="M163" s="24" t="s">
        <v>22</v>
      </c>
      <c r="N163" s="24">
        <v>44432</v>
      </c>
      <c r="O163" s="24" t="s">
        <v>21</v>
      </c>
    </row>
    <row r="164" spans="1:15" x14ac:dyDescent="0.25">
      <c r="A164" s="24" t="s">
        <v>169</v>
      </c>
      <c r="B164" s="24" t="s">
        <v>16</v>
      </c>
      <c r="C164" s="24" t="s">
        <v>483</v>
      </c>
      <c r="D164" s="24" t="s">
        <v>484</v>
      </c>
      <c r="E164" s="24" t="s">
        <v>485</v>
      </c>
      <c r="F164" s="24" t="s">
        <v>486</v>
      </c>
      <c r="G164" s="24" t="s">
        <v>248</v>
      </c>
      <c r="H164" s="24">
        <v>182.96969999999999</v>
      </c>
      <c r="I164" s="24">
        <v>7.2985300000000004</v>
      </c>
      <c r="J164" s="24">
        <v>148.80000000000001</v>
      </c>
      <c r="K164" s="24" t="s">
        <v>21</v>
      </c>
      <c r="L164" s="24" t="s">
        <v>21</v>
      </c>
      <c r="M164" s="24" t="s">
        <v>22</v>
      </c>
      <c r="N164" s="24">
        <v>44439</v>
      </c>
      <c r="O164" s="24" t="s">
        <v>21</v>
      </c>
    </row>
    <row r="165" spans="1:15" x14ac:dyDescent="0.25">
      <c r="A165" s="24" t="s">
        <v>169</v>
      </c>
      <c r="B165" s="24" t="s">
        <v>16</v>
      </c>
      <c r="C165" s="24" t="s">
        <v>483</v>
      </c>
      <c r="D165" s="24" t="s">
        <v>484</v>
      </c>
      <c r="E165" s="24" t="s">
        <v>485</v>
      </c>
      <c r="F165" s="24" t="s">
        <v>486</v>
      </c>
      <c r="G165" s="24" t="s">
        <v>248</v>
      </c>
      <c r="H165" s="24">
        <v>36.2483</v>
      </c>
      <c r="I165" s="24">
        <v>1.4512499999999999</v>
      </c>
      <c r="J165" s="24">
        <v>63.033333333333331</v>
      </c>
      <c r="K165" s="24" t="s">
        <v>21</v>
      </c>
      <c r="L165" s="24" t="s">
        <v>90</v>
      </c>
      <c r="M165" s="24" t="s">
        <v>22</v>
      </c>
      <c r="N165" s="24">
        <v>44439</v>
      </c>
      <c r="O165" s="24" t="s">
        <v>90</v>
      </c>
    </row>
    <row r="166" spans="1:15" x14ac:dyDescent="0.25">
      <c r="A166" s="24" t="s">
        <v>169</v>
      </c>
      <c r="B166" s="24" t="s">
        <v>16</v>
      </c>
      <c r="C166" s="24">
        <v>298588</v>
      </c>
      <c r="D166" s="24" t="s">
        <v>487</v>
      </c>
      <c r="E166" s="24" t="s">
        <v>488</v>
      </c>
      <c r="F166" s="24" t="s">
        <v>489</v>
      </c>
      <c r="G166" s="24" t="s">
        <v>67</v>
      </c>
      <c r="H166" s="24">
        <v>130.32149999999999</v>
      </c>
      <c r="I166" s="24">
        <v>3.0858599999999998</v>
      </c>
      <c r="J166" s="24">
        <v>63.81666666666667</v>
      </c>
      <c r="K166" s="24" t="s">
        <v>21</v>
      </c>
      <c r="L166" s="24" t="s">
        <v>21</v>
      </c>
      <c r="M166" s="24" t="s">
        <v>47</v>
      </c>
      <c r="N166" s="24">
        <v>44442</v>
      </c>
      <c r="O166" s="24" t="s">
        <v>21</v>
      </c>
    </row>
    <row r="167" spans="1:15" x14ac:dyDescent="0.25">
      <c r="A167" s="24" t="s">
        <v>169</v>
      </c>
      <c r="B167" s="24" t="s">
        <v>16</v>
      </c>
      <c r="C167" s="24" t="s">
        <v>490</v>
      </c>
      <c r="D167" s="24" t="s">
        <v>487</v>
      </c>
      <c r="E167" s="24" t="s">
        <v>488</v>
      </c>
      <c r="F167" s="24" t="s">
        <v>489</v>
      </c>
      <c r="G167" s="24" t="s">
        <v>67</v>
      </c>
      <c r="H167" s="24">
        <v>130.32149999999999</v>
      </c>
      <c r="I167" s="24">
        <v>3.0858599999999998</v>
      </c>
      <c r="J167" s="24">
        <v>63.81666666666667</v>
      </c>
      <c r="K167" s="24" t="s">
        <v>21</v>
      </c>
      <c r="L167" s="24" t="s">
        <v>21</v>
      </c>
      <c r="M167" s="24" t="s">
        <v>22</v>
      </c>
      <c r="N167" s="24">
        <v>44445</v>
      </c>
      <c r="O167" s="24" t="s">
        <v>21</v>
      </c>
    </row>
    <row r="168" spans="1:15" x14ac:dyDescent="0.25">
      <c r="A168" s="24" t="s">
        <v>84</v>
      </c>
      <c r="B168" s="24" t="s">
        <v>24</v>
      </c>
      <c r="C168" s="24">
        <v>658915</v>
      </c>
      <c r="D168" s="24" t="s">
        <v>491</v>
      </c>
      <c r="E168" s="24" t="s">
        <v>492</v>
      </c>
      <c r="F168" s="24" t="s">
        <v>493</v>
      </c>
      <c r="G168" s="24" t="s">
        <v>28</v>
      </c>
      <c r="H168" s="24">
        <v>839.32100000000003</v>
      </c>
      <c r="I168" s="24">
        <v>13.805</v>
      </c>
      <c r="J168" s="24">
        <v>115.64</v>
      </c>
      <c r="K168" s="24" t="s">
        <v>21</v>
      </c>
      <c r="L168" s="24" t="s">
        <v>21</v>
      </c>
      <c r="M168" s="24" t="s">
        <v>22</v>
      </c>
      <c r="N168" s="24">
        <v>44445</v>
      </c>
      <c r="O168" s="24" t="s">
        <v>21</v>
      </c>
    </row>
    <row r="169" spans="1:15" x14ac:dyDescent="0.25">
      <c r="A169" s="24" t="s">
        <v>169</v>
      </c>
      <c r="B169" s="24" t="s">
        <v>16</v>
      </c>
      <c r="C169" s="24" t="s">
        <v>379</v>
      </c>
      <c r="D169" s="24" t="s">
        <v>380</v>
      </c>
      <c r="E169" s="24" t="s">
        <v>492</v>
      </c>
      <c r="F169" s="24" t="s">
        <v>494</v>
      </c>
      <c r="G169" s="24" t="s">
        <v>389</v>
      </c>
      <c r="H169" s="24">
        <v>283.57979999999998</v>
      </c>
      <c r="I169" s="24">
        <v>7.9200900000000001</v>
      </c>
      <c r="J169" s="24">
        <v>84.75</v>
      </c>
      <c r="K169" s="24" t="s">
        <v>21</v>
      </c>
      <c r="L169" s="24" t="s">
        <v>21</v>
      </c>
      <c r="M169" s="24" t="s">
        <v>22</v>
      </c>
      <c r="N169" s="24">
        <v>44446</v>
      </c>
      <c r="O169" s="24" t="s">
        <v>21</v>
      </c>
    </row>
    <row r="170" spans="1:15" x14ac:dyDescent="0.25">
      <c r="A170" s="24" t="s">
        <v>169</v>
      </c>
      <c r="B170" s="24" t="s">
        <v>16</v>
      </c>
      <c r="C170" s="24">
        <v>659069</v>
      </c>
      <c r="D170" s="24" t="s">
        <v>495</v>
      </c>
      <c r="E170" s="24" t="s">
        <v>496</v>
      </c>
      <c r="F170" s="24" t="s">
        <v>497</v>
      </c>
      <c r="G170" s="24" t="s">
        <v>174</v>
      </c>
      <c r="H170" s="24">
        <v>30.846299999999999</v>
      </c>
      <c r="I170" s="24">
        <v>0.37045</v>
      </c>
      <c r="J170" s="24">
        <v>69.783333333333331</v>
      </c>
      <c r="K170" s="24" t="s">
        <v>21</v>
      </c>
      <c r="L170" s="24" t="s">
        <v>21</v>
      </c>
      <c r="M170" s="24" t="s">
        <v>47</v>
      </c>
      <c r="N170" s="24">
        <v>44449</v>
      </c>
      <c r="O170" s="24" t="s">
        <v>21</v>
      </c>
    </row>
    <row r="171" spans="1:15" x14ac:dyDescent="0.25">
      <c r="A171" s="24" t="s">
        <v>84</v>
      </c>
      <c r="B171" s="24" t="s">
        <v>24</v>
      </c>
      <c r="C171" s="24">
        <v>170428</v>
      </c>
      <c r="D171" s="24" t="s">
        <v>498</v>
      </c>
      <c r="E171" s="24" t="s">
        <v>499</v>
      </c>
      <c r="F171" s="24" t="s">
        <v>500</v>
      </c>
      <c r="G171" s="24" t="s">
        <v>28</v>
      </c>
      <c r="H171" s="24">
        <v>200.126</v>
      </c>
      <c r="I171" s="24">
        <v>2.2599999999999998</v>
      </c>
      <c r="J171" s="24">
        <v>87.766999999999996</v>
      </c>
      <c r="K171" s="24" t="s">
        <v>21</v>
      </c>
      <c r="L171" s="24" t="s">
        <v>21</v>
      </c>
      <c r="M171" s="24" t="s">
        <v>22</v>
      </c>
      <c r="N171" s="24">
        <v>44454</v>
      </c>
      <c r="O171" s="24" t="s">
        <v>21</v>
      </c>
    </row>
    <row r="172" spans="1:15" x14ac:dyDescent="0.25">
      <c r="A172" s="24" t="s">
        <v>84</v>
      </c>
      <c r="B172" s="24" t="s">
        <v>24</v>
      </c>
      <c r="C172" s="24">
        <v>319343</v>
      </c>
      <c r="D172" s="24" t="s">
        <v>501</v>
      </c>
      <c r="E172" s="24" t="s">
        <v>502</v>
      </c>
      <c r="F172" s="24" t="s">
        <v>503</v>
      </c>
      <c r="G172" s="24" t="s">
        <v>28</v>
      </c>
      <c r="H172" s="24">
        <v>374.15199999999999</v>
      </c>
      <c r="I172" s="24">
        <v>5.3890000000000002</v>
      </c>
      <c r="J172" s="24">
        <v>37.168999999999997</v>
      </c>
      <c r="K172" s="24" t="s">
        <v>21</v>
      </c>
      <c r="L172" s="24" t="s">
        <v>21</v>
      </c>
      <c r="M172" s="24" t="s">
        <v>22</v>
      </c>
      <c r="N172" s="24">
        <v>44455</v>
      </c>
      <c r="O172" s="24" t="s">
        <v>21</v>
      </c>
    </row>
    <row r="173" spans="1:15" x14ac:dyDescent="0.25">
      <c r="A173" s="24" t="s">
        <v>15</v>
      </c>
      <c r="B173" s="24" t="s">
        <v>16</v>
      </c>
      <c r="C173" s="24">
        <v>658933</v>
      </c>
      <c r="D173" s="24" t="s">
        <v>504</v>
      </c>
      <c r="E173" s="24" t="s">
        <v>505</v>
      </c>
      <c r="F173" s="24" t="s">
        <v>506</v>
      </c>
      <c r="G173" s="24" t="s">
        <v>20</v>
      </c>
      <c r="H173" s="24">
        <v>631.33000000000004</v>
      </c>
      <c r="I173" s="24">
        <v>1.99</v>
      </c>
      <c r="J173" s="24">
        <v>49.57</v>
      </c>
      <c r="K173" s="24" t="s">
        <v>21</v>
      </c>
      <c r="L173" s="24" t="s">
        <v>21</v>
      </c>
      <c r="M173" s="24" t="s">
        <v>22</v>
      </c>
      <c r="N173" s="24">
        <v>44456</v>
      </c>
      <c r="O173" s="24" t="s">
        <v>21</v>
      </c>
    </row>
    <row r="174" spans="1:15" x14ac:dyDescent="0.25">
      <c r="A174" s="24" t="s">
        <v>169</v>
      </c>
      <c r="B174" s="24" t="s">
        <v>16</v>
      </c>
      <c r="C174" s="24">
        <v>119106</v>
      </c>
      <c r="D174" s="24" t="s">
        <v>507</v>
      </c>
      <c r="E174" s="24" t="s">
        <v>508</v>
      </c>
      <c r="F174" s="24" t="s">
        <v>509</v>
      </c>
      <c r="G174" s="24" t="s">
        <v>174</v>
      </c>
      <c r="H174" s="24">
        <v>139.99590000000001</v>
      </c>
      <c r="I174" s="24">
        <v>2.8125100000000001</v>
      </c>
      <c r="J174" s="24">
        <v>101.15</v>
      </c>
      <c r="K174" s="24" t="s">
        <v>21</v>
      </c>
      <c r="L174" s="24" t="s">
        <v>21</v>
      </c>
      <c r="M174" s="24" t="s">
        <v>47</v>
      </c>
      <c r="N174" s="24">
        <v>44460</v>
      </c>
      <c r="O174" s="24" t="s">
        <v>21</v>
      </c>
    </row>
    <row r="175" spans="1:15" x14ac:dyDescent="0.25">
      <c r="A175" s="24" t="s">
        <v>15</v>
      </c>
      <c r="B175" s="24" t="s">
        <v>16</v>
      </c>
      <c r="C175" s="24">
        <v>659508</v>
      </c>
      <c r="D175" s="24" t="s">
        <v>510</v>
      </c>
      <c r="E175" s="24" t="s">
        <v>511</v>
      </c>
      <c r="F175" s="24" t="s">
        <v>512</v>
      </c>
      <c r="G175" s="24" t="s">
        <v>63</v>
      </c>
      <c r="H175" s="24">
        <v>1374.54</v>
      </c>
      <c r="I175" s="24">
        <v>6.31</v>
      </c>
      <c r="J175" s="24">
        <v>72.67</v>
      </c>
      <c r="K175" s="24" t="s">
        <v>21</v>
      </c>
      <c r="L175" s="24" t="s">
        <v>21</v>
      </c>
      <c r="M175" s="24" t="s">
        <v>47</v>
      </c>
      <c r="N175" s="24">
        <v>44461</v>
      </c>
      <c r="O175" s="24" t="s">
        <v>21</v>
      </c>
    </row>
    <row r="176" spans="1:15" x14ac:dyDescent="0.25">
      <c r="A176" s="24" t="s">
        <v>169</v>
      </c>
      <c r="B176" s="24" t="s">
        <v>16</v>
      </c>
      <c r="C176" s="24">
        <v>119106</v>
      </c>
      <c r="D176" s="24"/>
      <c r="E176" s="24" t="s">
        <v>508</v>
      </c>
      <c r="F176" s="24" t="s">
        <v>509</v>
      </c>
      <c r="G176" s="24" t="s">
        <v>174</v>
      </c>
      <c r="H176" s="24">
        <v>139.99590000000001</v>
      </c>
      <c r="I176" s="24">
        <v>2.8125100000000001</v>
      </c>
      <c r="J176" s="24">
        <v>101.15</v>
      </c>
      <c r="K176" s="24" t="s">
        <v>21</v>
      </c>
      <c r="L176" s="24" t="s">
        <v>90</v>
      </c>
      <c r="M176" s="24" t="s">
        <v>47</v>
      </c>
      <c r="N176" s="24">
        <v>44461</v>
      </c>
      <c r="O176" s="24" t="s">
        <v>90</v>
      </c>
    </row>
    <row r="177" spans="1:15" x14ac:dyDescent="0.25">
      <c r="A177" s="24" t="s">
        <v>15</v>
      </c>
      <c r="B177" s="24" t="s">
        <v>16</v>
      </c>
      <c r="C177" s="24">
        <v>654388</v>
      </c>
      <c r="D177" s="24" t="s">
        <v>513</v>
      </c>
      <c r="E177" s="24" t="s">
        <v>514</v>
      </c>
      <c r="F177" s="24" t="s">
        <v>349</v>
      </c>
      <c r="G177" s="24" t="s">
        <v>102</v>
      </c>
      <c r="H177" s="24">
        <v>290.82</v>
      </c>
      <c r="I177" s="24">
        <v>0.97</v>
      </c>
      <c r="J177" s="24">
        <v>68.08</v>
      </c>
      <c r="K177" s="24" t="s">
        <v>21</v>
      </c>
      <c r="L177" s="24" t="s">
        <v>21</v>
      </c>
      <c r="M177" s="24" t="s">
        <v>47</v>
      </c>
      <c r="N177" s="24">
        <v>44466</v>
      </c>
      <c r="O177" s="24" t="s">
        <v>21</v>
      </c>
    </row>
    <row r="178" spans="1:15" x14ac:dyDescent="0.25">
      <c r="A178" s="24" t="s">
        <v>15</v>
      </c>
      <c r="B178" s="24" t="s">
        <v>16</v>
      </c>
      <c r="C178" s="24">
        <v>108645</v>
      </c>
      <c r="D178" s="24" t="s">
        <v>515</v>
      </c>
      <c r="E178" s="24" t="s">
        <v>516</v>
      </c>
      <c r="F178" s="24" t="s">
        <v>517</v>
      </c>
      <c r="G178" s="24" t="s">
        <v>53</v>
      </c>
      <c r="H178" s="24">
        <v>579.89</v>
      </c>
      <c r="I178" s="24">
        <v>1.64</v>
      </c>
      <c r="J178" s="24">
        <v>33.53</v>
      </c>
      <c r="K178" s="24" t="s">
        <v>21</v>
      </c>
      <c r="L178" s="24" t="s">
        <v>21</v>
      </c>
      <c r="M178" s="24" t="s">
        <v>47</v>
      </c>
      <c r="N178" s="24">
        <v>44466</v>
      </c>
      <c r="O178" s="24" t="s">
        <v>21</v>
      </c>
    </row>
    <row r="179" spans="1:15" x14ac:dyDescent="0.25">
      <c r="A179" s="24" t="s">
        <v>84</v>
      </c>
      <c r="B179" s="24" t="s">
        <v>24</v>
      </c>
      <c r="C179" s="24">
        <v>389692</v>
      </c>
      <c r="D179" s="24" t="s">
        <v>518</v>
      </c>
      <c r="E179" s="24" t="s">
        <v>519</v>
      </c>
      <c r="F179" s="24" t="s">
        <v>520</v>
      </c>
      <c r="G179" s="24" t="s">
        <v>28</v>
      </c>
      <c r="H179" s="24">
        <v>200.30199999999999</v>
      </c>
      <c r="I179" s="24">
        <v>1.331</v>
      </c>
      <c r="J179" s="24">
        <v>108.91500000000001</v>
      </c>
      <c r="K179" s="24" t="s">
        <v>21</v>
      </c>
      <c r="L179" s="24" t="s">
        <v>21</v>
      </c>
      <c r="M179" s="24" t="s">
        <v>47</v>
      </c>
      <c r="N179" s="24">
        <v>44468</v>
      </c>
      <c r="O179" s="24" t="s">
        <v>21</v>
      </c>
    </row>
    <row r="180" spans="1:15" x14ac:dyDescent="0.25">
      <c r="A180" s="24" t="s">
        <v>84</v>
      </c>
      <c r="B180" s="24" t="s">
        <v>24</v>
      </c>
      <c r="C180" s="24">
        <v>378539</v>
      </c>
      <c r="D180" s="24" t="s">
        <v>521</v>
      </c>
      <c r="E180" s="24" t="s">
        <v>522</v>
      </c>
      <c r="F180" s="24" t="s">
        <v>523</v>
      </c>
      <c r="G180" s="24" t="s">
        <v>28</v>
      </c>
      <c r="H180" s="24">
        <v>212.99700000000001</v>
      </c>
      <c r="I180" s="24">
        <v>2.9710000000000001</v>
      </c>
      <c r="J180" s="24">
        <v>81.064999999999998</v>
      </c>
      <c r="K180" s="24" t="s">
        <v>21</v>
      </c>
      <c r="L180" s="24" t="s">
        <v>21</v>
      </c>
      <c r="M180" s="24" t="s">
        <v>47</v>
      </c>
      <c r="N180" s="24">
        <v>44468</v>
      </c>
      <c r="O180" s="24" t="s">
        <v>21</v>
      </c>
    </row>
    <row r="181" spans="1:15" x14ac:dyDescent="0.25">
      <c r="A181" s="24" t="s">
        <v>84</v>
      </c>
      <c r="B181" s="24" t="s">
        <v>24</v>
      </c>
      <c r="C181" s="24">
        <v>659845</v>
      </c>
      <c r="D181" s="24" t="s">
        <v>524</v>
      </c>
      <c r="E181" s="24" t="s">
        <v>525</v>
      </c>
      <c r="F181" s="24" t="s">
        <v>526</v>
      </c>
      <c r="G181" s="24" t="s">
        <v>28</v>
      </c>
      <c r="H181" s="24">
        <v>251.19399999999999</v>
      </c>
      <c r="I181" s="24">
        <v>5.4690000000000003</v>
      </c>
      <c r="J181" s="24">
        <v>59.783000000000001</v>
      </c>
      <c r="K181" s="24" t="s">
        <v>21</v>
      </c>
      <c r="L181" s="24" t="s">
        <v>21</v>
      </c>
      <c r="M181" s="24" t="s">
        <v>22</v>
      </c>
      <c r="N181" s="24">
        <v>44469</v>
      </c>
      <c r="O181" s="24" t="s">
        <v>21</v>
      </c>
    </row>
    <row r="182" spans="1:15" x14ac:dyDescent="0.25">
      <c r="A182" s="24" t="s">
        <v>15</v>
      </c>
      <c r="B182" s="24" t="s">
        <v>16</v>
      </c>
      <c r="C182" s="24">
        <v>163138</v>
      </c>
      <c r="D182" s="24" t="s">
        <v>527</v>
      </c>
      <c r="E182" s="24" t="s">
        <v>528</v>
      </c>
      <c r="F182" s="24" t="s">
        <v>280</v>
      </c>
      <c r="G182" s="24" t="s">
        <v>53</v>
      </c>
      <c r="H182" s="24">
        <v>219.91</v>
      </c>
      <c r="I182" s="24">
        <v>0.87</v>
      </c>
      <c r="J182" s="24">
        <v>72.05</v>
      </c>
      <c r="K182" s="24" t="s">
        <v>21</v>
      </c>
      <c r="L182" s="24" t="s">
        <v>21</v>
      </c>
      <c r="M182" s="24" t="s">
        <v>47</v>
      </c>
      <c r="N182" s="24">
        <v>44475</v>
      </c>
      <c r="O182" s="24" t="s">
        <v>21</v>
      </c>
    </row>
    <row r="183" spans="1:15" x14ac:dyDescent="0.25">
      <c r="A183" s="24" t="s">
        <v>15</v>
      </c>
      <c r="B183" s="24" t="s">
        <v>16</v>
      </c>
      <c r="C183" s="24">
        <v>403697</v>
      </c>
      <c r="D183" s="24" t="s">
        <v>529</v>
      </c>
      <c r="E183" s="24" t="s">
        <v>528</v>
      </c>
      <c r="F183" s="24" t="s">
        <v>530</v>
      </c>
      <c r="G183" s="24" t="s">
        <v>102</v>
      </c>
      <c r="H183" s="24">
        <v>273.45999999999998</v>
      </c>
      <c r="I183" s="24">
        <v>0.87</v>
      </c>
      <c r="J183" s="24">
        <v>62.3</v>
      </c>
      <c r="K183" s="24" t="s">
        <v>21</v>
      </c>
      <c r="L183" s="24" t="s">
        <v>21</v>
      </c>
      <c r="M183" s="24" t="s">
        <v>47</v>
      </c>
      <c r="N183" s="24">
        <v>44475</v>
      </c>
      <c r="O183" s="24" t="s">
        <v>21</v>
      </c>
    </row>
    <row r="184" spans="1:15" x14ac:dyDescent="0.25">
      <c r="A184" s="24" t="s">
        <v>169</v>
      </c>
      <c r="B184" s="24" t="s">
        <v>16</v>
      </c>
      <c r="C184" s="24">
        <v>613995</v>
      </c>
      <c r="D184" s="24" t="s">
        <v>531</v>
      </c>
      <c r="E184" s="24" t="s">
        <v>532</v>
      </c>
      <c r="F184" s="24" t="s">
        <v>533</v>
      </c>
      <c r="G184" s="24" t="s">
        <v>331</v>
      </c>
      <c r="H184" s="24">
        <v>131.1095</v>
      </c>
      <c r="I184" s="24">
        <v>4.5383800000000001</v>
      </c>
      <c r="J184" s="24">
        <v>85.783333333333331</v>
      </c>
      <c r="K184" s="24" t="s">
        <v>21</v>
      </c>
      <c r="L184" s="24" t="s">
        <v>21</v>
      </c>
      <c r="M184" s="24" t="s">
        <v>47</v>
      </c>
      <c r="N184" s="24">
        <v>44476</v>
      </c>
      <c r="O184" s="24" t="s">
        <v>21</v>
      </c>
    </row>
    <row r="185" spans="1:15" x14ac:dyDescent="0.25">
      <c r="A185" s="24" t="s">
        <v>15</v>
      </c>
      <c r="B185" s="24" t="s">
        <v>16</v>
      </c>
      <c r="C185" s="24">
        <v>305861</v>
      </c>
      <c r="D185" s="24" t="s">
        <v>534</v>
      </c>
      <c r="E185" s="24" t="s">
        <v>535</v>
      </c>
      <c r="F185" s="24" t="s">
        <v>536</v>
      </c>
      <c r="G185" s="24" t="s">
        <v>537</v>
      </c>
      <c r="H185" s="24">
        <v>154.94999999999999</v>
      </c>
      <c r="I185" s="24">
        <v>0.42</v>
      </c>
      <c r="J185" s="24">
        <v>71.400000000000006</v>
      </c>
      <c r="K185" s="24" t="s">
        <v>21</v>
      </c>
      <c r="L185" s="24" t="s">
        <v>21</v>
      </c>
      <c r="M185" s="24" t="s">
        <v>47</v>
      </c>
      <c r="N185" s="24">
        <v>44477</v>
      </c>
      <c r="O185" s="24" t="s">
        <v>21</v>
      </c>
    </row>
    <row r="186" spans="1:15" x14ac:dyDescent="0.25">
      <c r="A186" s="24" t="s">
        <v>23</v>
      </c>
      <c r="B186" s="24" t="s">
        <v>24</v>
      </c>
      <c r="C186" s="24">
        <v>152394</v>
      </c>
      <c r="D186" s="24" t="s">
        <v>538</v>
      </c>
      <c r="E186" s="24" t="s">
        <v>539</v>
      </c>
      <c r="F186" s="24" t="s">
        <v>340</v>
      </c>
      <c r="G186" s="24" t="s">
        <v>28</v>
      </c>
      <c r="H186" s="24">
        <v>457.85599999999999</v>
      </c>
      <c r="I186" s="24">
        <v>6.94</v>
      </c>
      <c r="J186" s="24">
        <v>50.161000000000001</v>
      </c>
      <c r="K186" s="24" t="s">
        <v>21</v>
      </c>
      <c r="L186" s="24" t="s">
        <v>21</v>
      </c>
      <c r="M186" s="24" t="s">
        <v>22</v>
      </c>
      <c r="N186" s="24">
        <v>44480</v>
      </c>
      <c r="O186" s="24" t="s">
        <v>21</v>
      </c>
    </row>
    <row r="187" spans="1:15" x14ac:dyDescent="0.25">
      <c r="A187" s="24" t="s">
        <v>23</v>
      </c>
      <c r="B187" s="24" t="s">
        <v>24</v>
      </c>
      <c r="C187" s="24">
        <v>382342</v>
      </c>
      <c r="D187" s="24" t="s">
        <v>540</v>
      </c>
      <c r="E187" s="24" t="s">
        <v>541</v>
      </c>
      <c r="F187" s="24" t="s">
        <v>127</v>
      </c>
      <c r="G187" s="24" t="s">
        <v>28</v>
      </c>
      <c r="H187" s="24">
        <v>278.35899999999998</v>
      </c>
      <c r="I187" s="24">
        <v>3.0449999999999999</v>
      </c>
      <c r="J187" s="24">
        <v>78.796000000000006</v>
      </c>
      <c r="K187" s="24" t="s">
        <v>21</v>
      </c>
      <c r="L187" s="24" t="s">
        <v>21</v>
      </c>
      <c r="M187" s="24" t="s">
        <v>47</v>
      </c>
      <c r="N187" s="24">
        <v>44484</v>
      </c>
      <c r="O187" s="24" t="s">
        <v>21</v>
      </c>
    </row>
    <row r="188" spans="1:15" x14ac:dyDescent="0.25">
      <c r="A188" s="24" t="s">
        <v>23</v>
      </c>
      <c r="B188" s="24" t="s">
        <v>24</v>
      </c>
      <c r="C188" s="24">
        <v>45224</v>
      </c>
      <c r="D188" s="24" t="s">
        <v>542</v>
      </c>
      <c r="E188" s="24" t="s">
        <v>541</v>
      </c>
      <c r="F188" s="24" t="s">
        <v>543</v>
      </c>
      <c r="G188" s="24" t="s">
        <v>28</v>
      </c>
      <c r="H188" s="24">
        <v>407.94200000000001</v>
      </c>
      <c r="I188" s="24">
        <v>4.4130000000000003</v>
      </c>
      <c r="J188" s="24">
        <v>60.030999999999999</v>
      </c>
      <c r="K188" s="24" t="s">
        <v>21</v>
      </c>
      <c r="L188" s="24" t="s">
        <v>21</v>
      </c>
      <c r="M188" s="24" t="s">
        <v>47</v>
      </c>
      <c r="N188" s="24">
        <v>44484</v>
      </c>
      <c r="O188" s="24" t="s">
        <v>21</v>
      </c>
    </row>
    <row r="189" spans="1:15" x14ac:dyDescent="0.25">
      <c r="A189" s="24" t="s">
        <v>169</v>
      </c>
      <c r="B189" s="24" t="s">
        <v>16</v>
      </c>
      <c r="C189" s="24">
        <v>660352</v>
      </c>
      <c r="D189" s="24" t="s">
        <v>544</v>
      </c>
      <c r="E189" s="24" t="s">
        <v>545</v>
      </c>
      <c r="F189" s="24" t="s">
        <v>546</v>
      </c>
      <c r="G189" s="24" t="s">
        <v>248</v>
      </c>
      <c r="H189" s="24">
        <v>60.103499999999997</v>
      </c>
      <c r="I189" s="24">
        <v>3.7155399999999998</v>
      </c>
      <c r="J189" s="24">
        <v>113.65</v>
      </c>
      <c r="K189" s="24" t="s">
        <v>21</v>
      </c>
      <c r="L189" s="24" t="s">
        <v>21</v>
      </c>
      <c r="M189" s="24" t="s">
        <v>47</v>
      </c>
      <c r="N189" s="24">
        <v>44484</v>
      </c>
      <c r="O189" s="24" t="s">
        <v>21</v>
      </c>
    </row>
    <row r="190" spans="1:15" x14ac:dyDescent="0.25">
      <c r="A190" s="24" t="s">
        <v>23</v>
      </c>
      <c r="B190" s="24" t="s">
        <v>24</v>
      </c>
      <c r="C190" s="24">
        <v>660083</v>
      </c>
      <c r="D190" s="24" t="s">
        <v>547</v>
      </c>
      <c r="E190" s="24" t="s">
        <v>548</v>
      </c>
      <c r="F190" s="24" t="s">
        <v>277</v>
      </c>
      <c r="G190" s="24" t="s">
        <v>28</v>
      </c>
      <c r="H190" s="24">
        <v>288.971</v>
      </c>
      <c r="I190" s="24">
        <v>3.4409999999999998</v>
      </c>
      <c r="J190" s="24">
        <v>70.174999999999997</v>
      </c>
      <c r="K190" s="24" t="s">
        <v>21</v>
      </c>
      <c r="L190" s="24" t="s">
        <v>21</v>
      </c>
      <c r="M190" s="24" t="s">
        <v>22</v>
      </c>
      <c r="N190" s="24">
        <v>44488</v>
      </c>
      <c r="O190" s="24" t="s">
        <v>21</v>
      </c>
    </row>
    <row r="191" spans="1:15" x14ac:dyDescent="0.25">
      <c r="A191" s="24" t="s">
        <v>23</v>
      </c>
      <c r="B191" s="24" t="s">
        <v>24</v>
      </c>
      <c r="C191" s="24">
        <v>660558</v>
      </c>
      <c r="D191" s="24" t="s">
        <v>549</v>
      </c>
      <c r="E191" s="24" t="s">
        <v>550</v>
      </c>
      <c r="F191" s="24" t="s">
        <v>337</v>
      </c>
      <c r="G191" s="24" t="s">
        <v>28</v>
      </c>
      <c r="H191" s="24">
        <v>569.31399999999996</v>
      </c>
      <c r="I191" s="24">
        <v>7.8010000000000002</v>
      </c>
      <c r="J191" s="24">
        <v>65.754000000000005</v>
      </c>
      <c r="K191" s="24" t="s">
        <v>21</v>
      </c>
      <c r="L191" s="24" t="s">
        <v>21</v>
      </c>
      <c r="M191" s="24" t="s">
        <v>22</v>
      </c>
      <c r="N191" s="24">
        <v>44489</v>
      </c>
      <c r="O191" s="24" t="s">
        <v>21</v>
      </c>
    </row>
    <row r="192" spans="1:15" x14ac:dyDescent="0.25">
      <c r="A192" s="24" t="s">
        <v>169</v>
      </c>
      <c r="B192" s="24" t="s">
        <v>16</v>
      </c>
      <c r="C192" s="24" t="s">
        <v>551</v>
      </c>
      <c r="D192" s="24" t="s">
        <v>552</v>
      </c>
      <c r="E192" s="24" t="s">
        <v>553</v>
      </c>
      <c r="F192" s="24" t="s">
        <v>554</v>
      </c>
      <c r="G192" s="24" t="s">
        <v>174</v>
      </c>
      <c r="H192" s="24">
        <v>64.735500000000002</v>
      </c>
      <c r="I192" s="24">
        <v>1.23559</v>
      </c>
      <c r="J192" s="24">
        <v>81.416666666666657</v>
      </c>
      <c r="K192" s="24" t="s">
        <v>21</v>
      </c>
      <c r="L192" s="24" t="s">
        <v>21</v>
      </c>
      <c r="M192" s="24" t="s">
        <v>22</v>
      </c>
      <c r="N192" s="24">
        <v>44496</v>
      </c>
      <c r="O192" s="24" t="s">
        <v>21</v>
      </c>
    </row>
    <row r="193" spans="1:15" x14ac:dyDescent="0.25">
      <c r="A193" s="24" t="s">
        <v>32</v>
      </c>
      <c r="B193" s="24" t="s">
        <v>24</v>
      </c>
      <c r="C193" s="24">
        <v>360529</v>
      </c>
      <c r="D193" s="24" t="s">
        <v>555</v>
      </c>
      <c r="E193" s="24" t="s">
        <v>556</v>
      </c>
      <c r="F193" s="24" t="s">
        <v>557</v>
      </c>
      <c r="G193" s="24" t="s">
        <v>28</v>
      </c>
      <c r="H193" s="24">
        <v>139.28399999999999</v>
      </c>
      <c r="I193" s="24">
        <v>1.2030000000000001</v>
      </c>
      <c r="J193" s="24">
        <v>71.317999999999998</v>
      </c>
      <c r="K193" s="24" t="s">
        <v>21</v>
      </c>
      <c r="L193" s="24" t="s">
        <v>21</v>
      </c>
      <c r="M193" s="24" t="s">
        <v>22</v>
      </c>
      <c r="N193" s="24">
        <v>44498</v>
      </c>
      <c r="O193" s="24" t="s">
        <v>21</v>
      </c>
    </row>
    <row r="194" spans="1:15" x14ac:dyDescent="0.25">
      <c r="A194" s="24" t="s">
        <v>32</v>
      </c>
      <c r="B194" s="24" t="s">
        <v>24</v>
      </c>
      <c r="C194" s="24">
        <v>204119</v>
      </c>
      <c r="D194" s="24" t="s">
        <v>558</v>
      </c>
      <c r="E194" s="24" t="s">
        <v>559</v>
      </c>
      <c r="F194" s="24" t="s">
        <v>560</v>
      </c>
      <c r="G194" s="24" t="s">
        <v>28</v>
      </c>
      <c r="H194" s="24">
        <v>392.12</v>
      </c>
      <c r="I194" s="24">
        <v>5.3330000000000002</v>
      </c>
      <c r="J194" s="24">
        <v>57.085000000000001</v>
      </c>
      <c r="K194" s="24" t="s">
        <v>21</v>
      </c>
      <c r="L194" s="24" t="s">
        <v>21</v>
      </c>
      <c r="M194" s="24" t="s">
        <v>47</v>
      </c>
      <c r="N194" s="24">
        <v>44505</v>
      </c>
      <c r="O194" s="24" t="s">
        <v>21</v>
      </c>
    </row>
    <row r="195" spans="1:15" x14ac:dyDescent="0.25">
      <c r="A195" s="24" t="s">
        <v>169</v>
      </c>
      <c r="B195" s="24" t="s">
        <v>16</v>
      </c>
      <c r="C195" s="24">
        <v>1706209</v>
      </c>
      <c r="D195" s="24" t="s">
        <v>561</v>
      </c>
      <c r="E195" s="24" t="s">
        <v>559</v>
      </c>
      <c r="F195" s="24" t="s">
        <v>562</v>
      </c>
      <c r="G195" s="24" t="s">
        <v>174</v>
      </c>
      <c r="H195" s="24">
        <v>70.666599999999988</v>
      </c>
      <c r="I195" s="24">
        <v>1.18001</v>
      </c>
      <c r="J195" s="24">
        <v>67.25</v>
      </c>
      <c r="K195" s="24" t="s">
        <v>21</v>
      </c>
      <c r="L195" s="24" t="s">
        <v>21</v>
      </c>
      <c r="M195" s="24" t="s">
        <v>22</v>
      </c>
      <c r="N195" s="24">
        <v>44509</v>
      </c>
      <c r="O195" s="24" t="s">
        <v>21</v>
      </c>
    </row>
    <row r="196" spans="1:15" x14ac:dyDescent="0.25">
      <c r="A196" s="24" t="s">
        <v>15</v>
      </c>
      <c r="B196" s="24" t="s">
        <v>16</v>
      </c>
      <c r="C196" s="24">
        <v>539283</v>
      </c>
      <c r="D196" s="24" t="s">
        <v>563</v>
      </c>
      <c r="E196" s="24" t="s">
        <v>564</v>
      </c>
      <c r="F196" s="24" t="s">
        <v>565</v>
      </c>
      <c r="G196" s="24" t="s">
        <v>115</v>
      </c>
      <c r="H196" s="24">
        <v>667.21</v>
      </c>
      <c r="I196" s="24">
        <v>3.18</v>
      </c>
      <c r="J196" s="24">
        <v>55.53</v>
      </c>
      <c r="K196" s="24" t="s">
        <v>21</v>
      </c>
      <c r="L196" s="24" t="s">
        <v>21</v>
      </c>
      <c r="M196" s="24" t="s">
        <v>22</v>
      </c>
      <c r="N196" s="24">
        <v>44509</v>
      </c>
      <c r="O196" s="24" t="s">
        <v>21</v>
      </c>
    </row>
    <row r="197" spans="1:15" x14ac:dyDescent="0.25">
      <c r="A197" s="24" t="s">
        <v>15</v>
      </c>
      <c r="B197" s="24" t="s">
        <v>16</v>
      </c>
      <c r="C197" s="24">
        <v>224365</v>
      </c>
      <c r="D197" s="24" t="s">
        <v>566</v>
      </c>
      <c r="E197" s="24" t="s">
        <v>567</v>
      </c>
      <c r="F197" s="24" t="s">
        <v>568</v>
      </c>
      <c r="G197" s="24" t="s">
        <v>59</v>
      </c>
      <c r="H197" s="24">
        <v>2563.35</v>
      </c>
      <c r="I197" s="24">
        <v>6.72</v>
      </c>
      <c r="J197" s="24">
        <v>137.28</v>
      </c>
      <c r="K197" s="24" t="s">
        <v>21</v>
      </c>
      <c r="L197" s="24" t="s">
        <v>21</v>
      </c>
      <c r="M197" s="24" t="s">
        <v>22</v>
      </c>
      <c r="N197" s="24">
        <v>44509</v>
      </c>
      <c r="O197" s="24" t="s">
        <v>21</v>
      </c>
    </row>
    <row r="198" spans="1:15" x14ac:dyDescent="0.25">
      <c r="A198" s="24" t="s">
        <v>32</v>
      </c>
      <c r="B198" s="24" t="s">
        <v>24</v>
      </c>
      <c r="C198" s="24">
        <v>625898</v>
      </c>
      <c r="D198" s="24" t="s">
        <v>569</v>
      </c>
      <c r="E198" s="24" t="s">
        <v>570</v>
      </c>
      <c r="F198" s="24" t="s">
        <v>261</v>
      </c>
      <c r="G198" s="24" t="s">
        <v>28</v>
      </c>
      <c r="H198" s="24">
        <v>722.07600000000002</v>
      </c>
      <c r="I198" s="24">
        <v>7.7880000000000003</v>
      </c>
      <c r="J198" s="24">
        <v>66.731999999999999</v>
      </c>
      <c r="K198" s="24" t="s">
        <v>21</v>
      </c>
      <c r="L198" s="24" t="s">
        <v>21</v>
      </c>
      <c r="M198" s="24" t="s">
        <v>22</v>
      </c>
      <c r="N198" s="24">
        <v>44511</v>
      </c>
      <c r="O198" s="24" t="s">
        <v>21</v>
      </c>
    </row>
    <row r="199" spans="1:15" x14ac:dyDescent="0.25">
      <c r="A199" s="24" t="s">
        <v>15</v>
      </c>
      <c r="B199" s="24" t="s">
        <v>16</v>
      </c>
      <c r="C199" s="24">
        <v>594982</v>
      </c>
      <c r="D199" s="24" t="s">
        <v>571</v>
      </c>
      <c r="E199" s="24" t="s">
        <v>572</v>
      </c>
      <c r="F199" s="24" t="s">
        <v>573</v>
      </c>
      <c r="G199" s="24" t="s">
        <v>115</v>
      </c>
      <c r="H199" s="24">
        <v>1671.07</v>
      </c>
      <c r="I199" s="24">
        <v>5.51</v>
      </c>
      <c r="J199" s="24">
        <v>29.17</v>
      </c>
      <c r="K199" s="24" t="s">
        <v>21</v>
      </c>
      <c r="L199" s="24" t="s">
        <v>21</v>
      </c>
      <c r="M199" s="24" t="s">
        <v>22</v>
      </c>
      <c r="N199" s="24">
        <v>44515</v>
      </c>
      <c r="O199" s="24" t="s">
        <v>21</v>
      </c>
    </row>
    <row r="200" spans="1:15" x14ac:dyDescent="0.25">
      <c r="A200" s="24" t="s">
        <v>32</v>
      </c>
      <c r="B200" s="24" t="s">
        <v>24</v>
      </c>
      <c r="C200" s="24">
        <v>13622</v>
      </c>
      <c r="D200" s="24" t="s">
        <v>574</v>
      </c>
      <c r="E200" s="24" t="s">
        <v>575</v>
      </c>
      <c r="F200" s="24" t="s">
        <v>576</v>
      </c>
      <c r="G200" s="24" t="s">
        <v>28</v>
      </c>
      <c r="H200" s="24">
        <v>431.01299999999998</v>
      </c>
      <c r="I200" s="24">
        <v>5.93</v>
      </c>
      <c r="J200" s="24">
        <v>52.030999999999999</v>
      </c>
      <c r="K200" s="24" t="s">
        <v>21</v>
      </c>
      <c r="L200" s="24" t="s">
        <v>21</v>
      </c>
      <c r="M200" s="24" t="s">
        <v>22</v>
      </c>
      <c r="N200" s="24">
        <v>44516</v>
      </c>
      <c r="O200" s="24" t="s">
        <v>21</v>
      </c>
    </row>
    <row r="201" spans="1:15" x14ac:dyDescent="0.25">
      <c r="A201" s="24" t="s">
        <v>169</v>
      </c>
      <c r="B201" s="24" t="s">
        <v>16</v>
      </c>
      <c r="C201" s="24">
        <v>645987</v>
      </c>
      <c r="D201" s="24" t="s">
        <v>577</v>
      </c>
      <c r="E201" s="24" t="s">
        <v>578</v>
      </c>
      <c r="F201" s="24" t="s">
        <v>438</v>
      </c>
      <c r="G201" s="24" t="s">
        <v>248</v>
      </c>
      <c r="H201" s="24">
        <v>130.65459999999999</v>
      </c>
      <c r="I201" s="24">
        <v>13.39077</v>
      </c>
      <c r="J201" s="24">
        <v>146.83333333333329</v>
      </c>
      <c r="K201" s="24" t="s">
        <v>21</v>
      </c>
      <c r="L201" s="24" t="s">
        <v>21</v>
      </c>
      <c r="M201" s="24" t="s">
        <v>47</v>
      </c>
      <c r="N201" s="24">
        <v>44517</v>
      </c>
      <c r="O201" s="24" t="s">
        <v>21</v>
      </c>
    </row>
    <row r="202" spans="1:15" x14ac:dyDescent="0.25">
      <c r="A202" s="24" t="s">
        <v>84</v>
      </c>
      <c r="B202" s="24" t="s">
        <v>24</v>
      </c>
      <c r="C202" s="24">
        <v>660877</v>
      </c>
      <c r="D202" s="24" t="s">
        <v>579</v>
      </c>
      <c r="E202" s="24" t="s">
        <v>580</v>
      </c>
      <c r="F202" s="24" t="s">
        <v>581</v>
      </c>
      <c r="G202" s="24" t="s">
        <v>28</v>
      </c>
      <c r="H202" s="24">
        <v>699.14400000000001</v>
      </c>
      <c r="I202" s="24">
        <v>9.2200000000000006</v>
      </c>
      <c r="J202" s="24">
        <v>80.858999999999995</v>
      </c>
      <c r="K202" s="24" t="s">
        <v>21</v>
      </c>
      <c r="L202" s="24" t="s">
        <v>21</v>
      </c>
      <c r="M202" s="24" t="s">
        <v>47</v>
      </c>
      <c r="N202" s="24">
        <v>44518</v>
      </c>
      <c r="O202" s="24" t="s">
        <v>21</v>
      </c>
    </row>
    <row r="203" spans="1:15" x14ac:dyDescent="0.25">
      <c r="A203" s="24" t="s">
        <v>169</v>
      </c>
      <c r="B203" s="24" t="s">
        <v>16</v>
      </c>
      <c r="C203" s="24">
        <v>660472</v>
      </c>
      <c r="D203" s="24" t="s">
        <v>582</v>
      </c>
      <c r="E203" s="24" t="s">
        <v>583</v>
      </c>
      <c r="F203" s="24" t="s">
        <v>584</v>
      </c>
      <c r="G203" s="24" t="s">
        <v>314</v>
      </c>
      <c r="H203" s="24">
        <v>71.881</v>
      </c>
      <c r="I203" s="24">
        <v>2.65408</v>
      </c>
      <c r="J203" s="24">
        <v>86.066666666666663</v>
      </c>
      <c r="K203" s="24" t="s">
        <v>21</v>
      </c>
      <c r="L203" s="24" t="s">
        <v>21</v>
      </c>
      <c r="M203" s="24" t="s">
        <v>47</v>
      </c>
      <c r="N203" s="24">
        <v>44518</v>
      </c>
      <c r="O203" s="24" t="s">
        <v>21</v>
      </c>
    </row>
    <row r="204" spans="1:15" x14ac:dyDescent="0.25">
      <c r="A204" s="24" t="s">
        <v>15</v>
      </c>
      <c r="B204" s="24" t="s">
        <v>16</v>
      </c>
      <c r="C204" s="24">
        <v>661341</v>
      </c>
      <c r="D204" s="24" t="s">
        <v>585</v>
      </c>
      <c r="E204" s="24" t="s">
        <v>586</v>
      </c>
      <c r="F204" s="24" t="s">
        <v>587</v>
      </c>
      <c r="G204" s="24" t="s">
        <v>71</v>
      </c>
      <c r="H204" s="24">
        <v>50.41</v>
      </c>
      <c r="I204" s="24">
        <v>0.2</v>
      </c>
      <c r="J204" s="24">
        <v>78.58</v>
      </c>
      <c r="K204" s="24" t="s">
        <v>21</v>
      </c>
      <c r="L204" s="24" t="s">
        <v>21</v>
      </c>
      <c r="M204" s="24" t="s">
        <v>47</v>
      </c>
      <c r="N204" s="24">
        <v>44519</v>
      </c>
      <c r="O204" s="24" t="s">
        <v>21</v>
      </c>
    </row>
    <row r="205" spans="1:15" x14ac:dyDescent="0.25">
      <c r="A205" s="24" t="s">
        <v>23</v>
      </c>
      <c r="B205" s="24" t="s">
        <v>24</v>
      </c>
      <c r="C205" s="24">
        <v>362204</v>
      </c>
      <c r="D205" s="24" t="s">
        <v>588</v>
      </c>
      <c r="E205" s="24" t="s">
        <v>589</v>
      </c>
      <c r="F205" s="24" t="s">
        <v>138</v>
      </c>
      <c r="G205" s="24" t="s">
        <v>28</v>
      </c>
      <c r="H205" s="24">
        <v>698.41</v>
      </c>
      <c r="I205" s="24">
        <v>8.4990000000000006</v>
      </c>
      <c r="J205" s="24">
        <v>39.542000000000002</v>
      </c>
      <c r="K205" s="24" t="s">
        <v>21</v>
      </c>
      <c r="L205" s="24" t="s">
        <v>21</v>
      </c>
      <c r="M205" s="24" t="s">
        <v>47</v>
      </c>
      <c r="N205" s="24">
        <v>44525</v>
      </c>
      <c r="O205" s="24" t="s">
        <v>21</v>
      </c>
    </row>
    <row r="206" spans="1:15" x14ac:dyDescent="0.25">
      <c r="A206" s="24" t="s">
        <v>23</v>
      </c>
      <c r="B206" s="24" t="s">
        <v>24</v>
      </c>
      <c r="C206" s="24">
        <v>653579</v>
      </c>
      <c r="D206" s="24" t="s">
        <v>590</v>
      </c>
      <c r="E206" s="24" t="s">
        <v>383</v>
      </c>
      <c r="F206" s="24" t="s">
        <v>111</v>
      </c>
      <c r="G206" s="24" t="s">
        <v>28</v>
      </c>
      <c r="H206" s="24">
        <v>142.11600000000001</v>
      </c>
      <c r="I206" s="24">
        <v>1.004</v>
      </c>
      <c r="J206" s="24">
        <v>73.882999999999996</v>
      </c>
      <c r="K206" s="24" t="s">
        <v>21</v>
      </c>
      <c r="L206" s="24" t="s">
        <v>90</v>
      </c>
      <c r="M206" s="24" t="s">
        <v>47</v>
      </c>
      <c r="N206" s="24">
        <v>44525</v>
      </c>
      <c r="O206" s="24" t="s">
        <v>90</v>
      </c>
    </row>
    <row r="207" spans="1:15" x14ac:dyDescent="0.25">
      <c r="A207" s="24" t="s">
        <v>23</v>
      </c>
      <c r="B207" s="24" t="s">
        <v>24</v>
      </c>
      <c r="C207" s="24">
        <v>271634</v>
      </c>
      <c r="D207" s="24" t="s">
        <v>591</v>
      </c>
      <c r="E207" s="24" t="s">
        <v>592</v>
      </c>
      <c r="F207" s="24" t="s">
        <v>593</v>
      </c>
      <c r="G207" s="24" t="s">
        <v>28</v>
      </c>
      <c r="H207" s="24">
        <v>521.01099999999997</v>
      </c>
      <c r="I207" s="24">
        <v>6.9820000000000002</v>
      </c>
      <c r="J207" s="24">
        <v>70.394999999999996</v>
      </c>
      <c r="K207" s="24" t="s">
        <v>21</v>
      </c>
      <c r="L207" s="24" t="s">
        <v>21</v>
      </c>
      <c r="M207" s="24" t="s">
        <v>47</v>
      </c>
      <c r="N207" s="24">
        <v>44525</v>
      </c>
      <c r="O207" s="24" t="s">
        <v>21</v>
      </c>
    </row>
    <row r="208" spans="1:15" x14ac:dyDescent="0.25">
      <c r="A208" s="24" t="s">
        <v>169</v>
      </c>
      <c r="B208" s="24" t="s">
        <v>16</v>
      </c>
      <c r="C208" s="24">
        <v>82992</v>
      </c>
      <c r="D208" s="24" t="s">
        <v>594</v>
      </c>
      <c r="E208" s="24" t="s">
        <v>595</v>
      </c>
      <c r="F208" s="24" t="s">
        <v>596</v>
      </c>
      <c r="G208" s="24" t="s">
        <v>331</v>
      </c>
      <c r="H208" s="24">
        <v>265.10550000000001</v>
      </c>
      <c r="I208" s="24">
        <v>8.7508100000000013</v>
      </c>
      <c r="J208" s="24">
        <v>220.26666666666671</v>
      </c>
      <c r="K208" s="24" t="s">
        <v>21</v>
      </c>
      <c r="L208" s="24" t="s">
        <v>21</v>
      </c>
      <c r="M208" s="24" t="s">
        <v>47</v>
      </c>
      <c r="N208" s="24">
        <v>44532</v>
      </c>
      <c r="O208" s="24" t="s">
        <v>21</v>
      </c>
    </row>
    <row r="209" spans="1:15" x14ac:dyDescent="0.25">
      <c r="A209" s="24" t="s">
        <v>169</v>
      </c>
      <c r="B209" s="24" t="s">
        <v>16</v>
      </c>
      <c r="C209" s="24">
        <v>82992</v>
      </c>
      <c r="D209" s="24" t="s">
        <v>594</v>
      </c>
      <c r="E209" s="24" t="s">
        <v>595</v>
      </c>
      <c r="F209" s="24" t="s">
        <v>596</v>
      </c>
      <c r="G209" s="24" t="s">
        <v>331</v>
      </c>
      <c r="H209" s="24">
        <v>123.2606</v>
      </c>
      <c r="I209" s="24">
        <v>3.3311500000000001</v>
      </c>
      <c r="J209" s="24">
        <v>123.5833333333333</v>
      </c>
      <c r="K209" s="24" t="s">
        <v>21</v>
      </c>
      <c r="L209" s="24" t="s">
        <v>90</v>
      </c>
      <c r="M209" s="24" t="s">
        <v>47</v>
      </c>
      <c r="N209" s="24">
        <v>44532</v>
      </c>
      <c r="O209" s="24" t="s">
        <v>90</v>
      </c>
    </row>
    <row r="210" spans="1:15" x14ac:dyDescent="0.25">
      <c r="A210" s="24" t="s">
        <v>23</v>
      </c>
      <c r="B210" s="24" t="s">
        <v>24</v>
      </c>
      <c r="C210" s="24">
        <v>164651</v>
      </c>
      <c r="D210" s="24" t="s">
        <v>597</v>
      </c>
      <c r="E210" s="24" t="s">
        <v>598</v>
      </c>
      <c r="F210" s="24" t="s">
        <v>180</v>
      </c>
      <c r="G210" s="24" t="s">
        <v>28</v>
      </c>
      <c r="H210" s="24">
        <v>341.41300000000001</v>
      </c>
      <c r="I210" s="24">
        <v>5.1079999999999997</v>
      </c>
      <c r="J210" s="24">
        <v>36.219000000000001</v>
      </c>
      <c r="K210" s="24" t="s">
        <v>21</v>
      </c>
      <c r="L210" s="24" t="s">
        <v>21</v>
      </c>
      <c r="M210" s="24" t="s">
        <v>47</v>
      </c>
      <c r="N210" s="24">
        <v>44537</v>
      </c>
      <c r="O210" s="24" t="s">
        <v>21</v>
      </c>
    </row>
    <row r="211" spans="1:15" x14ac:dyDescent="0.25">
      <c r="A211" s="24" t="s">
        <v>32</v>
      </c>
      <c r="B211" s="24" t="s">
        <v>24</v>
      </c>
      <c r="C211" s="24">
        <v>650227</v>
      </c>
      <c r="D211" s="24" t="s">
        <v>599</v>
      </c>
      <c r="E211" s="24" t="s">
        <v>598</v>
      </c>
      <c r="F211" s="24" t="s">
        <v>600</v>
      </c>
      <c r="G211" s="24" t="s">
        <v>28</v>
      </c>
      <c r="H211" s="24">
        <v>356.44600000000003</v>
      </c>
      <c r="I211" s="24">
        <v>4.9690000000000003</v>
      </c>
      <c r="J211" s="24">
        <v>65.972999999999999</v>
      </c>
      <c r="K211" s="24" t="s">
        <v>21</v>
      </c>
      <c r="L211" s="24" t="s">
        <v>21</v>
      </c>
      <c r="M211" s="24" t="s">
        <v>47</v>
      </c>
      <c r="N211" s="24">
        <v>44537</v>
      </c>
      <c r="O211" s="24" t="s">
        <v>21</v>
      </c>
    </row>
    <row r="212" spans="1:15" x14ac:dyDescent="0.25">
      <c r="A212" s="24" t="s">
        <v>84</v>
      </c>
      <c r="B212" s="24" t="s">
        <v>24</v>
      </c>
      <c r="C212" s="24">
        <v>338938</v>
      </c>
      <c r="D212" s="24" t="s">
        <v>601</v>
      </c>
      <c r="E212" s="24" t="s">
        <v>598</v>
      </c>
      <c r="F212" s="24" t="s">
        <v>602</v>
      </c>
      <c r="G212" s="24" t="s">
        <v>28</v>
      </c>
      <c r="H212" s="24">
        <v>278.15499999999997</v>
      </c>
      <c r="I212" s="24">
        <v>5.2130000000000001</v>
      </c>
      <c r="J212" s="24">
        <v>23.803999999999998</v>
      </c>
      <c r="K212" s="24" t="s">
        <v>21</v>
      </c>
      <c r="L212" s="24" t="s">
        <v>21</v>
      </c>
      <c r="M212" s="24" t="s">
        <v>47</v>
      </c>
      <c r="N212" s="24">
        <v>44537</v>
      </c>
      <c r="O212" s="24" t="s">
        <v>21</v>
      </c>
    </row>
    <row r="213" spans="1:15" x14ac:dyDescent="0.25">
      <c r="A213" s="24" t="s">
        <v>32</v>
      </c>
      <c r="B213" s="24" t="s">
        <v>24</v>
      </c>
      <c r="C213" s="24">
        <v>628255</v>
      </c>
      <c r="D213" s="24" t="s">
        <v>603</v>
      </c>
      <c r="E213" s="24" t="s">
        <v>592</v>
      </c>
      <c r="F213" s="24" t="s">
        <v>604</v>
      </c>
      <c r="G213" s="24" t="s">
        <v>28</v>
      </c>
      <c r="H213" s="24">
        <v>328.25200000000001</v>
      </c>
      <c r="I213" s="24">
        <v>4.6589999999999998</v>
      </c>
      <c r="J213" s="24">
        <v>64.063000000000002</v>
      </c>
      <c r="K213" s="24" t="s">
        <v>21</v>
      </c>
      <c r="L213" s="24" t="s">
        <v>90</v>
      </c>
      <c r="M213" s="24" t="s">
        <v>22</v>
      </c>
      <c r="N213" s="24">
        <v>44539</v>
      </c>
      <c r="O213" s="24" t="s">
        <v>90</v>
      </c>
    </row>
    <row r="214" spans="1:15" x14ac:dyDescent="0.25">
      <c r="A214" s="24" t="s">
        <v>84</v>
      </c>
      <c r="B214" s="24" t="s">
        <v>24</v>
      </c>
      <c r="C214" s="24">
        <v>48269</v>
      </c>
      <c r="D214" s="24" t="s">
        <v>605</v>
      </c>
      <c r="E214" s="24" t="s">
        <v>606</v>
      </c>
      <c r="F214" s="24" t="s">
        <v>607</v>
      </c>
      <c r="G214" s="24" t="s">
        <v>28</v>
      </c>
      <c r="H214" s="24">
        <v>247.53200000000001</v>
      </c>
      <c r="I214" s="24">
        <v>4.9989999999999997</v>
      </c>
      <c r="J214" s="24">
        <v>73.513000000000005</v>
      </c>
      <c r="K214" s="24" t="s">
        <v>21</v>
      </c>
      <c r="L214" s="24" t="s">
        <v>90</v>
      </c>
      <c r="M214" s="24" t="s">
        <v>22</v>
      </c>
      <c r="N214" s="24">
        <v>44539</v>
      </c>
      <c r="O214" s="24" t="s">
        <v>90</v>
      </c>
    </row>
    <row r="215" spans="1:15" x14ac:dyDescent="0.25">
      <c r="A215" s="24" t="s">
        <v>15</v>
      </c>
      <c r="B215" s="24" t="s">
        <v>16</v>
      </c>
      <c r="C215" s="24">
        <v>262226</v>
      </c>
      <c r="D215" s="24" t="s">
        <v>608</v>
      </c>
      <c r="E215" s="24" t="s">
        <v>609</v>
      </c>
      <c r="F215" s="24" t="s">
        <v>610</v>
      </c>
      <c r="G215" s="24" t="s">
        <v>611</v>
      </c>
      <c r="H215" s="24">
        <v>1242.31</v>
      </c>
      <c r="I215" s="24">
        <v>3.7</v>
      </c>
      <c r="J215" s="24">
        <v>63.47</v>
      </c>
      <c r="K215" s="24" t="s">
        <v>21</v>
      </c>
      <c r="L215" s="24" t="s">
        <v>21</v>
      </c>
      <c r="M215" s="24" t="s">
        <v>47</v>
      </c>
      <c r="N215" s="24">
        <v>44544</v>
      </c>
      <c r="O215" s="24" t="s">
        <v>21</v>
      </c>
    </row>
    <row r="216" spans="1:15" x14ac:dyDescent="0.25">
      <c r="A216" s="24" t="s">
        <v>15</v>
      </c>
      <c r="B216" s="24" t="s">
        <v>16</v>
      </c>
      <c r="C216" s="24">
        <v>327946</v>
      </c>
      <c r="D216" s="24" t="s">
        <v>612</v>
      </c>
      <c r="E216" s="24" t="s">
        <v>613</v>
      </c>
      <c r="F216" s="24" t="s">
        <v>614</v>
      </c>
      <c r="G216" s="24" t="s">
        <v>128</v>
      </c>
      <c r="H216" s="24">
        <v>607.69000000000005</v>
      </c>
      <c r="I216" s="24">
        <v>2.0699999999999998</v>
      </c>
      <c r="J216" s="24">
        <v>43.32</v>
      </c>
      <c r="K216" s="24" t="s">
        <v>21</v>
      </c>
      <c r="L216" s="24" t="s">
        <v>21</v>
      </c>
      <c r="M216" s="24" t="s">
        <v>47</v>
      </c>
      <c r="N216" s="24">
        <v>44545</v>
      </c>
      <c r="O216" s="24" t="s">
        <v>21</v>
      </c>
    </row>
    <row r="217" spans="1:15" x14ac:dyDescent="0.25">
      <c r="A217" s="24" t="s">
        <v>15</v>
      </c>
      <c r="B217" s="24" t="s">
        <v>16</v>
      </c>
      <c r="C217" s="24">
        <v>578992</v>
      </c>
      <c r="D217" s="24" t="s">
        <v>212</v>
      </c>
      <c r="E217" s="24" t="s">
        <v>615</v>
      </c>
      <c r="F217" s="24" t="s">
        <v>214</v>
      </c>
      <c r="G217" s="24" t="s">
        <v>71</v>
      </c>
      <c r="H217" s="24">
        <v>266.83999999999997</v>
      </c>
      <c r="I217" s="24">
        <v>0.92</v>
      </c>
      <c r="J217" s="24">
        <v>78.98</v>
      </c>
      <c r="K217" s="24" t="s">
        <v>21</v>
      </c>
      <c r="L217" s="24" t="s">
        <v>21</v>
      </c>
      <c r="M217" s="24" t="s">
        <v>47</v>
      </c>
      <c r="N217" s="24">
        <v>44547</v>
      </c>
      <c r="O217" s="24" t="s">
        <v>21</v>
      </c>
    </row>
    <row r="218" spans="1:15" x14ac:dyDescent="0.25">
      <c r="A218" s="24" t="s">
        <v>32</v>
      </c>
      <c r="B218" s="24" t="s">
        <v>24</v>
      </c>
      <c r="C218" s="24" t="s">
        <v>616</v>
      </c>
      <c r="D218" s="24" t="s">
        <v>617</v>
      </c>
      <c r="E218" s="24" t="s">
        <v>618</v>
      </c>
      <c r="F218" s="24" t="s">
        <v>619</v>
      </c>
      <c r="G218" s="24" t="s">
        <v>28</v>
      </c>
      <c r="H218" s="24">
        <v>447.93400000000003</v>
      </c>
      <c r="I218" s="24">
        <v>6.2080000000000002</v>
      </c>
      <c r="J218" s="24">
        <v>35.723999999999997</v>
      </c>
      <c r="K218" s="24" t="s">
        <v>21</v>
      </c>
      <c r="L218" s="24" t="s">
        <v>21</v>
      </c>
      <c r="M218" s="24" t="s">
        <v>22</v>
      </c>
      <c r="N218" s="24">
        <v>44550</v>
      </c>
      <c r="O218" s="24" t="s">
        <v>21</v>
      </c>
    </row>
    <row r="219" spans="1:15" x14ac:dyDescent="0.25">
      <c r="A219" s="24" t="s">
        <v>15</v>
      </c>
      <c r="B219" s="24" t="s">
        <v>16</v>
      </c>
      <c r="C219" s="24">
        <v>58033</v>
      </c>
      <c r="D219" s="24" t="s">
        <v>620</v>
      </c>
      <c r="E219" s="24" t="s">
        <v>621</v>
      </c>
      <c r="F219" s="24" t="s">
        <v>411</v>
      </c>
      <c r="G219" s="24" t="s">
        <v>102</v>
      </c>
      <c r="H219" s="24">
        <v>456.98</v>
      </c>
      <c r="I219" s="24">
        <v>1.32</v>
      </c>
      <c r="J219" s="24">
        <v>88.73</v>
      </c>
      <c r="K219" s="24" t="s">
        <v>21</v>
      </c>
      <c r="L219" s="24" t="s">
        <v>21</v>
      </c>
      <c r="M219" s="24" t="s">
        <v>47</v>
      </c>
      <c r="N219" s="24">
        <v>44551</v>
      </c>
      <c r="O219" s="24" t="s">
        <v>21</v>
      </c>
    </row>
    <row r="220" spans="1:15" x14ac:dyDescent="0.25">
      <c r="A220" s="24" t="s">
        <v>23</v>
      </c>
      <c r="B220" s="24" t="s">
        <v>24</v>
      </c>
      <c r="C220" s="24">
        <v>204413</v>
      </c>
      <c r="D220" s="24" t="s">
        <v>622</v>
      </c>
      <c r="E220" s="24" t="s">
        <v>623</v>
      </c>
      <c r="F220" s="24" t="s">
        <v>624</v>
      </c>
      <c r="G220" s="24" t="s">
        <v>28</v>
      </c>
      <c r="H220" s="24">
        <v>330.64100000000002</v>
      </c>
      <c r="I220" s="24">
        <v>2.2709999999999999</v>
      </c>
      <c r="J220" s="24">
        <v>70.13</v>
      </c>
      <c r="K220" s="24" t="s">
        <v>21</v>
      </c>
      <c r="L220" s="24" t="s">
        <v>21</v>
      </c>
      <c r="M220" s="24" t="s">
        <v>22</v>
      </c>
      <c r="N220" s="24">
        <v>44552</v>
      </c>
      <c r="O220" s="24" t="s">
        <v>21</v>
      </c>
    </row>
    <row r="221" spans="1:15" x14ac:dyDescent="0.25">
      <c r="A221" s="24" t="s">
        <v>32</v>
      </c>
      <c r="B221" s="24" t="s">
        <v>24</v>
      </c>
      <c r="C221" s="24">
        <v>97070</v>
      </c>
      <c r="D221" s="24" t="s">
        <v>625</v>
      </c>
      <c r="E221" s="24" t="s">
        <v>626</v>
      </c>
      <c r="F221" s="24" t="s">
        <v>627</v>
      </c>
      <c r="G221" s="24" t="s">
        <v>28</v>
      </c>
      <c r="H221" s="24">
        <v>392.58800000000002</v>
      </c>
      <c r="I221" s="24">
        <v>6.17</v>
      </c>
      <c r="J221" s="24">
        <v>43.917999999999999</v>
      </c>
      <c r="K221" s="24" t="s">
        <v>21</v>
      </c>
      <c r="L221" s="24" t="s">
        <v>21</v>
      </c>
      <c r="M221" s="24" t="s">
        <v>47</v>
      </c>
      <c r="N221" s="24">
        <v>44557</v>
      </c>
      <c r="O221" s="24" t="s">
        <v>21</v>
      </c>
    </row>
    <row r="222" spans="1:15" x14ac:dyDescent="0.25">
      <c r="A222" s="24" t="s">
        <v>169</v>
      </c>
      <c r="B222" s="24" t="s">
        <v>16</v>
      </c>
      <c r="C222" s="24">
        <v>663056</v>
      </c>
      <c r="D222" s="24" t="s">
        <v>628</v>
      </c>
      <c r="E222" s="24" t="s">
        <v>629</v>
      </c>
      <c r="F222" s="24" t="s">
        <v>630</v>
      </c>
      <c r="G222" s="24" t="s">
        <v>174</v>
      </c>
      <c r="H222" s="24">
        <v>258.27019999999999</v>
      </c>
      <c r="I222" s="24">
        <v>8.6432399999999987</v>
      </c>
      <c r="J222" s="24">
        <v>127.1166666666667</v>
      </c>
      <c r="K222" s="24" t="s">
        <v>21</v>
      </c>
      <c r="L222" s="24" t="s">
        <v>21</v>
      </c>
      <c r="M222" s="24" t="s">
        <v>47</v>
      </c>
      <c r="N222" s="24">
        <v>44558</v>
      </c>
      <c r="O222" s="24" t="s">
        <v>21</v>
      </c>
    </row>
    <row r="223" spans="1:15" x14ac:dyDescent="0.25">
      <c r="A223" s="24" t="s">
        <v>169</v>
      </c>
      <c r="B223" s="24" t="s">
        <v>16</v>
      </c>
      <c r="C223" s="24">
        <v>663056</v>
      </c>
      <c r="D223" s="24" t="s">
        <v>628</v>
      </c>
      <c r="E223" s="24" t="s">
        <v>629</v>
      </c>
      <c r="F223" s="24" t="s">
        <v>630</v>
      </c>
      <c r="G223" s="24" t="s">
        <v>174</v>
      </c>
      <c r="H223" s="24">
        <v>74.976500000000001</v>
      </c>
      <c r="I223" s="24">
        <v>1.9902899999999999</v>
      </c>
      <c r="J223" s="24">
        <v>62.866666666666667</v>
      </c>
      <c r="K223" s="24" t="s">
        <v>21</v>
      </c>
      <c r="L223" s="24" t="s">
        <v>90</v>
      </c>
      <c r="M223" s="24" t="s">
        <v>47</v>
      </c>
      <c r="N223" s="24">
        <v>44558</v>
      </c>
      <c r="O223" s="24" t="s">
        <v>90</v>
      </c>
    </row>
    <row r="224" spans="1:15" x14ac:dyDescent="0.25">
      <c r="A224" s="24" t="s">
        <v>15</v>
      </c>
      <c r="B224" s="24" t="s">
        <v>16</v>
      </c>
      <c r="C224" s="24">
        <v>172636</v>
      </c>
      <c r="D224" s="24" t="s">
        <v>631</v>
      </c>
      <c r="E224" s="24" t="s">
        <v>632</v>
      </c>
      <c r="F224" s="24" t="s">
        <v>633</v>
      </c>
      <c r="G224" s="24" t="s">
        <v>59</v>
      </c>
      <c r="H224" s="24">
        <v>175</v>
      </c>
      <c r="I224" s="24">
        <v>0.56000000000000005</v>
      </c>
      <c r="J224" s="24">
        <v>77.63</v>
      </c>
      <c r="K224" s="24" t="s">
        <v>21</v>
      </c>
      <c r="L224" s="24" t="s">
        <v>21</v>
      </c>
      <c r="M224" s="24" t="s">
        <v>22</v>
      </c>
      <c r="N224" s="24">
        <v>44573</v>
      </c>
      <c r="O224" s="24" t="s">
        <v>21</v>
      </c>
    </row>
    <row r="225" spans="1:15" x14ac:dyDescent="0.25">
      <c r="A225" s="24" t="s">
        <v>15</v>
      </c>
      <c r="B225" s="24" t="s">
        <v>16</v>
      </c>
      <c r="C225" s="24">
        <v>58033</v>
      </c>
      <c r="D225" s="24" t="s">
        <v>620</v>
      </c>
      <c r="E225" s="24" t="s">
        <v>634</v>
      </c>
      <c r="F225" s="24" t="s">
        <v>635</v>
      </c>
      <c r="G225" s="24" t="s">
        <v>59</v>
      </c>
      <c r="H225" s="24">
        <v>741.05</v>
      </c>
      <c r="I225" s="24">
        <v>3.23</v>
      </c>
      <c r="J225" s="24">
        <v>69.849999999999994</v>
      </c>
      <c r="K225" s="24" t="s">
        <v>21</v>
      </c>
      <c r="L225" s="24" t="s">
        <v>21</v>
      </c>
      <c r="M225" s="24" t="s">
        <v>22</v>
      </c>
      <c r="N225" s="24">
        <v>44573</v>
      </c>
      <c r="O225" s="24" t="s">
        <v>21</v>
      </c>
    </row>
    <row r="226" spans="1:15" x14ac:dyDescent="0.25">
      <c r="A226" s="24" t="s">
        <v>15</v>
      </c>
      <c r="B226" s="24" t="s">
        <v>16</v>
      </c>
      <c r="C226" s="24">
        <v>352179</v>
      </c>
      <c r="D226" s="24" t="s">
        <v>636</v>
      </c>
      <c r="E226" s="24" t="s">
        <v>637</v>
      </c>
      <c r="F226" s="24" t="s">
        <v>638</v>
      </c>
      <c r="G226" s="24" t="s">
        <v>102</v>
      </c>
      <c r="H226" s="24">
        <v>1672.33</v>
      </c>
      <c r="I226" s="24">
        <v>5.3</v>
      </c>
      <c r="J226" s="24">
        <v>38.520000000000003</v>
      </c>
      <c r="K226" s="24" t="s">
        <v>21</v>
      </c>
      <c r="L226" s="24" t="s">
        <v>21</v>
      </c>
      <c r="M226" s="24" t="s">
        <v>22</v>
      </c>
      <c r="N226" s="24">
        <v>44573</v>
      </c>
      <c r="O226" s="24" t="s">
        <v>21</v>
      </c>
    </row>
    <row r="227" spans="1:15" x14ac:dyDescent="0.25">
      <c r="A227" s="24" t="s">
        <v>15</v>
      </c>
      <c r="B227" s="24" t="s">
        <v>16</v>
      </c>
      <c r="C227" s="24">
        <v>62312</v>
      </c>
      <c r="D227" s="24" t="s">
        <v>639</v>
      </c>
      <c r="E227" s="24" t="s">
        <v>640</v>
      </c>
      <c r="F227" s="24" t="s">
        <v>641</v>
      </c>
      <c r="G227" s="24" t="s">
        <v>102</v>
      </c>
      <c r="H227" s="24">
        <v>1162.78</v>
      </c>
      <c r="I227" s="24">
        <v>3.18</v>
      </c>
      <c r="J227" s="24">
        <v>136.19999999999999</v>
      </c>
      <c r="K227" s="24" t="s">
        <v>21</v>
      </c>
      <c r="L227" s="24" t="s">
        <v>21</v>
      </c>
      <c r="M227" s="24" t="s">
        <v>47</v>
      </c>
      <c r="N227" s="24">
        <v>44574</v>
      </c>
      <c r="O227" s="24" t="s">
        <v>21</v>
      </c>
    </row>
    <row r="228" spans="1:15" x14ac:dyDescent="0.25">
      <c r="A228" s="24" t="s">
        <v>169</v>
      </c>
      <c r="B228" s="24" t="s">
        <v>16</v>
      </c>
      <c r="C228" s="24">
        <v>473064</v>
      </c>
      <c r="D228" s="24" t="s">
        <v>642</v>
      </c>
      <c r="E228" s="24" t="s">
        <v>643</v>
      </c>
      <c r="F228" s="24" t="s">
        <v>644</v>
      </c>
      <c r="G228" s="24" t="s">
        <v>174</v>
      </c>
      <c r="H228" s="24">
        <v>132.7929</v>
      </c>
      <c r="I228" s="24">
        <v>1.95682</v>
      </c>
      <c r="J228" s="24">
        <v>73.949999999999989</v>
      </c>
      <c r="K228" s="24" t="s">
        <v>21</v>
      </c>
      <c r="L228" s="24" t="s">
        <v>21</v>
      </c>
      <c r="M228" s="24" t="s">
        <v>22</v>
      </c>
      <c r="N228" s="24">
        <v>44579</v>
      </c>
      <c r="O228" s="24" t="s">
        <v>21</v>
      </c>
    </row>
    <row r="229" spans="1:15" x14ac:dyDescent="0.25">
      <c r="A229" s="24" t="s">
        <v>169</v>
      </c>
      <c r="B229" s="24" t="s">
        <v>16</v>
      </c>
      <c r="C229" s="24" t="s">
        <v>645</v>
      </c>
      <c r="D229" s="24" t="s">
        <v>646</v>
      </c>
      <c r="E229" s="24" t="s">
        <v>647</v>
      </c>
      <c r="F229" s="24" t="s">
        <v>648</v>
      </c>
      <c r="G229" s="24" t="s">
        <v>389</v>
      </c>
      <c r="H229" s="24">
        <v>125.6045</v>
      </c>
      <c r="I229" s="24">
        <v>5.0009899999999998</v>
      </c>
      <c r="J229" s="24">
        <v>57.25</v>
      </c>
      <c r="K229" s="24" t="s">
        <v>21</v>
      </c>
      <c r="L229" s="24" t="s">
        <v>21</v>
      </c>
      <c r="M229" s="24" t="s">
        <v>22</v>
      </c>
      <c r="N229" s="24">
        <v>44580</v>
      </c>
      <c r="O229" s="24" t="s">
        <v>21</v>
      </c>
    </row>
    <row r="230" spans="1:15" x14ac:dyDescent="0.25">
      <c r="A230" s="24" t="s">
        <v>15</v>
      </c>
      <c r="B230" s="24" t="s">
        <v>16</v>
      </c>
      <c r="C230" s="24">
        <v>166266</v>
      </c>
      <c r="D230" s="24" t="s">
        <v>649</v>
      </c>
      <c r="E230" s="24" t="s">
        <v>650</v>
      </c>
      <c r="F230" s="24" t="s">
        <v>261</v>
      </c>
      <c r="G230" s="24" t="s">
        <v>651</v>
      </c>
      <c r="H230" s="24">
        <v>245.03</v>
      </c>
      <c r="I230" s="24">
        <v>0.82</v>
      </c>
      <c r="J230" s="24">
        <v>79.55</v>
      </c>
      <c r="K230" s="24" t="s">
        <v>21</v>
      </c>
      <c r="L230" s="24" t="s">
        <v>21</v>
      </c>
      <c r="M230" s="24" t="s">
        <v>22</v>
      </c>
      <c r="N230" s="24">
        <v>44585</v>
      </c>
      <c r="O230" s="24" t="s">
        <v>21</v>
      </c>
    </row>
    <row r="231" spans="1:15" x14ac:dyDescent="0.25">
      <c r="A231" s="24" t="s">
        <v>15</v>
      </c>
      <c r="B231" s="24" t="s">
        <v>16</v>
      </c>
      <c r="C231" s="24">
        <v>361980</v>
      </c>
      <c r="D231" s="24" t="s">
        <v>652</v>
      </c>
      <c r="E231" s="24" t="s">
        <v>650</v>
      </c>
      <c r="F231" s="24" t="s">
        <v>653</v>
      </c>
      <c r="G231" s="24" t="s">
        <v>59</v>
      </c>
      <c r="H231" s="24">
        <v>889.06</v>
      </c>
      <c r="I231" s="24">
        <v>4.24</v>
      </c>
      <c r="J231" s="24">
        <v>74.2</v>
      </c>
      <c r="K231" s="24" t="s">
        <v>21</v>
      </c>
      <c r="L231" s="24" t="s">
        <v>21</v>
      </c>
      <c r="M231" s="24" t="s">
        <v>22</v>
      </c>
      <c r="N231" s="24">
        <v>44585</v>
      </c>
      <c r="O231" s="24" t="s">
        <v>21</v>
      </c>
    </row>
    <row r="232" spans="1:15" x14ac:dyDescent="0.25">
      <c r="A232" s="24" t="s">
        <v>15</v>
      </c>
      <c r="B232" s="24" t="s">
        <v>16</v>
      </c>
      <c r="C232" s="24">
        <v>634531</v>
      </c>
      <c r="D232" s="24" t="s">
        <v>654</v>
      </c>
      <c r="E232" s="24" t="s">
        <v>655</v>
      </c>
      <c r="F232" s="24" t="s">
        <v>656</v>
      </c>
      <c r="G232" s="24" t="s">
        <v>657</v>
      </c>
      <c r="H232" s="24">
        <v>269.91000000000003</v>
      </c>
      <c r="I232" s="24">
        <v>0.92</v>
      </c>
      <c r="J232" s="24">
        <v>72.73</v>
      </c>
      <c r="K232" s="24" t="s">
        <v>21</v>
      </c>
      <c r="L232" s="24" t="s">
        <v>21</v>
      </c>
      <c r="M232" s="24" t="s">
        <v>47</v>
      </c>
      <c r="N232" s="24">
        <v>44586</v>
      </c>
      <c r="O232" s="24" t="s">
        <v>21</v>
      </c>
    </row>
    <row r="233" spans="1:15" x14ac:dyDescent="0.25">
      <c r="A233" s="24" t="s">
        <v>15</v>
      </c>
      <c r="B233" s="24" t="s">
        <v>16</v>
      </c>
      <c r="C233" s="24">
        <v>655276</v>
      </c>
      <c r="D233" s="24" t="s">
        <v>658</v>
      </c>
      <c r="E233" s="24" t="s">
        <v>659</v>
      </c>
      <c r="F233" s="24" t="s">
        <v>454</v>
      </c>
      <c r="G233" s="24" t="s">
        <v>102</v>
      </c>
      <c r="H233" s="24">
        <v>638.28</v>
      </c>
      <c r="I233" s="24">
        <v>2.06</v>
      </c>
      <c r="J233" s="24">
        <v>59.42</v>
      </c>
      <c r="K233" s="24" t="s">
        <v>21</v>
      </c>
      <c r="L233" s="24" t="s">
        <v>21</v>
      </c>
      <c r="M233" s="24" t="s">
        <v>47</v>
      </c>
      <c r="N233" s="24">
        <v>44587</v>
      </c>
      <c r="O233" s="24" t="s">
        <v>21</v>
      </c>
    </row>
    <row r="234" spans="1:15" x14ac:dyDescent="0.25">
      <c r="A234" s="24" t="s">
        <v>15</v>
      </c>
      <c r="B234" s="24" t="s">
        <v>16</v>
      </c>
      <c r="C234" s="24">
        <v>22989</v>
      </c>
      <c r="D234" s="24" t="s">
        <v>660</v>
      </c>
      <c r="E234" s="24" t="s">
        <v>661</v>
      </c>
      <c r="F234" s="24" t="s">
        <v>662</v>
      </c>
      <c r="G234" s="24" t="s">
        <v>102</v>
      </c>
      <c r="H234" s="24">
        <v>1515.45</v>
      </c>
      <c r="I234" s="24">
        <v>6.35</v>
      </c>
      <c r="J234" s="24">
        <v>83.82</v>
      </c>
      <c r="K234" s="24" t="s">
        <v>21</v>
      </c>
      <c r="L234" s="24" t="s">
        <v>21</v>
      </c>
      <c r="M234" s="24" t="s">
        <v>22</v>
      </c>
      <c r="N234" s="24">
        <v>44588</v>
      </c>
      <c r="O234" s="24" t="s">
        <v>21</v>
      </c>
    </row>
    <row r="235" spans="1:15" x14ac:dyDescent="0.25">
      <c r="A235" s="24" t="s">
        <v>32</v>
      </c>
      <c r="B235" s="24" t="s">
        <v>24</v>
      </c>
      <c r="C235" s="24">
        <v>224160</v>
      </c>
      <c r="D235" s="24" t="s">
        <v>432</v>
      </c>
      <c r="E235" s="24" t="s">
        <v>661</v>
      </c>
      <c r="F235" s="24" t="s">
        <v>663</v>
      </c>
      <c r="G235" s="24" t="s">
        <v>28</v>
      </c>
      <c r="H235" s="24">
        <v>122.429</v>
      </c>
      <c r="I235" s="24">
        <v>1.0820000000000001</v>
      </c>
      <c r="J235" s="24">
        <v>66.638999999999996</v>
      </c>
      <c r="K235" s="24" t="s">
        <v>21</v>
      </c>
      <c r="L235" s="24" t="s">
        <v>21</v>
      </c>
      <c r="M235" s="24" t="s">
        <v>22</v>
      </c>
      <c r="N235" s="24">
        <v>44588</v>
      </c>
      <c r="O235" s="24" t="s">
        <v>21</v>
      </c>
    </row>
    <row r="236" spans="1:15" x14ac:dyDescent="0.25">
      <c r="A236" s="24" t="s">
        <v>32</v>
      </c>
      <c r="B236" s="24" t="s">
        <v>24</v>
      </c>
      <c r="C236" s="24">
        <v>586849</v>
      </c>
      <c r="D236" s="24" t="s">
        <v>664</v>
      </c>
      <c r="E236" s="24" t="s">
        <v>665</v>
      </c>
      <c r="F236" s="24" t="s">
        <v>666</v>
      </c>
      <c r="G236" s="24" t="s">
        <v>28</v>
      </c>
      <c r="H236" s="24">
        <v>362.18</v>
      </c>
      <c r="I236" s="24">
        <v>5.5590000000000002</v>
      </c>
      <c r="J236" s="24">
        <v>35.301000000000002</v>
      </c>
      <c r="K236" s="24" t="s">
        <v>21</v>
      </c>
      <c r="L236" s="24" t="s">
        <v>21</v>
      </c>
      <c r="M236" s="24" t="s">
        <v>47</v>
      </c>
      <c r="N236" s="24">
        <v>44601</v>
      </c>
      <c r="O236" s="24" t="s">
        <v>21</v>
      </c>
    </row>
    <row r="237" spans="1:15" x14ac:dyDescent="0.25">
      <c r="A237" s="24" t="s">
        <v>169</v>
      </c>
      <c r="B237" s="24" t="s">
        <v>16</v>
      </c>
      <c r="C237" s="24">
        <v>555126</v>
      </c>
      <c r="D237" s="24" t="s">
        <v>667</v>
      </c>
      <c r="E237" s="24" t="s">
        <v>668</v>
      </c>
      <c r="F237" s="24" t="s">
        <v>298</v>
      </c>
      <c r="G237" s="24" t="s">
        <v>669</v>
      </c>
      <c r="H237" s="24">
        <v>42.731699999999996</v>
      </c>
      <c r="I237" s="24">
        <v>1.16317</v>
      </c>
      <c r="J237" s="24">
        <v>73.166666666666657</v>
      </c>
      <c r="K237" s="24" t="s">
        <v>21</v>
      </c>
      <c r="L237" s="24" t="s">
        <v>21</v>
      </c>
      <c r="M237" s="24" t="s">
        <v>47</v>
      </c>
      <c r="N237" s="24">
        <v>44601</v>
      </c>
      <c r="O237" s="24" t="s">
        <v>21</v>
      </c>
    </row>
    <row r="238" spans="1:15" x14ac:dyDescent="0.25">
      <c r="A238" s="24" t="s">
        <v>15</v>
      </c>
      <c r="B238" s="24" t="s">
        <v>16</v>
      </c>
      <c r="C238" s="24">
        <v>327946</v>
      </c>
      <c r="D238" s="24" t="s">
        <v>612</v>
      </c>
      <c r="E238" s="24" t="s">
        <v>670</v>
      </c>
      <c r="F238" s="24" t="s">
        <v>402</v>
      </c>
      <c r="G238" s="24" t="s">
        <v>102</v>
      </c>
      <c r="H238" s="24">
        <v>743.66</v>
      </c>
      <c r="I238" s="24">
        <v>2.14</v>
      </c>
      <c r="J238" s="24">
        <v>34.08</v>
      </c>
      <c r="K238" s="24" t="s">
        <v>21</v>
      </c>
      <c r="L238" s="24" t="s">
        <v>21</v>
      </c>
      <c r="M238" s="24" t="s">
        <v>47</v>
      </c>
      <c r="N238" s="24">
        <v>44610</v>
      </c>
      <c r="O238" s="24" t="s">
        <v>21</v>
      </c>
    </row>
    <row r="239" spans="1:15" x14ac:dyDescent="0.25">
      <c r="A239" s="24" t="s">
        <v>32</v>
      </c>
      <c r="B239" s="24" t="s">
        <v>24</v>
      </c>
      <c r="C239" s="24">
        <v>664936</v>
      </c>
      <c r="D239" s="24" t="s">
        <v>671</v>
      </c>
      <c r="E239" s="24" t="s">
        <v>670</v>
      </c>
      <c r="F239" s="24" t="s">
        <v>672</v>
      </c>
      <c r="G239" s="24" t="s">
        <v>28</v>
      </c>
      <c r="H239" s="24">
        <v>576.04600000000005</v>
      </c>
      <c r="I239" s="24">
        <v>7.806</v>
      </c>
      <c r="J239" s="24">
        <v>54.89</v>
      </c>
      <c r="K239" s="24" t="s">
        <v>21</v>
      </c>
      <c r="L239" s="24" t="s">
        <v>21</v>
      </c>
      <c r="M239" s="24" t="s">
        <v>47</v>
      </c>
      <c r="N239" s="24">
        <v>44610</v>
      </c>
      <c r="O239" s="24" t="s">
        <v>21</v>
      </c>
    </row>
    <row r="240" spans="1:15" x14ac:dyDescent="0.25">
      <c r="A240" s="24" t="s">
        <v>169</v>
      </c>
      <c r="B240" s="24" t="s">
        <v>16</v>
      </c>
      <c r="C240" s="24">
        <v>325452</v>
      </c>
      <c r="D240" s="24" t="s">
        <v>673</v>
      </c>
      <c r="E240" s="24" t="s">
        <v>674</v>
      </c>
      <c r="F240" s="24" t="s">
        <v>675</v>
      </c>
      <c r="G240" s="24" t="s">
        <v>331</v>
      </c>
      <c r="H240" s="24">
        <v>97.675600000000003</v>
      </c>
      <c r="I240" s="24">
        <v>3.4698199999999999</v>
      </c>
      <c r="J240" s="24">
        <v>110.9</v>
      </c>
      <c r="K240" s="24" t="s">
        <v>21</v>
      </c>
      <c r="L240" s="24" t="s">
        <v>21</v>
      </c>
      <c r="M240" s="24" t="s">
        <v>22</v>
      </c>
      <c r="N240" s="24">
        <v>44614</v>
      </c>
      <c r="O240" s="24" t="s">
        <v>21</v>
      </c>
    </row>
    <row r="241" spans="1:15" x14ac:dyDescent="0.25">
      <c r="A241" s="24" t="s">
        <v>169</v>
      </c>
      <c r="B241" s="24" t="s">
        <v>16</v>
      </c>
      <c r="C241" s="24" t="s">
        <v>676</v>
      </c>
      <c r="D241" s="24" t="s">
        <v>677</v>
      </c>
      <c r="E241" s="24" t="s">
        <v>678</v>
      </c>
      <c r="F241" s="24" t="s">
        <v>679</v>
      </c>
      <c r="G241" s="24" t="s">
        <v>174</v>
      </c>
      <c r="H241" s="24">
        <v>112.3995</v>
      </c>
      <c r="I241" s="24">
        <v>3.42984</v>
      </c>
      <c r="J241" s="24">
        <v>78.633333333333326</v>
      </c>
      <c r="K241" s="24" t="s">
        <v>21</v>
      </c>
      <c r="L241" s="24" t="s">
        <v>21</v>
      </c>
      <c r="M241" s="24" t="s">
        <v>22</v>
      </c>
      <c r="N241" s="24">
        <v>44621</v>
      </c>
      <c r="O241" s="24" t="s">
        <v>21</v>
      </c>
    </row>
    <row r="242" spans="1:15" x14ac:dyDescent="0.25">
      <c r="A242" s="24" t="s">
        <v>15</v>
      </c>
      <c r="B242" s="24" t="s">
        <v>16</v>
      </c>
      <c r="C242" s="24">
        <v>190260</v>
      </c>
      <c r="D242" s="24" t="s">
        <v>680</v>
      </c>
      <c r="E242" s="24" t="s">
        <v>681</v>
      </c>
      <c r="F242" s="24" t="s">
        <v>682</v>
      </c>
      <c r="G242" s="24" t="s">
        <v>537</v>
      </c>
      <c r="H242" s="24">
        <v>507.49</v>
      </c>
      <c r="I242" s="24">
        <v>1.26</v>
      </c>
      <c r="J242" s="24">
        <v>36.979999999999997</v>
      </c>
      <c r="K242" s="24" t="s">
        <v>21</v>
      </c>
      <c r="L242" s="24" t="s">
        <v>21</v>
      </c>
      <c r="M242" s="24" t="s">
        <v>47</v>
      </c>
      <c r="N242" s="24">
        <v>44820</v>
      </c>
      <c r="O242" s="24" t="s">
        <v>21</v>
      </c>
    </row>
    <row r="243" spans="1:15" x14ac:dyDescent="0.25">
      <c r="A243" s="24" t="s">
        <v>15</v>
      </c>
      <c r="B243" s="24" t="s">
        <v>16</v>
      </c>
      <c r="C243" s="24">
        <v>299244</v>
      </c>
      <c r="D243" s="24" t="s">
        <v>683</v>
      </c>
      <c r="E243" s="24" t="s">
        <v>684</v>
      </c>
      <c r="F243" s="24" t="s">
        <v>685</v>
      </c>
      <c r="G243" s="24" t="s">
        <v>59</v>
      </c>
      <c r="H243" s="24">
        <v>2632.76</v>
      </c>
      <c r="I243" s="24">
        <v>4.6900000000000004</v>
      </c>
      <c r="J243" s="24">
        <v>68.180000000000007</v>
      </c>
      <c r="K243" s="24" t="s">
        <v>21</v>
      </c>
      <c r="L243" s="24" t="s">
        <v>21</v>
      </c>
      <c r="M243" s="24" t="s">
        <v>47</v>
      </c>
      <c r="N243" s="24">
        <v>44820</v>
      </c>
      <c r="O243" s="24" t="s">
        <v>21</v>
      </c>
    </row>
    <row r="244" spans="1:15" x14ac:dyDescent="0.25">
      <c r="A244" s="24" t="s">
        <v>15</v>
      </c>
      <c r="B244" s="24" t="s">
        <v>16</v>
      </c>
      <c r="C244" s="24">
        <v>665892</v>
      </c>
      <c r="D244" s="24" t="s">
        <v>686</v>
      </c>
      <c r="E244" s="24" t="s">
        <v>687</v>
      </c>
      <c r="F244" s="24" t="s">
        <v>688</v>
      </c>
      <c r="G244" s="24" t="s">
        <v>295</v>
      </c>
      <c r="H244" s="24">
        <v>1461.96</v>
      </c>
      <c r="I244" s="24">
        <v>5.43</v>
      </c>
      <c r="J244" s="24">
        <v>51.32</v>
      </c>
      <c r="K244" s="24" t="s">
        <v>21</v>
      </c>
      <c r="L244" s="24" t="s">
        <v>21</v>
      </c>
      <c r="M244" s="24" t="s">
        <v>47</v>
      </c>
      <c r="N244" s="24">
        <v>44820</v>
      </c>
      <c r="O244" s="24" t="s">
        <v>21</v>
      </c>
    </row>
    <row r="245" spans="1:15" x14ac:dyDescent="0.25">
      <c r="A245" s="24" t="s">
        <v>169</v>
      </c>
      <c r="B245" s="24" t="s">
        <v>16</v>
      </c>
      <c r="C245" s="24" t="s">
        <v>689</v>
      </c>
      <c r="D245" s="24" t="s">
        <v>690</v>
      </c>
      <c r="E245" s="24" t="s">
        <v>691</v>
      </c>
      <c r="F245" s="24" t="s">
        <v>365</v>
      </c>
      <c r="G245" s="24" t="s">
        <v>232</v>
      </c>
      <c r="H245" s="24">
        <v>75.260000000000005</v>
      </c>
      <c r="I245" s="24">
        <v>5.6434200000000008</v>
      </c>
      <c r="J245" s="24">
        <v>85.800000000000011</v>
      </c>
      <c r="K245" s="24" t="s">
        <v>21</v>
      </c>
      <c r="L245" s="24" t="s">
        <v>21</v>
      </c>
      <c r="M245" s="24" t="s">
        <v>47</v>
      </c>
      <c r="N245" s="24">
        <v>44825</v>
      </c>
      <c r="O245" s="24" t="s">
        <v>21</v>
      </c>
    </row>
    <row r="246" spans="1:15" x14ac:dyDescent="0.25">
      <c r="A246" s="24" t="s">
        <v>15</v>
      </c>
      <c r="B246" s="24" t="s">
        <v>16</v>
      </c>
      <c r="C246" s="24">
        <v>257373</v>
      </c>
      <c r="D246" s="24" t="s">
        <v>692</v>
      </c>
      <c r="E246" s="24" t="s">
        <v>693</v>
      </c>
      <c r="F246" s="24" t="s">
        <v>694</v>
      </c>
      <c r="G246" s="24" t="s">
        <v>20</v>
      </c>
      <c r="H246" s="24">
        <v>498.64</v>
      </c>
      <c r="I246" s="24">
        <v>1.0799399999999999</v>
      </c>
      <c r="J246" s="24">
        <v>10.4</v>
      </c>
      <c r="K246" s="24" t="s">
        <v>21</v>
      </c>
      <c r="L246" s="24" t="s">
        <v>90</v>
      </c>
      <c r="M246" s="24" t="s">
        <v>47</v>
      </c>
      <c r="N246" s="24">
        <v>44830</v>
      </c>
      <c r="O246" s="24" t="s">
        <v>90</v>
      </c>
    </row>
    <row r="247" spans="1:15" x14ac:dyDescent="0.25">
      <c r="A247" s="24" t="s">
        <v>15</v>
      </c>
      <c r="B247" s="24" t="s">
        <v>16</v>
      </c>
      <c r="C247" s="24">
        <v>673427</v>
      </c>
      <c r="D247" s="24" t="s">
        <v>695</v>
      </c>
      <c r="E247" s="24" t="s">
        <v>696</v>
      </c>
      <c r="F247" s="24" t="s">
        <v>697</v>
      </c>
      <c r="G247" s="24" t="s">
        <v>128</v>
      </c>
      <c r="H247" s="24">
        <v>663.26</v>
      </c>
      <c r="I247" s="24">
        <v>2.2799999999999998</v>
      </c>
      <c r="J247" s="24">
        <v>42.8</v>
      </c>
      <c r="K247" s="24" t="s">
        <v>21</v>
      </c>
      <c r="L247" s="24" t="s">
        <v>21</v>
      </c>
      <c r="M247" s="24" t="s">
        <v>47</v>
      </c>
      <c r="N247" s="24">
        <v>44838</v>
      </c>
      <c r="O247" s="24" t="s">
        <v>21</v>
      </c>
    </row>
    <row r="248" spans="1:15" x14ac:dyDescent="0.25">
      <c r="A248" s="24" t="s">
        <v>169</v>
      </c>
      <c r="B248" s="24" t="s">
        <v>16</v>
      </c>
      <c r="C248" s="24">
        <v>293198</v>
      </c>
      <c r="D248" s="24" t="s">
        <v>698</v>
      </c>
      <c r="E248" s="24" t="s">
        <v>699</v>
      </c>
      <c r="F248" s="24" t="s">
        <v>700</v>
      </c>
      <c r="G248" s="24" t="s">
        <v>248</v>
      </c>
      <c r="H248" s="24">
        <v>89.122399999999999</v>
      </c>
      <c r="I248" s="24">
        <v>2.5481500000000001</v>
      </c>
      <c r="J248" s="24">
        <v>81.566666666666663</v>
      </c>
      <c r="K248" s="24" t="s">
        <v>21</v>
      </c>
      <c r="L248" s="24" t="s">
        <v>21</v>
      </c>
      <c r="M248" s="24" t="s">
        <v>47</v>
      </c>
      <c r="N248" s="24">
        <v>44854</v>
      </c>
      <c r="O248" s="24" t="s">
        <v>21</v>
      </c>
    </row>
    <row r="249" spans="1:15" x14ac:dyDescent="0.25">
      <c r="A249" s="24" t="s">
        <v>169</v>
      </c>
      <c r="B249" s="24" t="s">
        <v>16</v>
      </c>
      <c r="C249" s="24">
        <v>669356</v>
      </c>
      <c r="D249" s="24" t="s">
        <v>701</v>
      </c>
      <c r="E249" s="24" t="s">
        <v>702</v>
      </c>
      <c r="F249" s="24" t="s">
        <v>703</v>
      </c>
      <c r="G249" s="24" t="s">
        <v>289</v>
      </c>
      <c r="H249" s="24">
        <v>60.278099999999988</v>
      </c>
      <c r="I249" s="24">
        <v>1.5191300000000001</v>
      </c>
      <c r="J249" s="24">
        <v>110.4666666666667</v>
      </c>
      <c r="K249" s="24" t="s">
        <v>21</v>
      </c>
      <c r="L249" s="24" t="s">
        <v>21</v>
      </c>
      <c r="M249" s="24" t="s">
        <v>47</v>
      </c>
      <c r="N249" s="24">
        <v>44861</v>
      </c>
      <c r="O249" s="24" t="s">
        <v>21</v>
      </c>
    </row>
    <row r="250" spans="1:15" x14ac:dyDescent="0.25">
      <c r="A250" s="24" t="s">
        <v>15</v>
      </c>
      <c r="B250" s="24" t="s">
        <v>16</v>
      </c>
      <c r="C250" s="24">
        <v>539260</v>
      </c>
      <c r="D250" s="24" t="s">
        <v>704</v>
      </c>
      <c r="E250" s="24" t="s">
        <v>705</v>
      </c>
      <c r="F250" s="24" t="s">
        <v>438</v>
      </c>
      <c r="G250" s="24" t="s">
        <v>102</v>
      </c>
      <c r="H250" s="24">
        <v>3015.73</v>
      </c>
      <c r="I250" s="24">
        <v>6.89</v>
      </c>
      <c r="J250" s="24">
        <v>92.63</v>
      </c>
      <c r="K250" s="24" t="s">
        <v>21</v>
      </c>
      <c r="L250" s="24" t="s">
        <v>21</v>
      </c>
      <c r="M250" s="24" t="s">
        <v>47</v>
      </c>
      <c r="N250" s="24">
        <v>44869</v>
      </c>
      <c r="O250" s="24" t="s">
        <v>21</v>
      </c>
    </row>
    <row r="251" spans="1:15" x14ac:dyDescent="0.25">
      <c r="A251" s="24" t="s">
        <v>23</v>
      </c>
      <c r="B251" s="24" t="s">
        <v>24</v>
      </c>
      <c r="C251" s="24">
        <v>674735</v>
      </c>
      <c r="D251" s="24" t="s">
        <v>706</v>
      </c>
      <c r="E251" s="24" t="s">
        <v>705</v>
      </c>
      <c r="F251" s="24" t="s">
        <v>95</v>
      </c>
      <c r="G251" s="24" t="s">
        <v>28</v>
      </c>
      <c r="H251" s="24">
        <v>672.81200000000001</v>
      </c>
      <c r="I251" s="24">
        <v>7.6920000000000002</v>
      </c>
      <c r="J251" s="24">
        <v>73.456999999999994</v>
      </c>
      <c r="K251" s="24" t="s">
        <v>21</v>
      </c>
      <c r="L251" s="24" t="s">
        <v>21</v>
      </c>
      <c r="M251" s="24" t="s">
        <v>47</v>
      </c>
      <c r="N251" s="24">
        <v>44869</v>
      </c>
      <c r="O251" s="24" t="s">
        <v>21</v>
      </c>
    </row>
    <row r="252" spans="1:15" x14ac:dyDescent="0.25">
      <c r="A252" s="24" t="s">
        <v>15</v>
      </c>
      <c r="B252" s="24" t="s">
        <v>16</v>
      </c>
      <c r="C252" s="24">
        <v>110320</v>
      </c>
      <c r="D252" s="24" t="s">
        <v>707</v>
      </c>
      <c r="E252" s="24" t="s">
        <v>708</v>
      </c>
      <c r="F252" s="24" t="s">
        <v>214</v>
      </c>
      <c r="G252" s="24" t="s">
        <v>71</v>
      </c>
      <c r="H252" s="24">
        <v>562.14</v>
      </c>
      <c r="I252" s="24">
        <v>1.74</v>
      </c>
      <c r="J252" s="24">
        <v>25.8</v>
      </c>
      <c r="K252" s="24" t="s">
        <v>21</v>
      </c>
      <c r="L252" s="24" t="s">
        <v>21</v>
      </c>
      <c r="M252" s="24" t="s">
        <v>47</v>
      </c>
      <c r="N252" s="24">
        <v>44879</v>
      </c>
      <c r="O252" s="24" t="s">
        <v>21</v>
      </c>
    </row>
    <row r="253" spans="1:15" x14ac:dyDescent="0.25">
      <c r="A253" s="24" t="s">
        <v>23</v>
      </c>
      <c r="B253" s="24" t="s">
        <v>24</v>
      </c>
      <c r="C253" s="24">
        <v>79127</v>
      </c>
      <c r="D253" s="24" t="s">
        <v>709</v>
      </c>
      <c r="E253" s="24" t="s">
        <v>710</v>
      </c>
      <c r="F253" s="24" t="s">
        <v>95</v>
      </c>
      <c r="G253" s="24" t="s">
        <v>28</v>
      </c>
      <c r="H253" s="24">
        <v>219.14699999999999</v>
      </c>
      <c r="I253" s="24">
        <v>2.3109999999999999</v>
      </c>
      <c r="J253" s="24">
        <v>83.393000000000001</v>
      </c>
      <c r="K253" s="24" t="s">
        <v>21</v>
      </c>
      <c r="L253" s="24" t="s">
        <v>21</v>
      </c>
      <c r="M253" s="24" t="s">
        <v>47</v>
      </c>
      <c r="N253" s="24">
        <v>44879</v>
      </c>
      <c r="O253" s="24" t="s">
        <v>21</v>
      </c>
    </row>
    <row r="254" spans="1:15" x14ac:dyDescent="0.25">
      <c r="A254" s="24" t="s">
        <v>32</v>
      </c>
      <c r="B254" s="24" t="s">
        <v>24</v>
      </c>
      <c r="C254" s="24">
        <v>426647</v>
      </c>
      <c r="D254" s="24" t="s">
        <v>711</v>
      </c>
      <c r="E254" s="24" t="s">
        <v>710</v>
      </c>
      <c r="F254" s="24" t="s">
        <v>95</v>
      </c>
      <c r="G254" s="24" t="s">
        <v>28</v>
      </c>
      <c r="H254" s="24">
        <v>339.68099999999998</v>
      </c>
      <c r="I254" s="24">
        <v>7.1849999999999996</v>
      </c>
      <c r="J254" s="24">
        <v>119.78700000000001</v>
      </c>
      <c r="K254" s="24" t="s">
        <v>21</v>
      </c>
      <c r="L254" s="24" t="s">
        <v>21</v>
      </c>
      <c r="M254" s="24" t="s">
        <v>47</v>
      </c>
      <c r="N254" s="24">
        <v>44879</v>
      </c>
      <c r="O254" s="24" t="s">
        <v>21</v>
      </c>
    </row>
    <row r="255" spans="1:15" x14ac:dyDescent="0.25">
      <c r="A255" s="24" t="s">
        <v>32</v>
      </c>
      <c r="B255" s="24" t="s">
        <v>24</v>
      </c>
      <c r="C255" s="24">
        <v>675210</v>
      </c>
      <c r="D255" s="24" t="s">
        <v>712</v>
      </c>
      <c r="E255" s="24" t="s">
        <v>713</v>
      </c>
      <c r="F255" s="24" t="s">
        <v>95</v>
      </c>
      <c r="G255" s="24" t="s">
        <v>28</v>
      </c>
      <c r="H255" s="24">
        <v>586.15899999999999</v>
      </c>
      <c r="I255" s="24">
        <v>7.1680000000000001</v>
      </c>
      <c r="J255" s="24">
        <v>77.930000000000007</v>
      </c>
      <c r="K255" s="24" t="s">
        <v>21</v>
      </c>
      <c r="L255" s="24" t="s">
        <v>21</v>
      </c>
      <c r="M255" s="24" t="s">
        <v>47</v>
      </c>
      <c r="N255" s="24">
        <v>44880</v>
      </c>
      <c r="O255" s="24" t="s">
        <v>21</v>
      </c>
    </row>
    <row r="256" spans="1:15" x14ac:dyDescent="0.25">
      <c r="A256" s="24" t="s">
        <v>169</v>
      </c>
      <c r="B256" s="24" t="s">
        <v>16</v>
      </c>
      <c r="C256" s="24">
        <v>633869</v>
      </c>
      <c r="D256" s="24" t="s">
        <v>714</v>
      </c>
      <c r="E256" s="24" t="s">
        <v>713</v>
      </c>
      <c r="F256" s="24" t="s">
        <v>494</v>
      </c>
      <c r="G256" s="24" t="s">
        <v>248</v>
      </c>
      <c r="H256" s="24">
        <v>126.66030000000001</v>
      </c>
      <c r="I256" s="24">
        <v>3.2161599999999999</v>
      </c>
      <c r="J256" s="24">
        <v>133.51666666666671</v>
      </c>
      <c r="K256" s="24" t="s">
        <v>21</v>
      </c>
      <c r="L256" s="24" t="s">
        <v>21</v>
      </c>
      <c r="M256" s="24" t="s">
        <v>47</v>
      </c>
      <c r="N256" s="24">
        <v>44881</v>
      </c>
      <c r="O256" s="24" t="s">
        <v>21</v>
      </c>
    </row>
    <row r="257" spans="1:15" x14ac:dyDescent="0.25">
      <c r="A257" s="24" t="s">
        <v>169</v>
      </c>
      <c r="B257" s="24" t="s">
        <v>16</v>
      </c>
      <c r="C257" s="24" t="s">
        <v>715</v>
      </c>
      <c r="D257" s="24"/>
      <c r="E257" s="24" t="s">
        <v>713</v>
      </c>
      <c r="F257" s="24" t="s">
        <v>494</v>
      </c>
      <c r="G257" s="24" t="s">
        <v>248</v>
      </c>
      <c r="H257" s="24">
        <v>27.9712</v>
      </c>
      <c r="I257" s="24">
        <v>0.49320999999999998</v>
      </c>
      <c r="J257" s="24">
        <v>60.766666666666673</v>
      </c>
      <c r="K257" s="24" t="s">
        <v>21</v>
      </c>
      <c r="L257" s="24" t="s">
        <v>90</v>
      </c>
      <c r="M257" s="24" t="s">
        <v>47</v>
      </c>
      <c r="N257" s="24">
        <v>44881</v>
      </c>
      <c r="O257" s="24" t="s">
        <v>90</v>
      </c>
    </row>
    <row r="258" spans="1:15" x14ac:dyDescent="0.25">
      <c r="A258" s="24" t="s">
        <v>169</v>
      </c>
      <c r="B258" s="24" t="s">
        <v>16</v>
      </c>
      <c r="C258" s="24" t="s">
        <v>716</v>
      </c>
      <c r="D258" s="24" t="s">
        <v>717</v>
      </c>
      <c r="E258" s="24" t="s">
        <v>718</v>
      </c>
      <c r="F258" s="24" t="s">
        <v>719</v>
      </c>
      <c r="G258" s="24" t="s">
        <v>720</v>
      </c>
      <c r="H258" s="24">
        <v>83.671099999999996</v>
      </c>
      <c r="I258" s="24">
        <v>3.5211999999999999</v>
      </c>
      <c r="J258" s="24">
        <v>94.066666666666663</v>
      </c>
      <c r="K258" s="24" t="s">
        <v>21</v>
      </c>
      <c r="L258" s="24" t="s">
        <v>21</v>
      </c>
      <c r="M258" s="24" t="s">
        <v>47</v>
      </c>
      <c r="N258" s="24">
        <v>44896</v>
      </c>
      <c r="O258" s="24" t="s">
        <v>21</v>
      </c>
    </row>
    <row r="259" spans="1:15" x14ac:dyDescent="0.25">
      <c r="A259" s="24" t="s">
        <v>15</v>
      </c>
      <c r="B259" s="24" t="s">
        <v>16</v>
      </c>
      <c r="C259" s="24">
        <v>334655</v>
      </c>
      <c r="D259" s="24" t="s">
        <v>721</v>
      </c>
      <c r="E259" s="24" t="s">
        <v>722</v>
      </c>
      <c r="F259" s="24" t="s">
        <v>89</v>
      </c>
      <c r="G259" s="24" t="s">
        <v>102</v>
      </c>
      <c r="H259" s="24">
        <v>1256.0899999999999</v>
      </c>
      <c r="I259" s="24">
        <v>3.71</v>
      </c>
      <c r="J259" s="24">
        <v>31.48</v>
      </c>
      <c r="K259" s="24" t="s">
        <v>21</v>
      </c>
      <c r="L259" s="24" t="s">
        <v>21</v>
      </c>
      <c r="M259" s="24" t="s">
        <v>47</v>
      </c>
      <c r="N259" s="24">
        <v>44897</v>
      </c>
      <c r="O259" s="24" t="s">
        <v>21</v>
      </c>
    </row>
    <row r="260" spans="1:15" x14ac:dyDescent="0.25">
      <c r="A260" s="24" t="s">
        <v>23</v>
      </c>
      <c r="B260" s="24" t="s">
        <v>24</v>
      </c>
      <c r="C260" s="24">
        <v>216509</v>
      </c>
      <c r="D260" s="24" t="s">
        <v>723</v>
      </c>
      <c r="E260" s="24" t="s">
        <v>722</v>
      </c>
      <c r="F260" s="24" t="s">
        <v>95</v>
      </c>
      <c r="G260" s="24" t="s">
        <v>28</v>
      </c>
      <c r="H260" s="24">
        <v>325.40800000000002</v>
      </c>
      <c r="I260" s="24">
        <v>4.3780000000000001</v>
      </c>
      <c r="J260" s="24">
        <v>102.173</v>
      </c>
      <c r="K260" s="24" t="s">
        <v>21</v>
      </c>
      <c r="L260" s="24" t="s">
        <v>21</v>
      </c>
      <c r="M260" s="24" t="s">
        <v>47</v>
      </c>
      <c r="N260" s="24">
        <v>44897</v>
      </c>
      <c r="O260" s="24" t="s">
        <v>21</v>
      </c>
    </row>
    <row r="261" spans="1:15" x14ac:dyDescent="0.25">
      <c r="A261" s="24" t="s">
        <v>23</v>
      </c>
      <c r="B261" s="24" t="s">
        <v>24</v>
      </c>
      <c r="C261" s="24">
        <v>23482</v>
      </c>
      <c r="D261" s="24" t="s">
        <v>724</v>
      </c>
      <c r="E261" s="24" t="s">
        <v>725</v>
      </c>
      <c r="F261" s="24" t="s">
        <v>95</v>
      </c>
      <c r="G261" s="24" t="s">
        <v>28</v>
      </c>
      <c r="H261" s="24">
        <v>170.48599999999999</v>
      </c>
      <c r="I261" s="24">
        <v>1.8660000000000001</v>
      </c>
      <c r="J261" s="24">
        <v>67.781000000000006</v>
      </c>
      <c r="K261" s="24" t="s">
        <v>21</v>
      </c>
      <c r="L261" s="24" t="s">
        <v>21</v>
      </c>
      <c r="M261" s="24" t="s">
        <v>47</v>
      </c>
      <c r="N261" s="24">
        <v>44908</v>
      </c>
      <c r="O261" s="24" t="s">
        <v>21</v>
      </c>
    </row>
    <row r="262" spans="1:15" x14ac:dyDescent="0.25">
      <c r="A262" s="24" t="s">
        <v>84</v>
      </c>
      <c r="B262" s="24" t="s">
        <v>24</v>
      </c>
      <c r="C262" s="24">
        <v>479501</v>
      </c>
      <c r="D262" s="24" t="s">
        <v>726</v>
      </c>
      <c r="E262" s="24" t="s">
        <v>727</v>
      </c>
      <c r="F262" s="24" t="s">
        <v>95</v>
      </c>
      <c r="G262" s="24" t="s">
        <v>28</v>
      </c>
      <c r="H262" s="24">
        <v>181.822</v>
      </c>
      <c r="I262" s="24">
        <v>2.6579999999999999</v>
      </c>
      <c r="J262" s="24">
        <v>76.650999999999996</v>
      </c>
      <c r="K262" s="24" t="s">
        <v>21</v>
      </c>
      <c r="L262" s="24" t="s">
        <v>21</v>
      </c>
      <c r="M262" s="24" t="s">
        <v>47</v>
      </c>
      <c r="N262" s="24">
        <v>44908</v>
      </c>
      <c r="O262" s="24" t="s">
        <v>21</v>
      </c>
    </row>
    <row r="263" spans="1:15" x14ac:dyDescent="0.25">
      <c r="A263" s="24" t="s">
        <v>84</v>
      </c>
      <c r="B263" s="24" t="s">
        <v>24</v>
      </c>
      <c r="C263" s="24">
        <v>479501</v>
      </c>
      <c r="D263" s="24" t="s">
        <v>726</v>
      </c>
      <c r="E263" s="24" t="s">
        <v>727</v>
      </c>
      <c r="F263" s="24" t="s">
        <v>95</v>
      </c>
      <c r="G263" s="24" t="s">
        <v>28</v>
      </c>
      <c r="H263" s="24">
        <v>181.822</v>
      </c>
      <c r="I263" s="24">
        <v>2.6579999999999999</v>
      </c>
      <c r="J263" s="24">
        <v>76.650999999999996</v>
      </c>
      <c r="K263" s="24" t="s">
        <v>21</v>
      </c>
      <c r="L263" s="24" t="s">
        <v>90</v>
      </c>
      <c r="M263" s="24" t="s">
        <v>47</v>
      </c>
      <c r="N263" s="24">
        <v>44909</v>
      </c>
      <c r="O263" s="24" t="s">
        <v>90</v>
      </c>
    </row>
    <row r="264" spans="1:15" x14ac:dyDescent="0.25">
      <c r="A264" s="24" t="s">
        <v>23</v>
      </c>
      <c r="B264" s="24" t="s">
        <v>24</v>
      </c>
      <c r="C264" s="24">
        <v>676019</v>
      </c>
      <c r="D264" s="24" t="s">
        <v>728</v>
      </c>
      <c r="E264" s="24" t="s">
        <v>729</v>
      </c>
      <c r="F264" s="24" t="s">
        <v>95</v>
      </c>
      <c r="G264" s="24" t="s">
        <v>28</v>
      </c>
      <c r="H264" s="24">
        <v>274.73599999999999</v>
      </c>
      <c r="I264" s="24">
        <v>1.9930000000000001</v>
      </c>
      <c r="J264" s="24">
        <v>62.054000000000002</v>
      </c>
      <c r="K264" s="24" t="s">
        <v>21</v>
      </c>
      <c r="L264" s="24" t="s">
        <v>21</v>
      </c>
      <c r="M264" s="24" t="s">
        <v>47</v>
      </c>
      <c r="N264" s="24">
        <v>44910</v>
      </c>
      <c r="O264" s="24" t="s">
        <v>21</v>
      </c>
    </row>
    <row r="265" spans="1:15" x14ac:dyDescent="0.25">
      <c r="A265" s="24" t="s">
        <v>15</v>
      </c>
      <c r="B265" s="24" t="s">
        <v>16</v>
      </c>
      <c r="C265" s="24">
        <v>675922</v>
      </c>
      <c r="D265" s="24" t="s">
        <v>730</v>
      </c>
      <c r="E265" s="24" t="s">
        <v>731</v>
      </c>
      <c r="F265" s="24" t="s">
        <v>732</v>
      </c>
      <c r="G265" s="24" t="s">
        <v>71</v>
      </c>
      <c r="H265" s="24">
        <v>765.22</v>
      </c>
      <c r="I265" s="24">
        <v>1.96</v>
      </c>
      <c r="J265" s="24">
        <v>38.5</v>
      </c>
      <c r="K265" s="24" t="s">
        <v>21</v>
      </c>
      <c r="L265" s="24" t="s">
        <v>21</v>
      </c>
      <c r="M265" s="24" t="s">
        <v>47</v>
      </c>
      <c r="N265" s="24">
        <v>44917</v>
      </c>
      <c r="O265" s="24" t="s">
        <v>21</v>
      </c>
    </row>
    <row r="266" spans="1:15" x14ac:dyDescent="0.25">
      <c r="A266" s="24" t="s">
        <v>23</v>
      </c>
      <c r="B266" s="24" t="s">
        <v>24</v>
      </c>
      <c r="C266" s="24">
        <v>337958</v>
      </c>
      <c r="D266" s="24" t="s">
        <v>733</v>
      </c>
      <c r="E266" s="24" t="s">
        <v>734</v>
      </c>
      <c r="F266" s="24" t="s">
        <v>150</v>
      </c>
      <c r="G266" s="24" t="s">
        <v>28</v>
      </c>
      <c r="H266" s="24">
        <v>535.06799999999998</v>
      </c>
      <c r="I266" s="24">
        <v>5.702</v>
      </c>
      <c r="J266" s="24">
        <v>49.889000000000003</v>
      </c>
      <c r="K266" s="24" t="s">
        <v>21</v>
      </c>
      <c r="L266" s="24" t="s">
        <v>21</v>
      </c>
      <c r="M266" s="24" t="s">
        <v>47</v>
      </c>
      <c r="N266" s="24">
        <v>44936</v>
      </c>
      <c r="O266" s="24" t="s">
        <v>21</v>
      </c>
    </row>
    <row r="267" spans="1:15" x14ac:dyDescent="0.25">
      <c r="A267" s="24" t="s">
        <v>32</v>
      </c>
      <c r="B267" s="24" t="s">
        <v>24</v>
      </c>
      <c r="C267" s="24">
        <v>349669</v>
      </c>
      <c r="D267" s="24" t="s">
        <v>735</v>
      </c>
      <c r="E267" s="24" t="s">
        <v>736</v>
      </c>
      <c r="F267" s="24" t="s">
        <v>737</v>
      </c>
      <c r="G267" s="24" t="s">
        <v>28</v>
      </c>
      <c r="H267" s="24">
        <v>479.815</v>
      </c>
      <c r="I267" s="24">
        <v>7.2039999999999997</v>
      </c>
      <c r="J267" s="24">
        <v>86.494</v>
      </c>
      <c r="K267" s="24" t="s">
        <v>21</v>
      </c>
      <c r="L267" s="24" t="s">
        <v>21</v>
      </c>
      <c r="M267" s="24" t="s">
        <v>47</v>
      </c>
      <c r="N267" s="24">
        <v>44936</v>
      </c>
      <c r="O267" s="24" t="s">
        <v>21</v>
      </c>
    </row>
    <row r="268" spans="1:15" x14ac:dyDescent="0.25">
      <c r="A268" s="24" t="s">
        <v>169</v>
      </c>
      <c r="B268" s="24" t="s">
        <v>16</v>
      </c>
      <c r="C268" s="24">
        <v>95259</v>
      </c>
      <c r="D268" s="24" t="s">
        <v>738</v>
      </c>
      <c r="E268" s="24" t="s">
        <v>739</v>
      </c>
      <c r="F268" s="24" t="s">
        <v>108</v>
      </c>
      <c r="G268" s="24" t="s">
        <v>248</v>
      </c>
      <c r="H268" s="24">
        <v>27.642299999999999</v>
      </c>
      <c r="I268" s="24">
        <v>0.80608999999999997</v>
      </c>
      <c r="J268" s="24">
        <v>69.183333333333337</v>
      </c>
      <c r="K268" s="24" t="s">
        <v>21</v>
      </c>
      <c r="L268" s="24" t="s">
        <v>21</v>
      </c>
      <c r="M268" s="24" t="s">
        <v>47</v>
      </c>
      <c r="N268" s="24">
        <v>44938</v>
      </c>
      <c r="O268" s="24" t="s">
        <v>21</v>
      </c>
    </row>
    <row r="269" spans="1:15" x14ac:dyDescent="0.25">
      <c r="A269" s="24" t="s">
        <v>169</v>
      </c>
      <c r="B269" s="24" t="s">
        <v>16</v>
      </c>
      <c r="C269" s="24">
        <v>633869</v>
      </c>
      <c r="D269" s="24" t="s">
        <v>714</v>
      </c>
      <c r="E269" s="24" t="s">
        <v>740</v>
      </c>
      <c r="F269" s="24" t="s">
        <v>334</v>
      </c>
      <c r="G269" s="24" t="s">
        <v>232</v>
      </c>
      <c r="H269" s="24">
        <v>112.6</v>
      </c>
      <c r="I269" s="24">
        <v>3.2381000000000002</v>
      </c>
      <c r="J269" s="24">
        <v>95.516666666666666</v>
      </c>
      <c r="K269" s="24" t="s">
        <v>21</v>
      </c>
      <c r="L269" s="24" t="s">
        <v>21</v>
      </c>
      <c r="M269" s="24" t="s">
        <v>47</v>
      </c>
      <c r="N269" s="24">
        <v>44952</v>
      </c>
      <c r="O269" s="24" t="s">
        <v>21</v>
      </c>
    </row>
    <row r="270" spans="1:15" x14ac:dyDescent="0.25">
      <c r="A270" s="24" t="s">
        <v>23</v>
      </c>
      <c r="B270" s="24" t="s">
        <v>24</v>
      </c>
      <c r="C270" s="24">
        <v>132193</v>
      </c>
      <c r="D270" s="24" t="s">
        <v>741</v>
      </c>
      <c r="E270" s="24" t="s">
        <v>742</v>
      </c>
      <c r="F270" s="24" t="s">
        <v>743</v>
      </c>
      <c r="G270" s="24" t="s">
        <v>28</v>
      </c>
      <c r="H270" s="24">
        <v>241.94499999999999</v>
      </c>
      <c r="I270" s="24">
        <v>1.6759999999999999</v>
      </c>
      <c r="J270" s="24">
        <v>109.00700000000001</v>
      </c>
      <c r="K270" s="24" t="s">
        <v>21</v>
      </c>
      <c r="L270" s="24" t="s">
        <v>21</v>
      </c>
      <c r="M270" s="24" t="s">
        <v>47</v>
      </c>
      <c r="N270" s="24">
        <v>44959</v>
      </c>
      <c r="O270" s="24" t="s">
        <v>21</v>
      </c>
    </row>
    <row r="271" spans="1:15" x14ac:dyDescent="0.25">
      <c r="A271" s="24" t="s">
        <v>169</v>
      </c>
      <c r="B271" s="24" t="s">
        <v>16</v>
      </c>
      <c r="C271" s="24">
        <v>650407</v>
      </c>
      <c r="D271" s="24" t="s">
        <v>744</v>
      </c>
      <c r="E271" s="24" t="s">
        <v>745</v>
      </c>
      <c r="F271" s="24" t="s">
        <v>732</v>
      </c>
      <c r="G271" s="24" t="s">
        <v>331</v>
      </c>
      <c r="H271" s="24">
        <v>48.184600000000003</v>
      </c>
      <c r="I271" s="24">
        <v>0.72465000000000002</v>
      </c>
      <c r="J271" s="24">
        <v>104.3833333333333</v>
      </c>
      <c r="K271" s="24" t="s">
        <v>21</v>
      </c>
      <c r="L271" s="24" t="s">
        <v>21</v>
      </c>
      <c r="M271" s="24" t="s">
        <v>47</v>
      </c>
      <c r="N271" s="24">
        <v>44960</v>
      </c>
      <c r="O271" s="24" t="s">
        <v>21</v>
      </c>
    </row>
    <row r="272" spans="1:15" x14ac:dyDescent="0.25">
      <c r="A272" s="24" t="s">
        <v>23</v>
      </c>
      <c r="B272" s="24" t="s">
        <v>24</v>
      </c>
      <c r="C272" s="24">
        <v>550796</v>
      </c>
      <c r="D272" s="24" t="s">
        <v>746</v>
      </c>
      <c r="E272" s="24" t="s">
        <v>747</v>
      </c>
      <c r="F272" s="24" t="s">
        <v>748</v>
      </c>
      <c r="G272" s="24" t="s">
        <v>28</v>
      </c>
      <c r="H272" s="24">
        <v>148.24</v>
      </c>
      <c r="I272" s="24">
        <v>0.94499999999999995</v>
      </c>
      <c r="J272" s="24">
        <v>75.144999999999996</v>
      </c>
      <c r="K272" s="24" t="s">
        <v>21</v>
      </c>
      <c r="L272" s="24" t="s">
        <v>21</v>
      </c>
      <c r="M272" s="24" t="s">
        <v>47</v>
      </c>
      <c r="N272" s="24">
        <v>44965</v>
      </c>
      <c r="O272" s="24" t="s">
        <v>21</v>
      </c>
    </row>
    <row r="273" spans="1:15" x14ac:dyDescent="0.25">
      <c r="A273" s="24" t="s">
        <v>32</v>
      </c>
      <c r="B273" s="24" t="s">
        <v>24</v>
      </c>
      <c r="C273" s="24">
        <v>582590</v>
      </c>
      <c r="D273" s="24" t="s">
        <v>749</v>
      </c>
      <c r="E273" s="24" t="s">
        <v>747</v>
      </c>
      <c r="F273" s="24" t="s">
        <v>371</v>
      </c>
      <c r="G273" s="24" t="s">
        <v>28</v>
      </c>
      <c r="H273" s="24">
        <v>186.34899999999999</v>
      </c>
      <c r="I273" s="24">
        <v>1.891</v>
      </c>
      <c r="J273" s="24">
        <v>91.281999999999996</v>
      </c>
      <c r="K273" s="24" t="s">
        <v>21</v>
      </c>
      <c r="L273" s="24" t="s">
        <v>21</v>
      </c>
      <c r="M273" s="24" t="s">
        <v>47</v>
      </c>
      <c r="N273" s="24">
        <v>44965</v>
      </c>
      <c r="O273" s="24" t="s">
        <v>21</v>
      </c>
    </row>
    <row r="274" spans="1:15" x14ac:dyDescent="0.25">
      <c r="A274" s="24" t="s">
        <v>15</v>
      </c>
      <c r="B274" s="24" t="s">
        <v>16</v>
      </c>
      <c r="C274" s="24">
        <v>229659</v>
      </c>
      <c r="D274" s="24" t="s">
        <v>750</v>
      </c>
      <c r="E274" s="24" t="s">
        <v>751</v>
      </c>
      <c r="F274" s="24" t="s">
        <v>737</v>
      </c>
      <c r="G274" s="24" t="s">
        <v>20</v>
      </c>
      <c r="H274" s="24">
        <v>561.4</v>
      </c>
      <c r="I274" s="24">
        <v>1.69</v>
      </c>
      <c r="J274" s="24">
        <v>44.4</v>
      </c>
      <c r="K274" s="24" t="s">
        <v>21</v>
      </c>
      <c r="L274" s="24" t="s">
        <v>21</v>
      </c>
      <c r="M274" s="24" t="s">
        <v>47</v>
      </c>
      <c r="N274" s="24">
        <v>44966</v>
      </c>
      <c r="O274" s="24" t="s">
        <v>21</v>
      </c>
    </row>
    <row r="275" spans="1:15" x14ac:dyDescent="0.25">
      <c r="A275" s="24" t="s">
        <v>15</v>
      </c>
      <c r="B275" s="24" t="s">
        <v>16</v>
      </c>
      <c r="C275" s="24">
        <v>675922</v>
      </c>
      <c r="D275" s="24" t="s">
        <v>730</v>
      </c>
      <c r="E275" s="24" t="s">
        <v>752</v>
      </c>
      <c r="F275" s="24" t="s">
        <v>753</v>
      </c>
      <c r="G275" s="24" t="s">
        <v>71</v>
      </c>
      <c r="H275" s="24">
        <v>560.78</v>
      </c>
      <c r="I275" s="24">
        <v>1.81</v>
      </c>
      <c r="J275" s="24">
        <v>47.05</v>
      </c>
      <c r="K275" s="24" t="s">
        <v>21</v>
      </c>
      <c r="L275" s="24" t="s">
        <v>21</v>
      </c>
      <c r="M275" s="24" t="s">
        <v>47</v>
      </c>
      <c r="N275" s="24">
        <v>44974</v>
      </c>
      <c r="O275" s="24" t="s">
        <v>21</v>
      </c>
    </row>
    <row r="276" spans="1:15" x14ac:dyDescent="0.25">
      <c r="A276" s="24" t="s">
        <v>23</v>
      </c>
      <c r="B276" s="24" t="s">
        <v>24</v>
      </c>
      <c r="C276" s="24">
        <v>642807</v>
      </c>
      <c r="D276" s="24" t="s">
        <v>754</v>
      </c>
      <c r="E276" s="24" t="s">
        <v>752</v>
      </c>
      <c r="F276" s="24" t="s">
        <v>755</v>
      </c>
      <c r="G276" s="24" t="s">
        <v>28</v>
      </c>
      <c r="H276" s="24">
        <v>162.899</v>
      </c>
      <c r="I276" s="24">
        <v>2.746</v>
      </c>
      <c r="J276" s="24">
        <v>92.972999999999999</v>
      </c>
      <c r="K276" s="24" t="s">
        <v>21</v>
      </c>
      <c r="L276" s="24" t="s">
        <v>21</v>
      </c>
      <c r="M276" s="24" t="s">
        <v>47</v>
      </c>
      <c r="N276" s="24">
        <v>44974</v>
      </c>
      <c r="O276" s="24" t="s">
        <v>21</v>
      </c>
    </row>
    <row r="277" spans="1:15" x14ac:dyDescent="0.25">
      <c r="A277" s="24" t="s">
        <v>32</v>
      </c>
      <c r="B277" s="24" t="s">
        <v>24</v>
      </c>
      <c r="C277" s="24">
        <v>585151</v>
      </c>
      <c r="D277" s="24" t="s">
        <v>756</v>
      </c>
      <c r="E277" s="24" t="s">
        <v>752</v>
      </c>
      <c r="F277" s="24" t="str">
        <f>"8:32"</f>
        <v>8:32</v>
      </c>
      <c r="G277" s="24" t="s">
        <v>28</v>
      </c>
      <c r="H277" s="24">
        <v>514.06399999999996</v>
      </c>
      <c r="I277" s="24">
        <v>8.1319999999999997</v>
      </c>
      <c r="J277" s="24">
        <v>85.718999999999994</v>
      </c>
      <c r="K277" s="24" t="s">
        <v>21</v>
      </c>
      <c r="L277" s="24" t="s">
        <v>21</v>
      </c>
      <c r="M277" s="24" t="s">
        <v>47</v>
      </c>
      <c r="N277" s="24">
        <v>44974</v>
      </c>
      <c r="O277" s="24" t="s">
        <v>21</v>
      </c>
    </row>
    <row r="278" spans="1:15" x14ac:dyDescent="0.25">
      <c r="A278" s="24" t="s">
        <v>23</v>
      </c>
      <c r="B278" s="24" t="s">
        <v>24</v>
      </c>
      <c r="C278" s="24">
        <v>190983</v>
      </c>
      <c r="D278" s="24" t="s">
        <v>757</v>
      </c>
      <c r="E278" s="24" t="s">
        <v>758</v>
      </c>
      <c r="F278" s="24" t="str">
        <f>"9:42"</f>
        <v>9:42</v>
      </c>
      <c r="G278" s="24" t="s">
        <v>28</v>
      </c>
      <c r="H278" s="24">
        <v>797.35799999999995</v>
      </c>
      <c r="I278" s="24">
        <v>7.923</v>
      </c>
      <c r="J278" s="24">
        <v>138.66800000000001</v>
      </c>
      <c r="K278" s="24" t="s">
        <v>21</v>
      </c>
      <c r="L278" s="24" t="s">
        <v>21</v>
      </c>
      <c r="M278" s="24" t="s">
        <v>47</v>
      </c>
      <c r="N278" s="24">
        <v>44977</v>
      </c>
      <c r="O278" s="24" t="s">
        <v>21</v>
      </c>
    </row>
    <row r="279" spans="1:15" x14ac:dyDescent="0.25">
      <c r="A279" s="24" t="s">
        <v>32</v>
      </c>
      <c r="B279" s="24" t="s">
        <v>24</v>
      </c>
      <c r="C279" s="24">
        <v>6607</v>
      </c>
      <c r="D279" s="24" t="s">
        <v>759</v>
      </c>
      <c r="E279" s="24" t="s">
        <v>760</v>
      </c>
      <c r="F279" s="24" t="s">
        <v>98</v>
      </c>
      <c r="G279" s="24" t="s">
        <v>28</v>
      </c>
      <c r="H279" s="24">
        <v>124.708</v>
      </c>
      <c r="I279" s="24">
        <v>2.0350000000000001</v>
      </c>
      <c r="J279" s="24">
        <v>69.411000000000001</v>
      </c>
      <c r="K279" s="24" t="s">
        <v>21</v>
      </c>
      <c r="L279" s="24" t="s">
        <v>21</v>
      </c>
      <c r="M279" s="24" t="s">
        <v>47</v>
      </c>
      <c r="N279" s="24">
        <v>44978</v>
      </c>
      <c r="O279" s="24" t="s">
        <v>21</v>
      </c>
    </row>
    <row r="280" spans="1:15" x14ac:dyDescent="0.25">
      <c r="A280" s="24" t="s">
        <v>84</v>
      </c>
      <c r="B280" s="24" t="s">
        <v>24</v>
      </c>
      <c r="C280" s="24">
        <v>678486</v>
      </c>
      <c r="D280" s="24" t="s">
        <v>761</v>
      </c>
      <c r="E280" s="24" t="s">
        <v>760</v>
      </c>
      <c r="F280" s="24" t="s">
        <v>762</v>
      </c>
      <c r="G280" s="24" t="s">
        <v>28</v>
      </c>
      <c r="H280" s="24">
        <v>215.845</v>
      </c>
      <c r="I280" s="24">
        <v>2.9889999999999999</v>
      </c>
      <c r="J280" s="23">
        <v>80.134</v>
      </c>
      <c r="K280" s="24" t="s">
        <v>21</v>
      </c>
      <c r="L280" s="24" t="s">
        <v>21</v>
      </c>
      <c r="M280" s="24" t="s">
        <v>47</v>
      </c>
      <c r="N280" s="24">
        <v>44979</v>
      </c>
      <c r="O280" s="24" t="s">
        <v>21</v>
      </c>
    </row>
    <row r="281" spans="1:15" x14ac:dyDescent="0.25">
      <c r="A281" s="24" t="s">
        <v>169</v>
      </c>
      <c r="B281" s="24" t="s">
        <v>16</v>
      </c>
      <c r="C281" s="24">
        <v>673311</v>
      </c>
      <c r="D281" s="24" t="s">
        <v>763</v>
      </c>
      <c r="E281" s="24" t="s">
        <v>760</v>
      </c>
      <c r="F281" s="24" t="s">
        <v>764</v>
      </c>
      <c r="G281" s="24" t="s">
        <v>314</v>
      </c>
      <c r="H281" s="24">
        <v>908.47339999999997</v>
      </c>
      <c r="I281" s="24">
        <v>9.2931500000000007</v>
      </c>
      <c r="J281" s="23">
        <v>145.73333333333329</v>
      </c>
      <c r="K281" s="24" t="s">
        <v>21</v>
      </c>
      <c r="L281" s="24" t="s">
        <v>21</v>
      </c>
      <c r="M281" s="24" t="s">
        <v>47</v>
      </c>
      <c r="N281" s="24">
        <v>44979</v>
      </c>
      <c r="O281" s="24" t="s">
        <v>21</v>
      </c>
    </row>
    <row r="282" spans="1:15" x14ac:dyDescent="0.25">
      <c r="A282" s="24" t="s">
        <v>169</v>
      </c>
      <c r="B282" s="24" t="s">
        <v>16</v>
      </c>
      <c r="C282" s="24">
        <v>673311</v>
      </c>
      <c r="D282" s="24" t="s">
        <v>763</v>
      </c>
      <c r="E282" s="24" t="s">
        <v>760</v>
      </c>
      <c r="F282" s="24" t="s">
        <v>764</v>
      </c>
      <c r="G282" s="24" t="s">
        <v>314</v>
      </c>
      <c r="H282" s="24">
        <v>93.875799999999998</v>
      </c>
      <c r="I282" s="24">
        <v>1.7693700000000001</v>
      </c>
      <c r="J282" s="23">
        <v>120.1666666666667</v>
      </c>
      <c r="K282" s="24" t="s">
        <v>21</v>
      </c>
      <c r="L282" s="24" t="s">
        <v>90</v>
      </c>
      <c r="M282" s="24" t="s">
        <v>47</v>
      </c>
      <c r="N282" s="24">
        <v>44979</v>
      </c>
      <c r="O282" s="24" t="s">
        <v>90</v>
      </c>
    </row>
    <row r="283" spans="1:15" x14ac:dyDescent="0.25">
      <c r="A283" s="24" t="s">
        <v>84</v>
      </c>
      <c r="B283" s="24" t="s">
        <v>24</v>
      </c>
      <c r="C283" s="24">
        <v>678992</v>
      </c>
      <c r="D283" s="24" t="s">
        <v>765</v>
      </c>
      <c r="E283" s="24" t="s">
        <v>766</v>
      </c>
      <c r="F283" s="24" t="s">
        <v>767</v>
      </c>
      <c r="G283" s="24" t="s">
        <v>28</v>
      </c>
      <c r="H283" s="24">
        <v>481.65899999999999</v>
      </c>
      <c r="I283" s="24">
        <v>7.3490000000000002</v>
      </c>
      <c r="J283" s="24">
        <v>43.81</v>
      </c>
      <c r="K283" s="24" t="s">
        <v>21</v>
      </c>
      <c r="L283" s="24" t="s">
        <v>21</v>
      </c>
      <c r="M283" s="24" t="s">
        <v>47</v>
      </c>
      <c r="N283" s="24">
        <v>44985</v>
      </c>
      <c r="O283" s="24" t="s">
        <v>21</v>
      </c>
    </row>
    <row r="284" spans="1:15" x14ac:dyDescent="0.25">
      <c r="A284" s="24" t="s">
        <v>169</v>
      </c>
      <c r="B284" s="24" t="s">
        <v>16</v>
      </c>
      <c r="C284" s="24">
        <v>440485</v>
      </c>
      <c r="D284" s="24" t="s">
        <v>768</v>
      </c>
      <c r="E284" s="24" t="s">
        <v>769</v>
      </c>
      <c r="F284" s="24" t="s">
        <v>108</v>
      </c>
      <c r="G284" s="24" t="s">
        <v>174</v>
      </c>
      <c r="H284" s="24">
        <v>445.0367</v>
      </c>
      <c r="I284" s="24">
        <v>5.0298400000000001</v>
      </c>
      <c r="J284" s="24">
        <v>58.25</v>
      </c>
      <c r="K284" s="24" t="s">
        <v>21</v>
      </c>
      <c r="L284" s="24" t="s">
        <v>21</v>
      </c>
      <c r="M284" s="24" t="s">
        <v>47</v>
      </c>
      <c r="N284" s="24">
        <v>44985</v>
      </c>
      <c r="O284" s="24" t="s">
        <v>21</v>
      </c>
    </row>
    <row r="285" spans="1:15" x14ac:dyDescent="0.25">
      <c r="A285" s="24" t="s">
        <v>23</v>
      </c>
      <c r="B285" s="24" t="s">
        <v>24</v>
      </c>
      <c r="C285" s="24">
        <v>679907</v>
      </c>
      <c r="D285" s="24" t="s">
        <v>770</v>
      </c>
      <c r="E285" s="24" t="s">
        <v>771</v>
      </c>
      <c r="F285" s="24" t="s">
        <v>463</v>
      </c>
      <c r="G285" s="24" t="s">
        <v>28</v>
      </c>
      <c r="H285" s="24">
        <v>590.08799999999997</v>
      </c>
      <c r="I285" s="24">
        <v>6.6680000000000001</v>
      </c>
      <c r="J285" s="24">
        <v>78.741</v>
      </c>
      <c r="K285" s="24" t="s">
        <v>21</v>
      </c>
      <c r="L285" s="24" t="s">
        <v>21</v>
      </c>
      <c r="M285" s="24" t="s">
        <v>47</v>
      </c>
      <c r="N285" s="24">
        <v>45007</v>
      </c>
      <c r="O285" s="24" t="s">
        <v>21</v>
      </c>
    </row>
    <row r="286" spans="1:15" x14ac:dyDescent="0.25">
      <c r="A286" s="24" t="s">
        <v>23</v>
      </c>
      <c r="B286" s="24" t="s">
        <v>24</v>
      </c>
      <c r="C286" s="24">
        <v>176639</v>
      </c>
      <c r="D286" s="24" t="s">
        <v>772</v>
      </c>
      <c r="E286" s="24" t="s">
        <v>771</v>
      </c>
      <c r="F286" s="24" t="s">
        <v>773</v>
      </c>
      <c r="G286" s="24" t="s">
        <v>28</v>
      </c>
      <c r="H286" s="24">
        <v>283.98399999999998</v>
      </c>
      <c r="I286" s="24">
        <v>8.7870000000000008</v>
      </c>
      <c r="J286" s="24">
        <v>80.103999999999999</v>
      </c>
      <c r="K286" s="24" t="s">
        <v>21</v>
      </c>
      <c r="L286" s="24" t="s">
        <v>21</v>
      </c>
      <c r="M286" s="24" t="s">
        <v>47</v>
      </c>
      <c r="N286" s="24">
        <v>45007</v>
      </c>
      <c r="O286" s="24" t="s">
        <v>21</v>
      </c>
    </row>
    <row r="287" spans="1:15" x14ac:dyDescent="0.25">
      <c r="A287" s="24" t="s">
        <v>15</v>
      </c>
      <c r="B287" s="24" t="s">
        <v>16</v>
      </c>
      <c r="C287" s="24">
        <v>650744</v>
      </c>
      <c r="D287" s="24" t="s">
        <v>774</v>
      </c>
      <c r="E287" s="24" t="s">
        <v>775</v>
      </c>
      <c r="F287" s="24" t="s">
        <v>214</v>
      </c>
      <c r="G287" s="24" t="s">
        <v>59</v>
      </c>
      <c r="H287" s="24">
        <v>60.63</v>
      </c>
      <c r="I287" s="24">
        <v>0.23</v>
      </c>
      <c r="J287" s="24">
        <v>82.88</v>
      </c>
      <c r="K287" s="24" t="s">
        <v>21</v>
      </c>
      <c r="L287" s="24" t="s">
        <v>21</v>
      </c>
      <c r="M287" s="24" t="s">
        <v>776</v>
      </c>
      <c r="N287" s="24">
        <v>45009</v>
      </c>
      <c r="O287" s="24" t="s">
        <v>21</v>
      </c>
    </row>
    <row r="288" spans="1:15" x14ac:dyDescent="0.25">
      <c r="A288" s="24" t="s">
        <v>777</v>
      </c>
      <c r="B288" s="24" t="s">
        <v>778</v>
      </c>
      <c r="C288" s="24">
        <v>143311</v>
      </c>
      <c r="D288" s="24" t="s">
        <v>779</v>
      </c>
      <c r="E288" s="24" t="s">
        <v>780</v>
      </c>
      <c r="F288" s="24" t="s">
        <v>732</v>
      </c>
      <c r="G288" s="24" t="s">
        <v>781</v>
      </c>
      <c r="H288" s="24">
        <v>843.67579999999998</v>
      </c>
      <c r="I288" s="24">
        <v>8.0488900000000001</v>
      </c>
      <c r="J288" s="24">
        <v>69.349999999999994</v>
      </c>
      <c r="K288" s="24" t="s">
        <v>21</v>
      </c>
      <c r="L288" s="24" t="s">
        <v>90</v>
      </c>
      <c r="M288" s="24" t="s">
        <v>776</v>
      </c>
      <c r="N288" s="24">
        <v>45009</v>
      </c>
      <c r="O288" s="24" t="s">
        <v>90</v>
      </c>
    </row>
    <row r="289" spans="1:15" x14ac:dyDescent="0.25">
      <c r="A289" s="24" t="s">
        <v>32</v>
      </c>
      <c r="B289" s="24" t="s">
        <v>24</v>
      </c>
      <c r="C289" s="24">
        <v>579525</v>
      </c>
      <c r="D289" s="24" t="s">
        <v>782</v>
      </c>
      <c r="E289" s="24" t="s">
        <v>783</v>
      </c>
      <c r="F289" s="24" t="s">
        <v>762</v>
      </c>
      <c r="G289" s="24" t="s">
        <v>28</v>
      </c>
      <c r="H289" s="24">
        <v>600.16600000000005</v>
      </c>
      <c r="I289" s="24">
        <v>6.0129999999999999</v>
      </c>
      <c r="J289" s="24">
        <v>83.543999999999997</v>
      </c>
      <c r="K289" s="24" t="s">
        <v>21</v>
      </c>
      <c r="L289" s="24" t="s">
        <v>21</v>
      </c>
      <c r="M289" s="24" t="s">
        <v>47</v>
      </c>
      <c r="N289" s="24">
        <v>45014</v>
      </c>
      <c r="O289" s="24" t="s">
        <v>21</v>
      </c>
    </row>
    <row r="290" spans="1:15" x14ac:dyDescent="0.25">
      <c r="A290" s="24" t="s">
        <v>169</v>
      </c>
      <c r="B290" s="24" t="s">
        <v>16</v>
      </c>
      <c r="C290" s="24">
        <v>363229</v>
      </c>
      <c r="D290" s="24" t="s">
        <v>784</v>
      </c>
      <c r="E290" s="24" t="s">
        <v>785</v>
      </c>
      <c r="F290" s="24" t="s">
        <v>786</v>
      </c>
      <c r="G290" s="24" t="s">
        <v>389</v>
      </c>
      <c r="H290" s="24">
        <v>1516.9480000000001</v>
      </c>
      <c r="I290" s="24">
        <v>9.4112299999999998</v>
      </c>
      <c r="J290" s="24">
        <v>122.4666666666667</v>
      </c>
      <c r="K290" s="24" t="s">
        <v>21</v>
      </c>
      <c r="L290" s="24" t="s">
        <v>21</v>
      </c>
      <c r="M290" s="24" t="s">
        <v>776</v>
      </c>
      <c r="N290" s="24">
        <v>45014</v>
      </c>
      <c r="O290" s="24" t="s">
        <v>21</v>
      </c>
    </row>
    <row r="291" spans="1:15" x14ac:dyDescent="0.25">
      <c r="A291" s="24" t="s">
        <v>169</v>
      </c>
      <c r="B291" s="24" t="s">
        <v>16</v>
      </c>
      <c r="C291" s="24">
        <v>677929</v>
      </c>
      <c r="D291" s="24" t="s">
        <v>787</v>
      </c>
      <c r="E291" s="24" t="s">
        <v>788</v>
      </c>
      <c r="F291" s="24" t="s">
        <v>219</v>
      </c>
      <c r="G291" s="24" t="s">
        <v>289</v>
      </c>
      <c r="H291" s="24">
        <v>403.0455</v>
      </c>
      <c r="I291" s="24">
        <v>5.8108000000000004</v>
      </c>
      <c r="J291" s="24">
        <v>92.716666666666669</v>
      </c>
      <c r="K291" s="24" t="s">
        <v>21</v>
      </c>
      <c r="L291" s="24" t="s">
        <v>21</v>
      </c>
      <c r="M291" s="24" t="s">
        <v>776</v>
      </c>
      <c r="N291" s="24">
        <v>45021</v>
      </c>
      <c r="O291" s="24" t="s">
        <v>21</v>
      </c>
    </row>
    <row r="292" spans="1:15" x14ac:dyDescent="0.25">
      <c r="A292" s="24" t="s">
        <v>169</v>
      </c>
      <c r="B292" s="24" t="s">
        <v>16</v>
      </c>
      <c r="C292" s="24">
        <v>677929</v>
      </c>
      <c r="D292" s="24" t="s">
        <v>787</v>
      </c>
      <c r="E292" s="24" t="s">
        <v>788</v>
      </c>
      <c r="F292" s="24" t="s">
        <v>219</v>
      </c>
      <c r="G292" s="24" t="s">
        <v>289</v>
      </c>
      <c r="H292" s="24">
        <v>129.05250000000001</v>
      </c>
      <c r="I292" s="24">
        <v>2.2457199999999999</v>
      </c>
      <c r="J292" s="24">
        <v>81.25</v>
      </c>
      <c r="K292" s="24" t="s">
        <v>21</v>
      </c>
      <c r="L292" s="24" t="s">
        <v>90</v>
      </c>
      <c r="M292" s="24" t="s">
        <v>776</v>
      </c>
      <c r="N292" s="24">
        <v>45021</v>
      </c>
      <c r="O292" s="24" t="s">
        <v>90</v>
      </c>
    </row>
    <row r="293" spans="1:15" x14ac:dyDescent="0.25">
      <c r="A293" s="24" t="s">
        <v>84</v>
      </c>
      <c r="B293" s="24" t="s">
        <v>24</v>
      </c>
      <c r="C293" s="24">
        <v>680394</v>
      </c>
      <c r="D293" s="24" t="s">
        <v>789</v>
      </c>
      <c r="E293" s="24" t="s">
        <v>785</v>
      </c>
      <c r="F293" s="24" t="s">
        <v>719</v>
      </c>
      <c r="G293" s="24" t="s">
        <v>28</v>
      </c>
      <c r="H293" s="24">
        <v>480.81299999999999</v>
      </c>
      <c r="I293" s="24">
        <v>6.7380000000000004</v>
      </c>
      <c r="J293" s="24">
        <v>42.19</v>
      </c>
      <c r="K293" s="24" t="s">
        <v>21</v>
      </c>
      <c r="L293" s="24" t="s">
        <v>21</v>
      </c>
      <c r="M293" s="24" t="s">
        <v>47</v>
      </c>
      <c r="N293" s="24">
        <v>45028</v>
      </c>
      <c r="O293" s="24" t="s">
        <v>21</v>
      </c>
    </row>
    <row r="294" spans="1:15" x14ac:dyDescent="0.25">
      <c r="A294" s="24" t="s">
        <v>169</v>
      </c>
      <c r="B294" s="24" t="s">
        <v>16</v>
      </c>
      <c r="C294" s="24">
        <v>680978</v>
      </c>
      <c r="D294" s="24" t="s">
        <v>790</v>
      </c>
      <c r="E294" s="24" t="s">
        <v>791</v>
      </c>
      <c r="F294" s="24" t="s">
        <v>792</v>
      </c>
      <c r="G294" s="24" t="s">
        <v>174</v>
      </c>
      <c r="H294" s="24">
        <v>173.1748</v>
      </c>
      <c r="I294" s="24">
        <v>1.5743</v>
      </c>
      <c r="J294" s="24">
        <v>61.866666666666667</v>
      </c>
      <c r="K294" s="24" t="s">
        <v>21</v>
      </c>
      <c r="L294" s="24" t="s">
        <v>21</v>
      </c>
      <c r="M294" s="24" t="s">
        <v>47</v>
      </c>
      <c r="N294" s="24">
        <v>45029</v>
      </c>
      <c r="O294" s="24" t="s">
        <v>21</v>
      </c>
    </row>
    <row r="295" spans="1:15" x14ac:dyDescent="0.25">
      <c r="A295" s="24" t="s">
        <v>777</v>
      </c>
      <c r="B295" s="24" t="s">
        <v>778</v>
      </c>
      <c r="C295" s="24">
        <v>106936</v>
      </c>
      <c r="D295" s="24" t="s">
        <v>793</v>
      </c>
      <c r="E295" s="24" t="s">
        <v>794</v>
      </c>
      <c r="F295" s="24" t="s">
        <v>438</v>
      </c>
      <c r="G295" s="24" t="s">
        <v>781</v>
      </c>
      <c r="H295" s="24">
        <v>21.1739</v>
      </c>
      <c r="I295" s="24">
        <v>0.15747</v>
      </c>
      <c r="J295" s="24">
        <v>89.333333333333329</v>
      </c>
      <c r="K295" s="24" t="s">
        <v>21</v>
      </c>
      <c r="L295" s="24" t="s">
        <v>90</v>
      </c>
      <c r="M295" s="24" t="s">
        <v>776</v>
      </c>
      <c r="N295" s="24">
        <v>45030</v>
      </c>
      <c r="O295" s="24" t="s">
        <v>90</v>
      </c>
    </row>
    <row r="296" spans="1:15" x14ac:dyDescent="0.25">
      <c r="A296" s="24" t="s">
        <v>15</v>
      </c>
      <c r="B296" s="24" t="s">
        <v>16</v>
      </c>
      <c r="C296" s="24">
        <v>334655</v>
      </c>
      <c r="D296" s="24" t="s">
        <v>721</v>
      </c>
      <c r="E296" s="24" t="s">
        <v>795</v>
      </c>
      <c r="F296" s="24" t="s">
        <v>796</v>
      </c>
      <c r="G296" s="24" t="s">
        <v>20</v>
      </c>
      <c r="H296" s="24">
        <v>1184.6099999999999</v>
      </c>
      <c r="I296" s="24">
        <v>3.84</v>
      </c>
      <c r="J296" s="24">
        <v>38.22</v>
      </c>
      <c r="K296" s="24" t="s">
        <v>21</v>
      </c>
      <c r="L296" s="24" t="s">
        <v>21</v>
      </c>
      <c r="M296" s="24" t="s">
        <v>776</v>
      </c>
      <c r="N296" s="24">
        <v>45033</v>
      </c>
      <c r="O296" s="24" t="s">
        <v>21</v>
      </c>
    </row>
    <row r="297" spans="1:15" x14ac:dyDescent="0.25">
      <c r="A297" s="24" t="s">
        <v>23</v>
      </c>
      <c r="B297" s="24" t="s">
        <v>24</v>
      </c>
      <c r="C297" s="24">
        <v>680542</v>
      </c>
      <c r="D297" s="24" t="s">
        <v>797</v>
      </c>
      <c r="E297" s="24" t="s">
        <v>795</v>
      </c>
      <c r="F297" s="24" t="s">
        <v>798</v>
      </c>
      <c r="G297" s="24" t="s">
        <v>28</v>
      </c>
      <c r="H297" s="24">
        <v>531.67899999999997</v>
      </c>
      <c r="I297" s="24">
        <v>6.4080000000000004</v>
      </c>
      <c r="J297" s="24">
        <v>41.55</v>
      </c>
      <c r="K297" s="24" t="s">
        <v>21</v>
      </c>
      <c r="L297" s="24" t="s">
        <v>21</v>
      </c>
      <c r="M297" s="24" t="s">
        <v>776</v>
      </c>
      <c r="N297" s="24">
        <v>45033</v>
      </c>
      <c r="O297" s="24" t="s">
        <v>21</v>
      </c>
    </row>
    <row r="298" spans="1:15" x14ac:dyDescent="0.25">
      <c r="A298" s="24" t="s">
        <v>169</v>
      </c>
      <c r="B298" s="24" t="s">
        <v>16</v>
      </c>
      <c r="C298" s="24">
        <v>278450</v>
      </c>
      <c r="D298" s="24" t="s">
        <v>799</v>
      </c>
      <c r="E298" s="24" t="s">
        <v>795</v>
      </c>
      <c r="F298" s="24" t="s">
        <v>800</v>
      </c>
      <c r="G298" s="24" t="s">
        <v>115</v>
      </c>
      <c r="H298" s="24">
        <v>631.63630000000001</v>
      </c>
      <c r="I298" s="24">
        <v>2.1949100000000001</v>
      </c>
      <c r="J298" s="24">
        <v>18.483333333333331</v>
      </c>
      <c r="K298" s="24" t="s">
        <v>21</v>
      </c>
      <c r="L298" s="24" t="s">
        <v>21</v>
      </c>
      <c r="M298" s="24" t="s">
        <v>47</v>
      </c>
      <c r="N298" s="24">
        <v>45034</v>
      </c>
      <c r="O298" s="24" t="s">
        <v>21</v>
      </c>
    </row>
    <row r="299" spans="1:15" x14ac:dyDescent="0.25">
      <c r="A299" s="24" t="s">
        <v>84</v>
      </c>
      <c r="B299" s="24" t="s">
        <v>24</v>
      </c>
      <c r="C299" s="24">
        <v>148959</v>
      </c>
      <c r="D299" s="24" t="s">
        <v>801</v>
      </c>
      <c r="E299" s="24" t="s">
        <v>802</v>
      </c>
      <c r="F299" s="24" t="s">
        <v>803</v>
      </c>
      <c r="G299" s="24" t="s">
        <v>28</v>
      </c>
      <c r="H299" s="24">
        <v>197.52600000000001</v>
      </c>
      <c r="I299" s="24">
        <v>1.5980000000000001</v>
      </c>
      <c r="J299" s="24">
        <v>65.156000000000006</v>
      </c>
      <c r="K299" s="24" t="s">
        <v>21</v>
      </c>
      <c r="L299" s="24" t="s">
        <v>21</v>
      </c>
      <c r="M299" s="24" t="s">
        <v>47</v>
      </c>
      <c r="N299" s="24">
        <v>45043</v>
      </c>
      <c r="O299" s="24" t="s">
        <v>21</v>
      </c>
    </row>
    <row r="300" spans="1:15" x14ac:dyDescent="0.25">
      <c r="A300" s="24" t="s">
        <v>23</v>
      </c>
      <c r="B300" s="24" t="s">
        <v>24</v>
      </c>
      <c r="C300" s="24">
        <v>336706</v>
      </c>
      <c r="D300" s="24" t="s">
        <v>804</v>
      </c>
      <c r="E300" s="24" t="s">
        <v>805</v>
      </c>
      <c r="F300" s="24" t="s">
        <v>530</v>
      </c>
      <c r="G300" s="24" t="s">
        <v>28</v>
      </c>
      <c r="H300" s="24">
        <v>156.52600000000001</v>
      </c>
      <c r="I300" s="24">
        <v>2.4580000000000002</v>
      </c>
      <c r="J300" s="24">
        <v>70.195999999999998</v>
      </c>
      <c r="K300" s="24" t="s">
        <v>21</v>
      </c>
      <c r="L300" s="24" t="s">
        <v>21</v>
      </c>
      <c r="M300" s="24" t="s">
        <v>47</v>
      </c>
      <c r="N300" s="24">
        <v>45048</v>
      </c>
      <c r="O300" s="24" t="s">
        <v>21</v>
      </c>
    </row>
    <row r="301" spans="1:15" x14ac:dyDescent="0.25">
      <c r="A301" s="24" t="s">
        <v>23</v>
      </c>
      <c r="B301" s="24" t="s">
        <v>24</v>
      </c>
      <c r="C301" s="24">
        <v>678198</v>
      </c>
      <c r="D301" s="24" t="s">
        <v>806</v>
      </c>
      <c r="E301" s="24" t="s">
        <v>807</v>
      </c>
      <c r="F301" s="24" t="s">
        <v>808</v>
      </c>
      <c r="G301" s="24" t="s">
        <v>28</v>
      </c>
      <c r="H301" s="24">
        <v>139.02199999999999</v>
      </c>
      <c r="I301" s="24">
        <v>2.6659999999999999</v>
      </c>
      <c r="J301" s="24">
        <v>60.927999999999997</v>
      </c>
      <c r="K301" s="24" t="s">
        <v>21</v>
      </c>
      <c r="L301" s="24" t="s">
        <v>21</v>
      </c>
      <c r="M301" s="24" t="s">
        <v>47</v>
      </c>
      <c r="N301" s="24">
        <v>45048</v>
      </c>
      <c r="O301" s="24" t="s">
        <v>21</v>
      </c>
    </row>
    <row r="302" spans="1:15" x14ac:dyDescent="0.25">
      <c r="A302" s="24" t="s">
        <v>32</v>
      </c>
      <c r="B302" s="24" t="s">
        <v>24</v>
      </c>
      <c r="C302" s="24">
        <v>299419</v>
      </c>
      <c r="D302" s="24" t="s">
        <v>809</v>
      </c>
      <c r="E302" s="24" t="s">
        <v>805</v>
      </c>
      <c r="F302" s="24" t="s">
        <v>810</v>
      </c>
      <c r="G302" s="24" t="s">
        <v>28</v>
      </c>
      <c r="H302" s="24">
        <v>270.04300000000001</v>
      </c>
      <c r="I302" s="24">
        <v>2.8980000000000001</v>
      </c>
      <c r="J302" s="24">
        <v>102.453</v>
      </c>
      <c r="K302" s="24" t="s">
        <v>21</v>
      </c>
      <c r="L302" s="24" t="s">
        <v>21</v>
      </c>
      <c r="M302" s="24" t="s">
        <v>47</v>
      </c>
      <c r="N302" s="24">
        <v>45048</v>
      </c>
      <c r="O302" s="24" t="s">
        <v>21</v>
      </c>
    </row>
    <row r="303" spans="1:15" x14ac:dyDescent="0.25">
      <c r="A303" s="24" t="s">
        <v>777</v>
      </c>
      <c r="B303" s="24" t="s">
        <v>778</v>
      </c>
      <c r="C303" s="24">
        <v>679427</v>
      </c>
      <c r="D303" s="24"/>
      <c r="E303" s="24" t="s">
        <v>811</v>
      </c>
      <c r="F303" s="24" t="s">
        <v>334</v>
      </c>
      <c r="G303" s="24" t="s">
        <v>812</v>
      </c>
      <c r="H303" s="24">
        <v>431.38639999999998</v>
      </c>
      <c r="I303" s="24">
        <v>6.4635999999999996</v>
      </c>
      <c r="J303" s="24">
        <v>148.18333333333331</v>
      </c>
      <c r="K303" s="24" t="s">
        <v>21</v>
      </c>
      <c r="L303" s="24" t="s">
        <v>90</v>
      </c>
      <c r="M303" s="24" t="s">
        <v>47</v>
      </c>
      <c r="N303" s="24">
        <v>45050</v>
      </c>
      <c r="O303" s="24" t="s">
        <v>90</v>
      </c>
    </row>
    <row r="304" spans="1:15" x14ac:dyDescent="0.25">
      <c r="A304" s="24" t="s">
        <v>32</v>
      </c>
      <c r="B304" s="24" t="s">
        <v>24</v>
      </c>
      <c r="C304" s="24">
        <v>483110</v>
      </c>
      <c r="D304" s="24" t="s">
        <v>813</v>
      </c>
      <c r="E304" s="24" t="s">
        <v>814</v>
      </c>
      <c r="F304" s="24" t="s">
        <v>815</v>
      </c>
      <c r="G304" s="24" t="s">
        <v>28</v>
      </c>
      <c r="H304" s="24">
        <v>124.929</v>
      </c>
      <c r="I304" s="24">
        <v>1.3580000000000001</v>
      </c>
      <c r="J304" s="24">
        <v>66.444000000000003</v>
      </c>
      <c r="K304" s="24" t="s">
        <v>21</v>
      </c>
      <c r="L304" s="24" t="s">
        <v>21</v>
      </c>
      <c r="M304" s="24" t="s">
        <v>47</v>
      </c>
      <c r="N304" s="24">
        <v>45055</v>
      </c>
      <c r="O304" s="24" t="s">
        <v>21</v>
      </c>
    </row>
    <row r="305" spans="1:15" x14ac:dyDescent="0.25">
      <c r="A305" s="24" t="s">
        <v>23</v>
      </c>
      <c r="B305" s="24" t="s">
        <v>24</v>
      </c>
      <c r="C305" s="24">
        <v>681982</v>
      </c>
      <c r="D305" s="24" t="s">
        <v>816</v>
      </c>
      <c r="E305" s="24" t="s">
        <v>817</v>
      </c>
      <c r="F305" s="24" t="s">
        <v>31</v>
      </c>
      <c r="G305" s="24" t="s">
        <v>28</v>
      </c>
      <c r="H305" s="24">
        <v>199.67099999999999</v>
      </c>
      <c r="I305" s="24">
        <v>1.36</v>
      </c>
      <c r="J305" s="24">
        <v>70.058000000000007</v>
      </c>
      <c r="K305" s="24" t="s">
        <v>21</v>
      </c>
      <c r="L305" s="24" t="s">
        <v>21</v>
      </c>
      <c r="M305" s="24" t="s">
        <v>47</v>
      </c>
      <c r="N305" s="24">
        <v>45056</v>
      </c>
      <c r="O305" s="24" t="s">
        <v>21</v>
      </c>
    </row>
    <row r="306" spans="1:15" x14ac:dyDescent="0.25">
      <c r="A306" s="24" t="s">
        <v>84</v>
      </c>
      <c r="B306" s="24" t="s">
        <v>24</v>
      </c>
      <c r="C306" s="24">
        <v>374079</v>
      </c>
      <c r="D306" s="24" t="s">
        <v>818</v>
      </c>
      <c r="E306" s="24" t="s">
        <v>819</v>
      </c>
      <c r="F306" s="24" t="s">
        <v>820</v>
      </c>
      <c r="G306" s="24" t="s">
        <v>821</v>
      </c>
      <c r="H306" s="24">
        <v>126.91800000000001</v>
      </c>
      <c r="I306" s="24">
        <v>0.79</v>
      </c>
      <c r="J306" s="24">
        <v>74.566000000000003</v>
      </c>
      <c r="K306" s="24" t="s">
        <v>21</v>
      </c>
      <c r="L306" s="24" t="s">
        <v>90</v>
      </c>
      <c r="M306" s="24" t="s">
        <v>776</v>
      </c>
      <c r="N306" s="24">
        <v>45057</v>
      </c>
      <c r="O306" s="24" t="s">
        <v>90</v>
      </c>
    </row>
    <row r="307" spans="1:15" x14ac:dyDescent="0.25">
      <c r="A307" s="24" t="s">
        <v>32</v>
      </c>
      <c r="B307" s="24" t="s">
        <v>24</v>
      </c>
      <c r="C307" s="24">
        <v>402135</v>
      </c>
      <c r="D307" s="24" t="s">
        <v>822</v>
      </c>
      <c r="E307" s="24" t="s">
        <v>823</v>
      </c>
      <c r="F307" s="24" t="s">
        <v>824</v>
      </c>
      <c r="G307" s="24" t="s">
        <v>28</v>
      </c>
      <c r="H307" s="24">
        <v>711.02200000000005</v>
      </c>
      <c r="I307" s="24">
        <v>11.034000000000001</v>
      </c>
      <c r="J307" s="24">
        <v>71.012</v>
      </c>
      <c r="K307" s="24" t="s">
        <v>21</v>
      </c>
      <c r="L307" s="24" t="s">
        <v>21</v>
      </c>
      <c r="M307" s="24" t="s">
        <v>47</v>
      </c>
      <c r="N307" s="24">
        <v>45068</v>
      </c>
      <c r="O307" s="24" t="s">
        <v>21</v>
      </c>
    </row>
    <row r="308" spans="1:15" x14ac:dyDescent="0.25">
      <c r="A308" s="24" t="s">
        <v>169</v>
      </c>
      <c r="B308" s="24" t="s">
        <v>16</v>
      </c>
      <c r="C308" s="24">
        <v>548196</v>
      </c>
      <c r="D308" s="24" t="s">
        <v>825</v>
      </c>
      <c r="E308" s="24" t="s">
        <v>826</v>
      </c>
      <c r="F308" s="24" t="s">
        <v>827</v>
      </c>
      <c r="G308" s="24" t="s">
        <v>174</v>
      </c>
      <c r="H308" s="24">
        <v>189.36359999999999</v>
      </c>
      <c r="I308" s="24">
        <v>2.1575000000000002</v>
      </c>
      <c r="J308" s="24">
        <v>69.38333333333334</v>
      </c>
      <c r="K308" s="24" t="s">
        <v>21</v>
      </c>
      <c r="L308" s="24" t="s">
        <v>21</v>
      </c>
      <c r="M308" s="24" t="s">
        <v>776</v>
      </c>
      <c r="N308" s="24">
        <v>45069</v>
      </c>
      <c r="O308" s="24" t="s">
        <v>21</v>
      </c>
    </row>
    <row r="309" spans="1:15" x14ac:dyDescent="0.25">
      <c r="A309" s="24" t="s">
        <v>32</v>
      </c>
      <c r="B309" s="24" t="s">
        <v>24</v>
      </c>
      <c r="C309" s="24">
        <v>402135</v>
      </c>
      <c r="D309" s="24" t="s">
        <v>822</v>
      </c>
      <c r="E309" s="24" t="s">
        <v>828</v>
      </c>
      <c r="F309" s="24" t="s">
        <v>326</v>
      </c>
      <c r="G309" s="24" t="s">
        <v>28</v>
      </c>
      <c r="H309" s="24">
        <v>371.62799999999999</v>
      </c>
      <c r="I309" s="24">
        <v>5.7030000000000003</v>
      </c>
      <c r="J309" s="24">
        <v>39.215000000000003</v>
      </c>
      <c r="K309" s="24" t="s">
        <v>21</v>
      </c>
      <c r="L309" s="24" t="s">
        <v>21</v>
      </c>
      <c r="M309" s="24" t="s">
        <v>776</v>
      </c>
      <c r="N309" s="24">
        <v>45072</v>
      </c>
      <c r="O309" s="24" t="s">
        <v>21</v>
      </c>
    </row>
    <row r="310" spans="1:15" x14ac:dyDescent="0.25">
      <c r="A310" s="24" t="s">
        <v>32</v>
      </c>
      <c r="B310" s="24" t="s">
        <v>24</v>
      </c>
      <c r="C310" s="24">
        <v>682919</v>
      </c>
      <c r="D310" s="24" t="s">
        <v>829</v>
      </c>
      <c r="E310" s="24" t="s">
        <v>830</v>
      </c>
      <c r="F310" s="24" t="s">
        <v>831</v>
      </c>
      <c r="G310" s="24" t="s">
        <v>28</v>
      </c>
      <c r="H310" s="24">
        <v>166.62200000000001</v>
      </c>
      <c r="I310" s="24">
        <v>1.3149999999999999</v>
      </c>
      <c r="J310" s="24">
        <v>65.695999999999998</v>
      </c>
      <c r="K310" s="24" t="s">
        <v>21</v>
      </c>
      <c r="L310" s="24" t="s">
        <v>21</v>
      </c>
      <c r="M310" s="24" t="s">
        <v>776</v>
      </c>
      <c r="N310" s="24">
        <v>45072</v>
      </c>
      <c r="O310" s="24" t="s">
        <v>21</v>
      </c>
    </row>
    <row r="311" spans="1:15" x14ac:dyDescent="0.25">
      <c r="A311" s="24" t="s">
        <v>169</v>
      </c>
      <c r="B311" s="24" t="s">
        <v>16</v>
      </c>
      <c r="C311" s="24">
        <v>181004</v>
      </c>
      <c r="D311" s="24" t="s">
        <v>832</v>
      </c>
      <c r="E311" s="24" t="s">
        <v>833</v>
      </c>
      <c r="F311" s="24" t="s">
        <v>37</v>
      </c>
      <c r="G311" s="24" t="s">
        <v>248</v>
      </c>
      <c r="H311" s="24">
        <v>132.32050000000001</v>
      </c>
      <c r="I311" s="24">
        <v>2.3624200000000002</v>
      </c>
      <c r="J311" s="24">
        <v>83.5</v>
      </c>
      <c r="K311" s="24" t="s">
        <v>21</v>
      </c>
      <c r="L311" s="24" t="s">
        <v>21</v>
      </c>
      <c r="M311" s="24" t="s">
        <v>776</v>
      </c>
      <c r="N311" s="24">
        <v>45077</v>
      </c>
      <c r="O311" s="24" t="s">
        <v>21</v>
      </c>
    </row>
    <row r="312" spans="1:15" x14ac:dyDescent="0.25">
      <c r="A312" s="24" t="s">
        <v>23</v>
      </c>
      <c r="B312" s="24" t="s">
        <v>24</v>
      </c>
      <c r="C312" s="24">
        <v>682198</v>
      </c>
      <c r="D312" s="24" t="s">
        <v>834</v>
      </c>
      <c r="E312" s="24" t="s">
        <v>835</v>
      </c>
      <c r="F312" s="24" t="s">
        <v>441</v>
      </c>
      <c r="G312" s="24" t="s">
        <v>28</v>
      </c>
      <c r="H312" s="24">
        <v>382.11700000000002</v>
      </c>
      <c r="I312" s="24">
        <v>4.8319999999999999</v>
      </c>
      <c r="J312" s="24">
        <v>75.185000000000002</v>
      </c>
      <c r="K312" s="24" t="s">
        <v>21</v>
      </c>
      <c r="L312" s="24" t="s">
        <v>21</v>
      </c>
      <c r="M312" s="24" t="s">
        <v>776</v>
      </c>
      <c r="N312" s="24">
        <v>45078</v>
      </c>
      <c r="O312" s="24" t="s">
        <v>21</v>
      </c>
    </row>
    <row r="313" spans="1:15" x14ac:dyDescent="0.25">
      <c r="A313" s="24" t="s">
        <v>32</v>
      </c>
      <c r="B313" s="24" t="s">
        <v>24</v>
      </c>
      <c r="C313" s="24">
        <v>592249</v>
      </c>
      <c r="D313" s="24" t="s">
        <v>836</v>
      </c>
      <c r="E313" s="24" t="s">
        <v>835</v>
      </c>
      <c r="F313" s="24" t="s">
        <v>837</v>
      </c>
      <c r="G313" s="24" t="s">
        <v>28</v>
      </c>
      <c r="H313" s="24">
        <v>323.96800000000002</v>
      </c>
      <c r="I313" s="24">
        <v>3.198</v>
      </c>
      <c r="J313" s="24">
        <v>70.14</v>
      </c>
      <c r="K313" s="24" t="s">
        <v>21</v>
      </c>
      <c r="L313" s="24" t="s">
        <v>21</v>
      </c>
      <c r="M313" s="24" t="s">
        <v>776</v>
      </c>
      <c r="N313" s="24">
        <v>45078</v>
      </c>
      <c r="O313" s="24" t="s">
        <v>21</v>
      </c>
    </row>
    <row r="314" spans="1:15" x14ac:dyDescent="0.25">
      <c r="A314" s="24" t="s">
        <v>777</v>
      </c>
      <c r="B314" s="24" t="s">
        <v>778</v>
      </c>
      <c r="C314" s="24">
        <v>372857</v>
      </c>
      <c r="D314" s="24"/>
      <c r="E314" s="24" t="s">
        <v>838</v>
      </c>
      <c r="F314" s="24" t="s">
        <v>820</v>
      </c>
      <c r="G314" s="24"/>
      <c r="H314" s="24">
        <v>188.14670000000001</v>
      </c>
      <c r="I314" s="24">
        <v>1.2920799999999999</v>
      </c>
      <c r="J314" s="24">
        <v>68.949999999999989</v>
      </c>
      <c r="K314" s="24" t="s">
        <v>21</v>
      </c>
      <c r="L314" s="24" t="s">
        <v>90</v>
      </c>
      <c r="M314" s="24" t="s">
        <v>776</v>
      </c>
      <c r="N314" s="24">
        <v>45083</v>
      </c>
      <c r="O314" s="24" t="s">
        <v>90</v>
      </c>
    </row>
    <row r="315" spans="1:15" x14ac:dyDescent="0.25">
      <c r="A315" s="24" t="s">
        <v>15</v>
      </c>
      <c r="B315" s="24" t="s">
        <v>16</v>
      </c>
      <c r="C315" s="24">
        <v>683528</v>
      </c>
      <c r="D315" s="24" t="s">
        <v>839</v>
      </c>
      <c r="E315" s="24" t="s">
        <v>840</v>
      </c>
      <c r="F315" s="24" t="s">
        <v>841</v>
      </c>
      <c r="G315" s="24" t="s">
        <v>115</v>
      </c>
      <c r="H315" s="24">
        <v>743.38</v>
      </c>
      <c r="I315" s="24">
        <v>2.46</v>
      </c>
      <c r="J315" s="24">
        <v>31.25</v>
      </c>
      <c r="K315" s="24" t="s">
        <v>21</v>
      </c>
      <c r="L315" s="24" t="s">
        <v>21</v>
      </c>
      <c r="M315" s="24" t="s">
        <v>776</v>
      </c>
      <c r="N315" s="24">
        <v>45085</v>
      </c>
      <c r="O315" s="24" t="s">
        <v>21</v>
      </c>
    </row>
    <row r="316" spans="1:15" x14ac:dyDescent="0.25">
      <c r="A316" s="24" t="s">
        <v>32</v>
      </c>
      <c r="B316" s="24" t="s">
        <v>24</v>
      </c>
      <c r="C316" s="24">
        <v>264542</v>
      </c>
      <c r="D316" s="24" t="s">
        <v>842</v>
      </c>
      <c r="E316" s="24" t="s">
        <v>843</v>
      </c>
      <c r="F316" s="24" t="s">
        <v>844</v>
      </c>
      <c r="G316" s="24" t="s">
        <v>28</v>
      </c>
      <c r="H316" s="24">
        <v>677.56799999999998</v>
      </c>
      <c r="I316" s="24">
        <v>7.95</v>
      </c>
      <c r="J316" s="24">
        <v>73.450999999999993</v>
      </c>
      <c r="K316" s="24" t="s">
        <v>21</v>
      </c>
      <c r="L316" s="24" t="s">
        <v>21</v>
      </c>
      <c r="M316" s="24" t="s">
        <v>47</v>
      </c>
      <c r="N316" s="24">
        <v>45090</v>
      </c>
      <c r="O316" s="24" t="s">
        <v>21</v>
      </c>
    </row>
    <row r="317" spans="1:15" x14ac:dyDescent="0.25">
      <c r="A317" s="24" t="s">
        <v>15</v>
      </c>
      <c r="B317" s="24" t="s">
        <v>16</v>
      </c>
      <c r="C317" s="24">
        <v>683447</v>
      </c>
      <c r="D317" s="24" t="s">
        <v>845</v>
      </c>
      <c r="E317" s="24" t="s">
        <v>846</v>
      </c>
      <c r="F317" s="24" t="s">
        <v>847</v>
      </c>
      <c r="G317" s="24" t="s">
        <v>128</v>
      </c>
      <c r="H317" s="24">
        <v>1389.62</v>
      </c>
      <c r="I317" s="24">
        <v>5.51</v>
      </c>
      <c r="J317" s="24">
        <v>74.849999999999994</v>
      </c>
      <c r="K317" s="24" t="s">
        <v>21</v>
      </c>
      <c r="L317" s="24" t="s">
        <v>21</v>
      </c>
      <c r="M317" s="24" t="s">
        <v>47</v>
      </c>
      <c r="N317" s="24">
        <v>45091</v>
      </c>
      <c r="O317" s="24" t="s">
        <v>21</v>
      </c>
    </row>
    <row r="318" spans="1:15" x14ac:dyDescent="0.25">
      <c r="A318" s="24" t="s">
        <v>169</v>
      </c>
      <c r="B318" s="24" t="s">
        <v>16</v>
      </c>
      <c r="C318" s="24">
        <v>649327</v>
      </c>
      <c r="D318" s="24" t="s">
        <v>848</v>
      </c>
      <c r="E318" s="24" t="s">
        <v>843</v>
      </c>
      <c r="F318" s="24" t="s">
        <v>70</v>
      </c>
      <c r="G318" s="24" t="s">
        <v>248</v>
      </c>
      <c r="H318" s="24">
        <v>394.91419999999999</v>
      </c>
      <c r="I318" s="24">
        <v>7.5733300000000003</v>
      </c>
      <c r="J318" s="24">
        <v>93.38333333333334</v>
      </c>
      <c r="K318" s="24" t="s">
        <v>21</v>
      </c>
      <c r="L318" s="24" t="s">
        <v>21</v>
      </c>
      <c r="M318" s="24" t="s">
        <v>47</v>
      </c>
      <c r="N318" s="24">
        <v>45091</v>
      </c>
      <c r="O318" s="24" t="s">
        <v>21</v>
      </c>
    </row>
    <row r="319" spans="1:15" x14ac:dyDescent="0.25">
      <c r="A319" s="24" t="s">
        <v>23</v>
      </c>
      <c r="B319" s="24" t="s">
        <v>24</v>
      </c>
      <c r="C319" s="24">
        <v>585151</v>
      </c>
      <c r="D319" s="24" t="s">
        <v>756</v>
      </c>
      <c r="E319" s="24" t="s">
        <v>849</v>
      </c>
      <c r="F319" s="24" t="s">
        <v>850</v>
      </c>
      <c r="G319" s="24" t="s">
        <v>28</v>
      </c>
      <c r="H319" s="24">
        <v>526.80200000000002</v>
      </c>
      <c r="I319" s="24">
        <v>5.25</v>
      </c>
      <c r="J319" s="24">
        <v>92.944999999999993</v>
      </c>
      <c r="K319" s="24" t="s">
        <v>21</v>
      </c>
      <c r="L319" s="24" t="s">
        <v>21</v>
      </c>
      <c r="M319" s="24" t="s">
        <v>776</v>
      </c>
      <c r="N319" s="24">
        <v>45092</v>
      </c>
      <c r="O319" s="24" t="s">
        <v>21</v>
      </c>
    </row>
    <row r="320" spans="1:15" x14ac:dyDescent="0.25">
      <c r="A320" s="24" t="s">
        <v>15</v>
      </c>
      <c r="B320" s="24" t="s">
        <v>16</v>
      </c>
      <c r="C320" s="24">
        <v>338994</v>
      </c>
      <c r="D320" s="24" t="s">
        <v>851</v>
      </c>
      <c r="E320" s="24" t="s">
        <v>852</v>
      </c>
      <c r="F320" s="24" t="s">
        <v>607</v>
      </c>
      <c r="G320" s="24" t="s">
        <v>63</v>
      </c>
      <c r="H320" s="24">
        <v>504.9</v>
      </c>
      <c r="I320" s="24">
        <v>1.8</v>
      </c>
      <c r="J320" s="24">
        <v>36.880000000000003</v>
      </c>
      <c r="K320" s="24" t="s">
        <v>21</v>
      </c>
      <c r="L320" s="24" t="s">
        <v>21</v>
      </c>
      <c r="M320" s="24" t="s">
        <v>47</v>
      </c>
      <c r="N320" s="24">
        <v>45097</v>
      </c>
      <c r="O320" s="24" t="s">
        <v>21</v>
      </c>
    </row>
    <row r="321" spans="1:15" x14ac:dyDescent="0.25">
      <c r="A321" s="24" t="s">
        <v>32</v>
      </c>
      <c r="B321" s="24" t="s">
        <v>24</v>
      </c>
      <c r="C321" s="24">
        <v>112355</v>
      </c>
      <c r="D321" s="24" t="s">
        <v>853</v>
      </c>
      <c r="E321" s="24" t="s">
        <v>852</v>
      </c>
      <c r="F321" s="24" t="s">
        <v>19</v>
      </c>
      <c r="G321" s="24" t="s">
        <v>28</v>
      </c>
      <c r="H321" s="24">
        <v>353.10500000000002</v>
      </c>
      <c r="I321" s="24">
        <v>4.5449999999999999</v>
      </c>
      <c r="J321" s="24">
        <v>71.406000000000006</v>
      </c>
      <c r="K321" s="24" t="s">
        <v>21</v>
      </c>
      <c r="L321" s="24" t="s">
        <v>21</v>
      </c>
      <c r="M321" s="24" t="s">
        <v>47</v>
      </c>
      <c r="N321" s="24">
        <v>45097</v>
      </c>
      <c r="O321" s="24" t="s">
        <v>21</v>
      </c>
    </row>
    <row r="322" spans="1:15" x14ac:dyDescent="0.25">
      <c r="A322" s="24" t="s">
        <v>169</v>
      </c>
      <c r="B322" s="24" t="s">
        <v>16</v>
      </c>
      <c r="C322" s="24">
        <v>673311</v>
      </c>
      <c r="D322" s="24" t="s">
        <v>763</v>
      </c>
      <c r="E322" s="24" t="s">
        <v>852</v>
      </c>
      <c r="F322" s="24" t="s">
        <v>49</v>
      </c>
      <c r="G322" s="24" t="s">
        <v>238</v>
      </c>
      <c r="H322" s="24">
        <v>181.416</v>
      </c>
      <c r="I322" s="24">
        <v>1.90404</v>
      </c>
      <c r="J322" s="24">
        <v>85.866666666666674</v>
      </c>
      <c r="K322" s="24" t="s">
        <v>21</v>
      </c>
      <c r="L322" s="24" t="s">
        <v>21</v>
      </c>
      <c r="M322" s="24" t="s">
        <v>47</v>
      </c>
      <c r="N322" s="24">
        <v>45097</v>
      </c>
      <c r="O322" s="24" t="s">
        <v>21</v>
      </c>
    </row>
    <row r="323" spans="1:15" x14ac:dyDescent="0.25">
      <c r="A323" s="24" t="s">
        <v>23</v>
      </c>
      <c r="B323" s="24" t="s">
        <v>24</v>
      </c>
      <c r="C323" s="24">
        <v>267856</v>
      </c>
      <c r="D323" s="24" t="s">
        <v>854</v>
      </c>
      <c r="E323" s="24" t="s">
        <v>855</v>
      </c>
      <c r="F323" s="24" t="s">
        <v>856</v>
      </c>
      <c r="G323" s="24" t="s">
        <v>28</v>
      </c>
      <c r="H323" s="24">
        <v>397.93099999999998</v>
      </c>
      <c r="I323" s="24">
        <v>2.6269999999999998</v>
      </c>
      <c r="J323" s="24">
        <v>106.8</v>
      </c>
      <c r="K323" s="24" t="s">
        <v>21</v>
      </c>
      <c r="L323" s="24" t="s">
        <v>21</v>
      </c>
      <c r="M323" s="24" t="s">
        <v>47</v>
      </c>
      <c r="N323" s="24">
        <v>45098</v>
      </c>
      <c r="O323" s="24" t="s">
        <v>21</v>
      </c>
    </row>
    <row r="324" spans="1:15" x14ac:dyDescent="0.25">
      <c r="A324" s="24" t="s">
        <v>23</v>
      </c>
      <c r="B324" s="24" t="s">
        <v>24</v>
      </c>
      <c r="C324" s="24">
        <v>345760</v>
      </c>
      <c r="D324" s="24" t="s">
        <v>857</v>
      </c>
      <c r="E324" s="24" t="s">
        <v>846</v>
      </c>
      <c r="F324" s="24" t="s">
        <v>280</v>
      </c>
      <c r="G324" s="24" t="s">
        <v>28</v>
      </c>
      <c r="H324" s="24">
        <v>800.95399999999995</v>
      </c>
      <c r="I324" s="24">
        <v>12.323</v>
      </c>
      <c r="J324" s="24">
        <v>94.951999999999998</v>
      </c>
      <c r="K324" s="24" t="s">
        <v>21</v>
      </c>
      <c r="L324" s="24" t="s">
        <v>21</v>
      </c>
      <c r="M324" s="24" t="s">
        <v>47</v>
      </c>
      <c r="N324" s="24">
        <v>45100</v>
      </c>
      <c r="O324" s="24" t="s">
        <v>21</v>
      </c>
    </row>
    <row r="325" spans="1:15" x14ac:dyDescent="0.25">
      <c r="A325" s="24" t="s">
        <v>169</v>
      </c>
      <c r="B325" s="24" t="s">
        <v>16</v>
      </c>
      <c r="C325" s="24">
        <v>683130</v>
      </c>
      <c r="D325" s="24" t="s">
        <v>858</v>
      </c>
      <c r="E325" s="24" t="s">
        <v>855</v>
      </c>
      <c r="F325" s="24" t="s">
        <v>859</v>
      </c>
      <c r="G325" s="24" t="s">
        <v>238</v>
      </c>
      <c r="H325" s="24">
        <v>83.724599999999995</v>
      </c>
      <c r="I325" s="24">
        <v>0.87978000000000001</v>
      </c>
      <c r="J325" s="24">
        <v>69.86666666666666</v>
      </c>
      <c r="K325" s="24" t="s">
        <v>21</v>
      </c>
      <c r="L325" s="24" t="s">
        <v>21</v>
      </c>
      <c r="M325" s="24" t="s">
        <v>47</v>
      </c>
      <c r="N325" s="24">
        <v>45100</v>
      </c>
      <c r="O325" s="24" t="s">
        <v>21</v>
      </c>
    </row>
    <row r="326" spans="1:15" x14ac:dyDescent="0.25">
      <c r="A326" s="24" t="s">
        <v>32</v>
      </c>
      <c r="B326" s="24" t="s">
        <v>24</v>
      </c>
      <c r="C326" s="24">
        <v>95034</v>
      </c>
      <c r="D326" s="24" t="s">
        <v>860</v>
      </c>
      <c r="E326" s="24" t="s">
        <v>861</v>
      </c>
      <c r="F326" s="24" t="s">
        <v>862</v>
      </c>
      <c r="G326" s="24" t="s">
        <v>28</v>
      </c>
      <c r="H326" s="24">
        <v>250.57900000000001</v>
      </c>
      <c r="I326" s="24">
        <v>2.8149999999999999</v>
      </c>
      <c r="J326" s="24">
        <v>69.673000000000002</v>
      </c>
      <c r="K326" s="24" t="s">
        <v>21</v>
      </c>
      <c r="L326" s="24" t="s">
        <v>21</v>
      </c>
      <c r="M326" s="24" t="s">
        <v>776</v>
      </c>
      <c r="N326" s="24">
        <v>45110</v>
      </c>
      <c r="O326" s="24" t="s">
        <v>21</v>
      </c>
    </row>
    <row r="327" spans="1:15" x14ac:dyDescent="0.25">
      <c r="A327" s="24" t="s">
        <v>84</v>
      </c>
      <c r="B327" s="24" t="s">
        <v>24</v>
      </c>
      <c r="C327" s="24">
        <v>371469</v>
      </c>
      <c r="D327" s="24" t="s">
        <v>863</v>
      </c>
      <c r="E327" s="24" t="s">
        <v>805</v>
      </c>
      <c r="F327" s="24" t="s">
        <v>70</v>
      </c>
      <c r="G327" s="24" t="s">
        <v>28</v>
      </c>
      <c r="H327" s="24">
        <v>221.648</v>
      </c>
      <c r="I327" s="24">
        <v>1.8080000000000001</v>
      </c>
      <c r="J327" s="24">
        <v>71.116</v>
      </c>
      <c r="K327" s="24" t="s">
        <v>21</v>
      </c>
      <c r="L327" s="24" t="s">
        <v>90</v>
      </c>
      <c r="M327" s="24" t="s">
        <v>776</v>
      </c>
      <c r="N327" s="24">
        <v>45110</v>
      </c>
      <c r="O327" s="24" t="s">
        <v>90</v>
      </c>
    </row>
    <row r="328" spans="1:15" x14ac:dyDescent="0.25">
      <c r="A328" s="24" t="s">
        <v>169</v>
      </c>
      <c r="B328" s="24" t="s">
        <v>16</v>
      </c>
      <c r="C328" s="24">
        <v>684327</v>
      </c>
      <c r="D328" s="24" t="s">
        <v>864</v>
      </c>
      <c r="E328" s="24" t="s">
        <v>861</v>
      </c>
      <c r="F328" s="24" t="s">
        <v>865</v>
      </c>
      <c r="G328" s="24" t="s">
        <v>238</v>
      </c>
      <c r="H328" s="24">
        <v>474.33109999999999</v>
      </c>
      <c r="I328" s="24">
        <v>5.2788599999999999</v>
      </c>
      <c r="J328" s="24">
        <v>175.85</v>
      </c>
      <c r="K328" s="24" t="s">
        <v>21</v>
      </c>
      <c r="L328" s="24" t="s">
        <v>21</v>
      </c>
      <c r="M328" s="24" t="s">
        <v>776</v>
      </c>
      <c r="N328" s="24">
        <v>45110</v>
      </c>
      <c r="O328" s="24" t="s">
        <v>21</v>
      </c>
    </row>
    <row r="329" spans="1:15" x14ac:dyDescent="0.25">
      <c r="A329" s="24" t="s">
        <v>169</v>
      </c>
      <c r="B329" s="24" t="s">
        <v>16</v>
      </c>
      <c r="C329" s="24">
        <v>684327</v>
      </c>
      <c r="D329" s="24" t="s">
        <v>864</v>
      </c>
      <c r="E329" s="24" t="s">
        <v>861</v>
      </c>
      <c r="F329" s="24" t="s">
        <v>865</v>
      </c>
      <c r="G329" s="24" t="s">
        <v>238</v>
      </c>
      <c r="H329" s="24">
        <v>154.13229999999999</v>
      </c>
      <c r="I329" s="24">
        <v>1.32894</v>
      </c>
      <c r="J329" s="24">
        <v>140.4</v>
      </c>
      <c r="K329" s="24" t="s">
        <v>21</v>
      </c>
      <c r="L329" s="24" t="s">
        <v>90</v>
      </c>
      <c r="M329" s="24" t="s">
        <v>776</v>
      </c>
      <c r="N329" s="24">
        <v>45110</v>
      </c>
      <c r="O329" s="24" t="s">
        <v>90</v>
      </c>
    </row>
    <row r="330" spans="1:15" x14ac:dyDescent="0.25">
      <c r="A330" s="24" t="s">
        <v>15</v>
      </c>
      <c r="B330" s="24" t="s">
        <v>16</v>
      </c>
      <c r="C330" s="24">
        <v>217165</v>
      </c>
      <c r="D330" s="24" t="s">
        <v>866</v>
      </c>
      <c r="E330" s="24" t="s">
        <v>867</v>
      </c>
      <c r="F330" s="24" t="s">
        <v>587</v>
      </c>
      <c r="G330" s="24" t="s">
        <v>128</v>
      </c>
      <c r="H330" s="24">
        <v>615.14</v>
      </c>
      <c r="I330" s="24">
        <v>3.96</v>
      </c>
      <c r="J330" s="24">
        <v>68.599999999999994</v>
      </c>
      <c r="K330" s="24" t="s">
        <v>21</v>
      </c>
      <c r="L330" s="24" t="s">
        <v>21</v>
      </c>
      <c r="M330" s="24" t="s">
        <v>776</v>
      </c>
      <c r="N330" s="24">
        <v>45110</v>
      </c>
      <c r="O330" s="24" t="s">
        <v>21</v>
      </c>
    </row>
    <row r="331" spans="1:15" x14ac:dyDescent="0.25">
      <c r="A331" s="24" t="s">
        <v>777</v>
      </c>
      <c r="B331" s="24" t="s">
        <v>778</v>
      </c>
      <c r="C331" s="24">
        <v>525870</v>
      </c>
      <c r="D331" s="24"/>
      <c r="E331" s="24" t="s">
        <v>868</v>
      </c>
      <c r="F331" s="24" t="s">
        <v>147</v>
      </c>
      <c r="G331" s="24" t="s">
        <v>781</v>
      </c>
      <c r="H331" s="24">
        <v>1080.0824</v>
      </c>
      <c r="I331" s="24">
        <v>7.2941900000000004</v>
      </c>
      <c r="J331" s="24">
        <v>75.88333333333334</v>
      </c>
      <c r="K331" s="24" t="s">
        <v>21</v>
      </c>
      <c r="L331" s="24" t="s">
        <v>90</v>
      </c>
      <c r="M331" s="24" t="s">
        <v>776</v>
      </c>
      <c r="N331" s="24">
        <v>45110</v>
      </c>
      <c r="O331" s="24" t="s">
        <v>90</v>
      </c>
    </row>
    <row r="332" spans="1:15" x14ac:dyDescent="0.25">
      <c r="A332" s="24" t="s">
        <v>32</v>
      </c>
      <c r="B332" s="24" t="s">
        <v>24</v>
      </c>
      <c r="C332" s="24">
        <v>420138</v>
      </c>
      <c r="D332" s="24" t="s">
        <v>869</v>
      </c>
      <c r="E332" s="24" t="s">
        <v>870</v>
      </c>
      <c r="F332" s="24" t="s">
        <v>871</v>
      </c>
      <c r="G332" s="24" t="s">
        <v>28</v>
      </c>
      <c r="H332" s="24">
        <v>144.35300000000001</v>
      </c>
      <c r="I332" s="24">
        <v>1.5409999999999999</v>
      </c>
      <c r="J332" s="24">
        <v>68.319999999999993</v>
      </c>
      <c r="K332" s="24" t="s">
        <v>21</v>
      </c>
      <c r="L332" s="24" t="s">
        <v>21</v>
      </c>
      <c r="M332" s="24" t="s">
        <v>776</v>
      </c>
      <c r="N332" s="24">
        <v>45110</v>
      </c>
      <c r="O332" s="24" t="s">
        <v>21</v>
      </c>
    </row>
    <row r="333" spans="1:15" x14ac:dyDescent="0.25">
      <c r="A333" s="24" t="s">
        <v>23</v>
      </c>
      <c r="B333" s="24" t="s">
        <v>24</v>
      </c>
      <c r="C333" s="24">
        <v>585694</v>
      </c>
      <c r="D333" s="24" t="s">
        <v>872</v>
      </c>
      <c r="E333" s="24" t="s">
        <v>873</v>
      </c>
      <c r="F333" s="24" t="s">
        <v>143</v>
      </c>
      <c r="G333" s="24" t="s">
        <v>28</v>
      </c>
      <c r="H333" s="24">
        <v>125.52200000000001</v>
      </c>
      <c r="I333" s="24">
        <v>0.79700000000000004</v>
      </c>
      <c r="J333" s="24">
        <v>72.793999999999997</v>
      </c>
      <c r="K333" s="24" t="s">
        <v>21</v>
      </c>
      <c r="L333" s="24" t="s">
        <v>21</v>
      </c>
      <c r="M333" s="24" t="s">
        <v>47</v>
      </c>
      <c r="N333" s="24">
        <v>45114</v>
      </c>
      <c r="O333" s="24" t="s">
        <v>21</v>
      </c>
    </row>
    <row r="334" spans="1:15" x14ac:dyDescent="0.25">
      <c r="A334" s="24" t="s">
        <v>32</v>
      </c>
      <c r="B334" s="24" t="s">
        <v>24</v>
      </c>
      <c r="C334" s="24">
        <v>505194</v>
      </c>
      <c r="D334" s="24" t="s">
        <v>874</v>
      </c>
      <c r="E334" s="24" t="s">
        <v>875</v>
      </c>
      <c r="F334" s="24" t="s">
        <v>876</v>
      </c>
      <c r="G334" s="24" t="s">
        <v>28</v>
      </c>
      <c r="H334" s="24">
        <v>553.27800000000002</v>
      </c>
      <c r="I334" s="24">
        <v>7.7320000000000002</v>
      </c>
      <c r="J334" s="24">
        <v>85.84</v>
      </c>
      <c r="K334" s="24" t="s">
        <v>21</v>
      </c>
      <c r="L334" s="24" t="s">
        <v>21</v>
      </c>
      <c r="M334" s="24" t="s">
        <v>47</v>
      </c>
      <c r="N334" s="24">
        <v>45119</v>
      </c>
      <c r="O334" s="24" t="s">
        <v>21</v>
      </c>
    </row>
    <row r="335" spans="1:15" x14ac:dyDescent="0.25">
      <c r="A335" s="24" t="s">
        <v>32</v>
      </c>
      <c r="B335" s="24" t="s">
        <v>24</v>
      </c>
      <c r="C335" s="24">
        <v>671389</v>
      </c>
      <c r="D335" s="24" t="s">
        <v>877</v>
      </c>
      <c r="E335" s="24" t="s">
        <v>878</v>
      </c>
      <c r="F335" s="24" t="s">
        <v>879</v>
      </c>
      <c r="G335" s="24" t="s">
        <v>28</v>
      </c>
      <c r="H335" s="24">
        <v>345.61900000000003</v>
      </c>
      <c r="I335" s="24">
        <v>3.5270000000000001</v>
      </c>
      <c r="J335" s="24">
        <v>84.631</v>
      </c>
      <c r="K335" s="24" t="s">
        <v>21</v>
      </c>
      <c r="L335" s="24" t="s">
        <v>21</v>
      </c>
      <c r="M335" s="24" t="s">
        <v>47</v>
      </c>
      <c r="N335" s="24">
        <v>45121</v>
      </c>
      <c r="O335" s="24" t="s">
        <v>21</v>
      </c>
    </row>
    <row r="336" spans="1:15" x14ac:dyDescent="0.25">
      <c r="A336" s="24" t="s">
        <v>84</v>
      </c>
      <c r="B336" s="24" t="s">
        <v>24</v>
      </c>
      <c r="C336" s="24">
        <v>685145</v>
      </c>
      <c r="D336" s="24" t="s">
        <v>880</v>
      </c>
      <c r="E336" s="24" t="s">
        <v>881</v>
      </c>
      <c r="F336" s="24" t="s">
        <v>306</v>
      </c>
      <c r="G336" s="24" t="s">
        <v>28</v>
      </c>
      <c r="H336" s="24">
        <v>451.03699999999998</v>
      </c>
      <c r="I336" s="24">
        <v>5.3040000000000003</v>
      </c>
      <c r="J336" s="24">
        <v>38.024999999999999</v>
      </c>
      <c r="K336" s="24" t="s">
        <v>21</v>
      </c>
      <c r="L336" s="24" t="s">
        <v>21</v>
      </c>
      <c r="M336" s="24" t="s">
        <v>776</v>
      </c>
      <c r="N336" s="24">
        <v>45125</v>
      </c>
      <c r="O336" s="24" t="s">
        <v>21</v>
      </c>
    </row>
    <row r="337" spans="1:15" x14ac:dyDescent="0.25">
      <c r="A337" s="24" t="s">
        <v>23</v>
      </c>
      <c r="B337" s="24" t="s">
        <v>24</v>
      </c>
      <c r="C337" s="24">
        <v>685187</v>
      </c>
      <c r="D337" s="24" t="s">
        <v>882</v>
      </c>
      <c r="E337" s="24" t="s">
        <v>883</v>
      </c>
      <c r="F337" s="24" t="s">
        <v>884</v>
      </c>
      <c r="G337" s="24" t="s">
        <v>28</v>
      </c>
      <c r="H337" s="24">
        <v>699.47299999999996</v>
      </c>
      <c r="I337" s="24">
        <v>8.5549999999999997</v>
      </c>
      <c r="J337" s="24">
        <v>55.13</v>
      </c>
      <c r="K337" s="24" t="s">
        <v>21</v>
      </c>
      <c r="L337" s="24" t="s">
        <v>21</v>
      </c>
      <c r="M337" s="24" t="s">
        <v>47</v>
      </c>
      <c r="N337" s="24">
        <v>45126</v>
      </c>
      <c r="O337" s="24" t="s">
        <v>21</v>
      </c>
    </row>
    <row r="338" spans="1:15" x14ac:dyDescent="0.25">
      <c r="A338" s="24" t="s">
        <v>169</v>
      </c>
      <c r="B338" s="24" t="s">
        <v>16</v>
      </c>
      <c r="C338" s="24">
        <v>425266</v>
      </c>
      <c r="D338" s="24" t="s">
        <v>885</v>
      </c>
      <c r="E338" s="24" t="s">
        <v>886</v>
      </c>
      <c r="F338" s="24" t="s">
        <v>887</v>
      </c>
      <c r="G338" s="24" t="s">
        <v>174</v>
      </c>
      <c r="H338" s="24">
        <v>233.92429999999999</v>
      </c>
      <c r="I338" s="24">
        <v>2.0706899999999999</v>
      </c>
      <c r="J338" s="24">
        <v>76.066666666666677</v>
      </c>
      <c r="K338" s="24" t="s">
        <v>21</v>
      </c>
      <c r="L338" s="24" t="s">
        <v>21</v>
      </c>
      <c r="M338" s="24" t="s">
        <v>47</v>
      </c>
      <c r="N338" s="24">
        <v>45128</v>
      </c>
      <c r="O338" s="24" t="s">
        <v>21</v>
      </c>
    </row>
    <row r="339" spans="1:15" x14ac:dyDescent="0.25">
      <c r="A339" s="24" t="s">
        <v>169</v>
      </c>
      <c r="B339" s="24" t="s">
        <v>16</v>
      </c>
      <c r="C339" s="24" t="s">
        <v>888</v>
      </c>
      <c r="D339" s="24" t="s">
        <v>885</v>
      </c>
      <c r="E339" s="24" t="s">
        <v>886</v>
      </c>
      <c r="F339" s="24" t="s">
        <v>887</v>
      </c>
      <c r="G339" s="24" t="s">
        <v>174</v>
      </c>
      <c r="H339" s="24">
        <v>60.055799999999998</v>
      </c>
      <c r="I339" s="24">
        <v>0.43991999999999998</v>
      </c>
      <c r="J339" s="24">
        <v>73.2</v>
      </c>
      <c r="K339" s="24" t="s">
        <v>21</v>
      </c>
      <c r="L339" s="24" t="s">
        <v>90</v>
      </c>
      <c r="M339" s="24" t="s">
        <v>47</v>
      </c>
      <c r="N339" s="24">
        <v>45128</v>
      </c>
      <c r="O339" s="24" t="s">
        <v>90</v>
      </c>
    </row>
    <row r="340" spans="1:15" x14ac:dyDescent="0.25">
      <c r="A340" s="24" t="s">
        <v>169</v>
      </c>
      <c r="B340" s="24" t="s">
        <v>16</v>
      </c>
      <c r="C340" s="24">
        <v>685289</v>
      </c>
      <c r="D340" s="24" t="s">
        <v>889</v>
      </c>
      <c r="E340" s="24" t="s">
        <v>890</v>
      </c>
      <c r="F340" s="24" t="s">
        <v>891</v>
      </c>
      <c r="G340" s="24" t="s">
        <v>331</v>
      </c>
      <c r="H340" s="24">
        <v>272.1395</v>
      </c>
      <c r="I340" s="24">
        <v>3.7988200000000001</v>
      </c>
      <c r="J340" s="24">
        <v>95.4</v>
      </c>
      <c r="K340" s="24" t="s">
        <v>21</v>
      </c>
      <c r="L340" s="24" t="s">
        <v>21</v>
      </c>
      <c r="M340" s="24" t="s">
        <v>47</v>
      </c>
      <c r="N340" s="24">
        <v>45128</v>
      </c>
      <c r="O340" s="24" t="s">
        <v>21</v>
      </c>
    </row>
    <row r="341" spans="1:15" x14ac:dyDescent="0.25">
      <c r="A341" s="24" t="s">
        <v>169</v>
      </c>
      <c r="B341" s="24" t="s">
        <v>16</v>
      </c>
      <c r="C341" s="24">
        <v>685289</v>
      </c>
      <c r="D341" s="24" t="s">
        <v>889</v>
      </c>
      <c r="E341" s="24" t="s">
        <v>890</v>
      </c>
      <c r="F341" s="24" t="s">
        <v>891</v>
      </c>
      <c r="G341" s="24" t="s">
        <v>331</v>
      </c>
      <c r="H341" s="24">
        <v>151.58439999999999</v>
      </c>
      <c r="I341" s="24">
        <v>1.1791100000000001</v>
      </c>
      <c r="J341" s="24">
        <v>84.183333333333337</v>
      </c>
      <c r="K341" s="24" t="s">
        <v>21</v>
      </c>
      <c r="L341" s="24" t="s">
        <v>90</v>
      </c>
      <c r="M341" s="24" t="s">
        <v>47</v>
      </c>
      <c r="N341" s="24">
        <v>45128</v>
      </c>
      <c r="O341" s="24" t="s">
        <v>90</v>
      </c>
    </row>
    <row r="342" spans="1:15" x14ac:dyDescent="0.25">
      <c r="A342" s="24" t="s">
        <v>23</v>
      </c>
      <c r="B342" s="24" t="s">
        <v>24</v>
      </c>
      <c r="C342" s="24">
        <v>384183</v>
      </c>
      <c r="D342" s="24" t="s">
        <v>892</v>
      </c>
      <c r="E342" s="24" t="s">
        <v>893</v>
      </c>
      <c r="F342" s="24" t="s">
        <v>894</v>
      </c>
      <c r="G342" s="24" t="s">
        <v>28</v>
      </c>
      <c r="H342" s="24">
        <v>497.00299999999999</v>
      </c>
      <c r="I342" s="24">
        <v>6.1369999999999996</v>
      </c>
      <c r="J342" s="24">
        <v>61.695999999999998</v>
      </c>
      <c r="K342" s="24" t="s">
        <v>21</v>
      </c>
      <c r="L342" s="24" t="s">
        <v>21</v>
      </c>
      <c r="M342" s="24" t="s">
        <v>776</v>
      </c>
      <c r="N342" s="24">
        <v>45131</v>
      </c>
      <c r="O342" s="24" t="s">
        <v>21</v>
      </c>
    </row>
    <row r="343" spans="1:15" x14ac:dyDescent="0.25">
      <c r="A343" s="24" t="s">
        <v>169</v>
      </c>
      <c r="B343" s="24" t="s">
        <v>16</v>
      </c>
      <c r="C343" s="24">
        <v>1736491</v>
      </c>
      <c r="D343" s="24" t="s">
        <v>895</v>
      </c>
      <c r="E343" s="24" t="s">
        <v>890</v>
      </c>
      <c r="F343" s="24" t="s">
        <v>891</v>
      </c>
      <c r="G343" s="24" t="s">
        <v>331</v>
      </c>
      <c r="H343" s="24">
        <v>272.1395</v>
      </c>
      <c r="I343" s="24">
        <v>3.7988200000000001</v>
      </c>
      <c r="J343" s="24">
        <v>95.4</v>
      </c>
      <c r="K343" s="24" t="s">
        <v>21</v>
      </c>
      <c r="L343" s="24" t="s">
        <v>21</v>
      </c>
      <c r="M343" s="24" t="s">
        <v>776</v>
      </c>
      <c r="N343" s="24">
        <v>45131</v>
      </c>
      <c r="O343" s="24" t="s">
        <v>21</v>
      </c>
    </row>
    <row r="344" spans="1:15" x14ac:dyDescent="0.25">
      <c r="A344" s="24" t="s">
        <v>169</v>
      </c>
      <c r="B344" s="24" t="s">
        <v>16</v>
      </c>
      <c r="C344" s="24">
        <v>1736491</v>
      </c>
      <c r="D344" s="24" t="s">
        <v>895</v>
      </c>
      <c r="E344" s="24" t="s">
        <v>890</v>
      </c>
      <c r="F344" s="24" t="s">
        <v>891</v>
      </c>
      <c r="G344" s="24" t="s">
        <v>331</v>
      </c>
      <c r="H344" s="24">
        <v>151.58439999999999</v>
      </c>
      <c r="I344" s="24">
        <v>1.1791100000000001</v>
      </c>
      <c r="J344" s="24">
        <v>84.183333333333337</v>
      </c>
      <c r="K344" s="24" t="s">
        <v>21</v>
      </c>
      <c r="L344" s="24" t="s">
        <v>90</v>
      </c>
      <c r="M344" s="24" t="s">
        <v>776</v>
      </c>
      <c r="N344" s="24">
        <v>45131</v>
      </c>
      <c r="O344" s="24" t="s">
        <v>90</v>
      </c>
    </row>
    <row r="345" spans="1:15" x14ac:dyDescent="0.25">
      <c r="A345" s="24" t="s">
        <v>777</v>
      </c>
      <c r="B345" s="24" t="s">
        <v>778</v>
      </c>
      <c r="C345" s="24" t="s">
        <v>896</v>
      </c>
      <c r="D345" s="24"/>
      <c r="E345" s="24" t="s">
        <v>893</v>
      </c>
      <c r="F345" s="24" t="s">
        <v>610</v>
      </c>
      <c r="G345" s="24" t="s">
        <v>812</v>
      </c>
      <c r="H345" s="24">
        <v>157.0823</v>
      </c>
      <c r="I345" s="24">
        <v>0.93898999999999999</v>
      </c>
      <c r="J345" s="24">
        <v>64.816666666666663</v>
      </c>
      <c r="K345" s="24" t="s">
        <v>21</v>
      </c>
      <c r="L345" s="24" t="s">
        <v>90</v>
      </c>
      <c r="M345" s="24" t="s">
        <v>776</v>
      </c>
      <c r="N345" s="24">
        <v>45133</v>
      </c>
      <c r="O345" s="24" t="s">
        <v>90</v>
      </c>
    </row>
    <row r="346" spans="1:15" x14ac:dyDescent="0.25">
      <c r="A346" s="24" t="s">
        <v>169</v>
      </c>
      <c r="B346" s="24" t="s">
        <v>16</v>
      </c>
      <c r="C346" s="24" t="s">
        <v>897</v>
      </c>
      <c r="D346" s="24" t="s">
        <v>898</v>
      </c>
      <c r="E346" s="24" t="s">
        <v>899</v>
      </c>
      <c r="F346" s="24" t="s">
        <v>900</v>
      </c>
      <c r="G346" s="24" t="s">
        <v>174</v>
      </c>
      <c r="H346" s="24">
        <v>283.58449999999999</v>
      </c>
      <c r="I346" s="24">
        <v>3.87419</v>
      </c>
      <c r="J346" s="24">
        <v>110.55</v>
      </c>
      <c r="K346" s="24" t="s">
        <v>21</v>
      </c>
      <c r="L346" s="24" t="s">
        <v>21</v>
      </c>
      <c r="M346" s="24" t="s">
        <v>776</v>
      </c>
      <c r="N346" s="24">
        <v>45138</v>
      </c>
      <c r="O346" s="24" t="s">
        <v>21</v>
      </c>
    </row>
    <row r="347" spans="1:15" x14ac:dyDescent="0.25">
      <c r="A347" s="24" t="s">
        <v>169</v>
      </c>
      <c r="B347" s="24" t="s">
        <v>16</v>
      </c>
      <c r="C347" s="24" t="s">
        <v>897</v>
      </c>
      <c r="D347" s="24" t="s">
        <v>898</v>
      </c>
      <c r="E347" s="24" t="s">
        <v>899</v>
      </c>
      <c r="F347" s="24" t="s">
        <v>900</v>
      </c>
      <c r="G347" s="24" t="s">
        <v>174</v>
      </c>
      <c r="H347" s="24">
        <v>101.72669999999999</v>
      </c>
      <c r="I347" s="24">
        <v>1.21756</v>
      </c>
      <c r="J347" s="24">
        <v>91.25</v>
      </c>
      <c r="K347" s="24" t="s">
        <v>21</v>
      </c>
      <c r="L347" s="24" t="s">
        <v>90</v>
      </c>
      <c r="M347" s="24" t="s">
        <v>776</v>
      </c>
      <c r="N347" s="24">
        <v>45138</v>
      </c>
      <c r="O347" s="24" t="s">
        <v>90</v>
      </c>
    </row>
    <row r="348" spans="1:15" x14ac:dyDescent="0.25">
      <c r="A348" s="24" t="s">
        <v>15</v>
      </c>
      <c r="B348" s="24" t="s">
        <v>16</v>
      </c>
      <c r="C348" s="24">
        <v>100765</v>
      </c>
      <c r="D348" s="24" t="s">
        <v>901</v>
      </c>
      <c r="E348" s="24" t="s">
        <v>902</v>
      </c>
      <c r="F348" s="24" t="s">
        <v>903</v>
      </c>
      <c r="G348" s="24" t="s">
        <v>71</v>
      </c>
      <c r="H348" s="24">
        <v>270.38</v>
      </c>
      <c r="I348" s="24">
        <v>0.73</v>
      </c>
      <c r="J348" s="24">
        <v>89.67</v>
      </c>
      <c r="K348" s="24" t="s">
        <v>21</v>
      </c>
      <c r="L348" s="24" t="s">
        <v>21</v>
      </c>
      <c r="M348" s="24" t="s">
        <v>776</v>
      </c>
      <c r="N348" s="24">
        <v>45138</v>
      </c>
      <c r="O348" s="24" t="s">
        <v>21</v>
      </c>
    </row>
    <row r="349" spans="1:15" x14ac:dyDescent="0.25">
      <c r="A349" s="24" t="s">
        <v>169</v>
      </c>
      <c r="B349" s="24" t="s">
        <v>16</v>
      </c>
      <c r="C349" s="24" t="s">
        <v>904</v>
      </c>
      <c r="D349" s="24" t="s">
        <v>905</v>
      </c>
      <c r="E349" s="24" t="s">
        <v>902</v>
      </c>
      <c r="F349" s="24" t="s">
        <v>820</v>
      </c>
      <c r="G349" s="24" t="s">
        <v>174</v>
      </c>
      <c r="H349" s="24">
        <v>311.572</v>
      </c>
      <c r="I349" s="24">
        <v>4.0251000000000001</v>
      </c>
      <c r="J349" s="24">
        <v>115.1166666666667</v>
      </c>
      <c r="K349" s="24" t="s">
        <v>21</v>
      </c>
      <c r="L349" s="24" t="s">
        <v>21</v>
      </c>
      <c r="M349" s="24" t="s">
        <v>776</v>
      </c>
      <c r="N349" s="24">
        <v>45138</v>
      </c>
      <c r="O349" s="24" t="s">
        <v>21</v>
      </c>
    </row>
    <row r="350" spans="1:15" x14ac:dyDescent="0.25">
      <c r="A350" s="24" t="s">
        <v>169</v>
      </c>
      <c r="B350" s="24" t="s">
        <v>16</v>
      </c>
      <c r="C350" s="24" t="s">
        <v>904</v>
      </c>
      <c r="D350" s="24" t="s">
        <v>905</v>
      </c>
      <c r="E350" s="24" t="s">
        <v>902</v>
      </c>
      <c r="F350" s="24" t="s">
        <v>820</v>
      </c>
      <c r="G350" s="24" t="s">
        <v>174</v>
      </c>
      <c r="H350" s="24">
        <v>100.892</v>
      </c>
      <c r="I350" s="24">
        <v>0.78524000000000005</v>
      </c>
      <c r="J350" s="24">
        <v>85.966666666666654</v>
      </c>
      <c r="K350" s="24" t="s">
        <v>21</v>
      </c>
      <c r="L350" s="24" t="s">
        <v>90</v>
      </c>
      <c r="M350" s="24" t="s">
        <v>776</v>
      </c>
      <c r="N350" s="24">
        <v>45138</v>
      </c>
      <c r="O350" s="24" t="s">
        <v>90</v>
      </c>
    </row>
    <row r="351" spans="1:15" x14ac:dyDescent="0.25">
      <c r="A351" s="24" t="s">
        <v>23</v>
      </c>
      <c r="B351" s="24" t="s">
        <v>24</v>
      </c>
      <c r="C351" s="24">
        <v>249383</v>
      </c>
      <c r="D351" s="24" t="s">
        <v>906</v>
      </c>
      <c r="E351" s="24" t="s">
        <v>907</v>
      </c>
      <c r="F351" s="24" t="s">
        <v>197</v>
      </c>
      <c r="G351" s="24" t="s">
        <v>28</v>
      </c>
      <c r="H351" s="24">
        <v>582.11199999999997</v>
      </c>
      <c r="I351" s="24">
        <v>6.12</v>
      </c>
      <c r="J351" s="24">
        <v>45.704999999999998</v>
      </c>
      <c r="K351" s="24" t="s">
        <v>21</v>
      </c>
      <c r="L351" s="24" t="s">
        <v>21</v>
      </c>
      <c r="M351" s="24" t="s">
        <v>776</v>
      </c>
      <c r="N351" s="24">
        <v>45145</v>
      </c>
      <c r="O351" s="24" t="s">
        <v>21</v>
      </c>
    </row>
    <row r="352" spans="1:15" x14ac:dyDescent="0.25">
      <c r="A352" s="24" t="s">
        <v>23</v>
      </c>
      <c r="B352" s="24" t="s">
        <v>24</v>
      </c>
      <c r="C352" s="24">
        <v>685970</v>
      </c>
      <c r="D352" s="24" t="s">
        <v>908</v>
      </c>
      <c r="E352" s="24" t="s">
        <v>909</v>
      </c>
      <c r="F352" s="24" t="s">
        <v>910</v>
      </c>
      <c r="G352" s="24" t="s">
        <v>28</v>
      </c>
      <c r="H352" s="24">
        <v>396.78100000000001</v>
      </c>
      <c r="I352" s="24">
        <v>6.867</v>
      </c>
      <c r="J352" s="24">
        <v>48.207000000000001</v>
      </c>
      <c r="K352" s="24" t="s">
        <v>21</v>
      </c>
      <c r="L352" s="24" t="s">
        <v>21</v>
      </c>
      <c r="M352" s="24" t="s">
        <v>776</v>
      </c>
      <c r="N352" s="24">
        <v>45147</v>
      </c>
      <c r="O352" s="24" t="s">
        <v>21</v>
      </c>
    </row>
    <row r="353" spans="1:15" x14ac:dyDescent="0.25">
      <c r="A353" s="24" t="s">
        <v>23</v>
      </c>
      <c r="B353" s="24" t="s">
        <v>24</v>
      </c>
      <c r="C353" s="24">
        <v>425466</v>
      </c>
      <c r="D353" s="24" t="s">
        <v>911</v>
      </c>
      <c r="E353" s="24" t="s">
        <v>912</v>
      </c>
      <c r="F353" s="24" t="s">
        <v>913</v>
      </c>
      <c r="G353" s="24" t="s">
        <v>28</v>
      </c>
      <c r="H353" s="24">
        <v>412.01900000000001</v>
      </c>
      <c r="I353" s="24">
        <v>3.6059999999999999</v>
      </c>
      <c r="J353" s="24">
        <v>109.017</v>
      </c>
      <c r="K353" s="24" t="s">
        <v>21</v>
      </c>
      <c r="L353" s="24" t="s">
        <v>21</v>
      </c>
      <c r="M353" s="24" t="s">
        <v>776</v>
      </c>
      <c r="N353" s="24">
        <v>45148</v>
      </c>
      <c r="O353" s="24" t="s">
        <v>21</v>
      </c>
    </row>
    <row r="354" spans="1:15" x14ac:dyDescent="0.25">
      <c r="A354" s="24" t="s">
        <v>169</v>
      </c>
      <c r="B354" s="24" t="s">
        <v>16</v>
      </c>
      <c r="C354" s="24" t="s">
        <v>914</v>
      </c>
      <c r="D354" s="24" t="s">
        <v>915</v>
      </c>
      <c r="E354" s="24" t="s">
        <v>916</v>
      </c>
      <c r="F354" s="24" t="s">
        <v>917</v>
      </c>
      <c r="G354" s="24" t="s">
        <v>174</v>
      </c>
      <c r="H354" s="24">
        <v>242.75460000000001</v>
      </c>
      <c r="I354" s="24">
        <v>1.6648000000000001</v>
      </c>
      <c r="J354" s="24">
        <v>87.2</v>
      </c>
      <c r="K354" s="24" t="s">
        <v>21</v>
      </c>
      <c r="L354" s="24" t="s">
        <v>21</v>
      </c>
      <c r="M354" s="24" t="s">
        <v>47</v>
      </c>
      <c r="N354" s="24">
        <v>45159</v>
      </c>
      <c r="O354" s="24" t="s">
        <v>21</v>
      </c>
    </row>
    <row r="355" spans="1:15" x14ac:dyDescent="0.25">
      <c r="A355" s="24" t="s">
        <v>15</v>
      </c>
      <c r="B355" s="24" t="s">
        <v>16</v>
      </c>
      <c r="C355" s="24">
        <v>686290</v>
      </c>
      <c r="D355" s="24" t="s">
        <v>918</v>
      </c>
      <c r="E355" s="24" t="s">
        <v>919</v>
      </c>
      <c r="F355" s="24" t="s">
        <v>920</v>
      </c>
      <c r="G355" s="24" t="s">
        <v>295</v>
      </c>
      <c r="H355" s="24">
        <v>232.67</v>
      </c>
      <c r="I355" s="24">
        <v>1.83</v>
      </c>
      <c r="J355" s="24">
        <v>60.28</v>
      </c>
      <c r="K355" s="24" t="s">
        <v>21</v>
      </c>
      <c r="L355" s="24" t="s">
        <v>21</v>
      </c>
      <c r="M355" s="24" t="s">
        <v>47</v>
      </c>
      <c r="N355" s="24">
        <v>45159</v>
      </c>
      <c r="O355" s="24" t="s">
        <v>21</v>
      </c>
    </row>
    <row r="356" spans="1:15" x14ac:dyDescent="0.25">
      <c r="A356" s="24" t="s">
        <v>169</v>
      </c>
      <c r="B356" s="24" t="s">
        <v>16</v>
      </c>
      <c r="C356" s="24">
        <v>350018</v>
      </c>
      <c r="D356" s="24" t="s">
        <v>921</v>
      </c>
      <c r="E356" s="24" t="s">
        <v>922</v>
      </c>
      <c r="F356" s="24" t="s">
        <v>923</v>
      </c>
      <c r="G356" s="24" t="s">
        <v>924</v>
      </c>
      <c r="H356" s="24">
        <v>412.31689999999998</v>
      </c>
      <c r="I356" s="24">
        <v>3.2668200000000001</v>
      </c>
      <c r="J356" s="24">
        <v>62.466666666666669</v>
      </c>
      <c r="K356" s="24" t="s">
        <v>21</v>
      </c>
      <c r="L356" s="24" t="s">
        <v>21</v>
      </c>
      <c r="M356" s="24" t="s">
        <v>47</v>
      </c>
      <c r="N356" s="24">
        <v>45163</v>
      </c>
      <c r="O356" s="24" t="s">
        <v>21</v>
      </c>
    </row>
    <row r="357" spans="1:15" x14ac:dyDescent="0.25">
      <c r="A357" s="24" t="s">
        <v>23</v>
      </c>
      <c r="B357" s="24" t="s">
        <v>24</v>
      </c>
      <c r="C357" s="24">
        <v>666877</v>
      </c>
      <c r="D357" s="24" t="s">
        <v>925</v>
      </c>
      <c r="E357" s="24" t="s">
        <v>926</v>
      </c>
      <c r="F357" s="24" t="s">
        <v>753</v>
      </c>
      <c r="G357" s="24" t="s">
        <v>28</v>
      </c>
      <c r="H357" s="24">
        <v>367.83300000000003</v>
      </c>
      <c r="I357" s="24">
        <v>5.0579999999999998</v>
      </c>
      <c r="J357" s="24">
        <v>34.725000000000001</v>
      </c>
      <c r="K357" s="24" t="s">
        <v>21</v>
      </c>
      <c r="L357" s="24" t="s">
        <v>21</v>
      </c>
      <c r="M357" s="24" t="s">
        <v>47</v>
      </c>
      <c r="N357" s="24">
        <v>45167</v>
      </c>
      <c r="O357" s="24" t="s">
        <v>21</v>
      </c>
    </row>
    <row r="358" spans="1:15" x14ac:dyDescent="0.25">
      <c r="A358" s="24" t="s">
        <v>15</v>
      </c>
      <c r="B358" s="24" t="s">
        <v>16</v>
      </c>
      <c r="C358" s="24">
        <v>310833</v>
      </c>
      <c r="D358" s="24" t="s">
        <v>927</v>
      </c>
      <c r="E358" s="24" t="s">
        <v>928</v>
      </c>
      <c r="F358" s="24" t="s">
        <v>581</v>
      </c>
      <c r="G358" s="24" t="s">
        <v>71</v>
      </c>
      <c r="H358" s="24">
        <v>26.65</v>
      </c>
      <c r="I358" s="24">
        <v>0.14000000000000001</v>
      </c>
      <c r="J358" s="24">
        <v>68.180000000000007</v>
      </c>
      <c r="K358" s="24" t="s">
        <v>21</v>
      </c>
      <c r="L358" s="24" t="s">
        <v>21</v>
      </c>
      <c r="M358" s="24" t="s">
        <v>47</v>
      </c>
      <c r="N358" s="24">
        <v>45170</v>
      </c>
      <c r="O358" s="24" t="s">
        <v>21</v>
      </c>
    </row>
    <row r="359" spans="1:15" x14ac:dyDescent="0.25">
      <c r="A359" s="24" t="s">
        <v>32</v>
      </c>
      <c r="B359" s="24" t="s">
        <v>24</v>
      </c>
      <c r="C359" s="24">
        <v>577752</v>
      </c>
      <c r="D359" s="24" t="s">
        <v>929</v>
      </c>
      <c r="E359" s="24" t="s">
        <v>930</v>
      </c>
      <c r="F359" s="24" t="s">
        <v>931</v>
      </c>
      <c r="G359" s="24" t="s">
        <v>28</v>
      </c>
      <c r="H359" s="24">
        <v>457.76</v>
      </c>
      <c r="I359" s="24">
        <v>5.2919999999999998</v>
      </c>
      <c r="J359" s="24">
        <v>62.298999999999999</v>
      </c>
      <c r="K359" s="24" t="s">
        <v>21</v>
      </c>
      <c r="L359" s="24" t="s">
        <v>21</v>
      </c>
      <c r="M359" s="24" t="s">
        <v>47</v>
      </c>
      <c r="N359" s="24">
        <v>45175</v>
      </c>
      <c r="O359" s="24" t="s">
        <v>21</v>
      </c>
    </row>
    <row r="360" spans="1:15" x14ac:dyDescent="0.25">
      <c r="A360" s="24" t="s">
        <v>15</v>
      </c>
      <c r="B360" s="24" t="s">
        <v>16</v>
      </c>
      <c r="C360" s="24">
        <v>599922</v>
      </c>
      <c r="D360" s="24" t="s">
        <v>932</v>
      </c>
      <c r="E360" s="24" t="s">
        <v>933</v>
      </c>
      <c r="F360" s="24" t="s">
        <v>934</v>
      </c>
      <c r="G360" s="24" t="s">
        <v>71</v>
      </c>
      <c r="H360" s="24">
        <v>1035.23</v>
      </c>
      <c r="I360" s="24">
        <v>1.87</v>
      </c>
      <c r="J360" s="24">
        <v>45.3</v>
      </c>
      <c r="K360" s="24" t="s">
        <v>21</v>
      </c>
      <c r="L360" s="24" t="s">
        <v>21</v>
      </c>
      <c r="M360" s="24" t="s">
        <v>47</v>
      </c>
      <c r="N360" s="24">
        <v>45183</v>
      </c>
      <c r="O360" s="24" t="s">
        <v>21</v>
      </c>
    </row>
    <row r="361" spans="1:15" x14ac:dyDescent="0.25">
      <c r="A361" s="24" t="s">
        <v>15</v>
      </c>
      <c r="B361" s="24" t="s">
        <v>16</v>
      </c>
      <c r="C361" s="24">
        <v>1739151</v>
      </c>
      <c r="D361" s="24" t="s">
        <v>935</v>
      </c>
      <c r="E361" s="24" t="s">
        <v>936</v>
      </c>
      <c r="F361" s="24" t="s">
        <v>454</v>
      </c>
      <c r="G361" s="24" t="s">
        <v>71</v>
      </c>
      <c r="H361" s="24">
        <v>442.36</v>
      </c>
      <c r="I361" s="24">
        <v>1.49</v>
      </c>
      <c r="J361" s="24">
        <v>66.900000000000006</v>
      </c>
      <c r="K361" s="24" t="s">
        <v>21</v>
      </c>
      <c r="L361" s="24" t="s">
        <v>21</v>
      </c>
      <c r="M361" s="24" t="s">
        <v>47</v>
      </c>
      <c r="N361" s="24">
        <v>45187</v>
      </c>
      <c r="O361" s="24" t="s">
        <v>21</v>
      </c>
    </row>
    <row r="362" spans="1:15" x14ac:dyDescent="0.25">
      <c r="A362" s="24" t="s">
        <v>32</v>
      </c>
      <c r="B362" s="24" t="s">
        <v>24</v>
      </c>
      <c r="C362" s="24">
        <v>20427</v>
      </c>
      <c r="D362" s="24" t="s">
        <v>937</v>
      </c>
      <c r="E362" s="24" t="s">
        <v>938</v>
      </c>
      <c r="F362" s="24" t="s">
        <v>81</v>
      </c>
      <c r="G362" s="24" t="s">
        <v>28</v>
      </c>
      <c r="H362" s="24">
        <v>319.83600000000001</v>
      </c>
      <c r="I362" s="24">
        <v>4.8899999999999997</v>
      </c>
      <c r="J362" s="24">
        <v>69.147999999999996</v>
      </c>
      <c r="K362" s="24" t="s">
        <v>21</v>
      </c>
      <c r="L362" s="24" t="s">
        <v>21</v>
      </c>
      <c r="M362" s="24" t="s">
        <v>47</v>
      </c>
      <c r="N362" s="24">
        <v>45188</v>
      </c>
      <c r="O362" s="24" t="s">
        <v>21</v>
      </c>
    </row>
    <row r="363" spans="1:15" x14ac:dyDescent="0.25">
      <c r="A363" s="24" t="s">
        <v>32</v>
      </c>
      <c r="B363" s="24" t="s">
        <v>24</v>
      </c>
      <c r="C363" s="24">
        <v>612667</v>
      </c>
      <c r="D363" s="24" t="s">
        <v>939</v>
      </c>
      <c r="E363" s="24" t="s">
        <v>940</v>
      </c>
      <c r="F363" s="24" t="s">
        <v>941</v>
      </c>
      <c r="G363" s="24" t="s">
        <v>28</v>
      </c>
      <c r="H363" s="24">
        <v>407.11700000000002</v>
      </c>
      <c r="I363" s="24">
        <v>5.4029999999999996</v>
      </c>
      <c r="J363" s="24">
        <v>47.606000000000002</v>
      </c>
      <c r="K363" s="24" t="s">
        <v>21</v>
      </c>
      <c r="L363" s="24" t="s">
        <v>21</v>
      </c>
      <c r="M363" s="24" t="s">
        <v>47</v>
      </c>
      <c r="N363" s="24">
        <v>45189</v>
      </c>
      <c r="O363" s="24" t="s">
        <v>21</v>
      </c>
    </row>
    <row r="364" spans="1:15" x14ac:dyDescent="0.25">
      <c r="A364" s="24" t="s">
        <v>169</v>
      </c>
      <c r="B364" s="24" t="s">
        <v>16</v>
      </c>
      <c r="C364" s="24">
        <v>490513</v>
      </c>
      <c r="D364" s="24" t="s">
        <v>942</v>
      </c>
      <c r="E364" s="24" t="s">
        <v>938</v>
      </c>
      <c r="F364" s="24" t="s">
        <v>438</v>
      </c>
      <c r="G364" s="24" t="s">
        <v>331</v>
      </c>
      <c r="H364" s="24">
        <v>75.346299999999999</v>
      </c>
      <c r="I364" s="24">
        <v>0.62746999999999997</v>
      </c>
      <c r="J364" s="24">
        <v>63.316666666666663</v>
      </c>
      <c r="K364" s="24" t="s">
        <v>21</v>
      </c>
      <c r="L364" s="24" t="s">
        <v>21</v>
      </c>
      <c r="M364" s="24" t="s">
        <v>47</v>
      </c>
      <c r="N364" s="24">
        <v>45189</v>
      </c>
      <c r="O364" s="24" t="s">
        <v>21</v>
      </c>
    </row>
    <row r="365" spans="1:15" x14ac:dyDescent="0.25">
      <c r="A365" s="24" t="s">
        <v>15</v>
      </c>
      <c r="B365" s="24" t="s">
        <v>16</v>
      </c>
      <c r="C365" s="24">
        <v>621900</v>
      </c>
      <c r="D365" s="24" t="s">
        <v>943</v>
      </c>
      <c r="E365" s="24" t="s">
        <v>940</v>
      </c>
      <c r="F365" s="24" t="s">
        <v>944</v>
      </c>
      <c r="G365" s="24" t="s">
        <v>115</v>
      </c>
      <c r="H365" s="24">
        <v>925.87</v>
      </c>
      <c r="I365" s="24">
        <v>3.12</v>
      </c>
      <c r="J365" s="24">
        <v>59.52</v>
      </c>
      <c r="K365" s="24" t="s">
        <v>21</v>
      </c>
      <c r="L365" s="24" t="s">
        <v>21</v>
      </c>
      <c r="M365" s="24" t="s">
        <v>47</v>
      </c>
      <c r="N365" s="24">
        <v>45190</v>
      </c>
      <c r="O365" s="24" t="s">
        <v>21</v>
      </c>
    </row>
    <row r="366" spans="1:15" x14ac:dyDescent="0.25">
      <c r="A366" s="24" t="s">
        <v>777</v>
      </c>
      <c r="B366" s="24" t="s">
        <v>778</v>
      </c>
      <c r="C366" s="24">
        <v>63724</v>
      </c>
      <c r="D366" s="24"/>
      <c r="E366" s="24" t="s">
        <v>940</v>
      </c>
      <c r="F366" s="24" t="s">
        <v>600</v>
      </c>
      <c r="G366" s="24" t="s">
        <v>812</v>
      </c>
      <c r="H366" s="24">
        <v>408.81869999999998</v>
      </c>
      <c r="I366" s="24">
        <v>5.81684</v>
      </c>
      <c r="J366" s="24">
        <v>89.566666666666663</v>
      </c>
      <c r="K366" s="24" t="s">
        <v>21</v>
      </c>
      <c r="L366" s="24" t="s">
        <v>90</v>
      </c>
      <c r="M366" s="24" t="s">
        <v>47</v>
      </c>
      <c r="N366" s="24">
        <v>45190</v>
      </c>
      <c r="O366" s="24" t="s">
        <v>90</v>
      </c>
    </row>
    <row r="367" spans="1:15" x14ac:dyDescent="0.25">
      <c r="A367" s="24" t="s">
        <v>23</v>
      </c>
      <c r="B367" s="24" t="s">
        <v>24</v>
      </c>
      <c r="C367" s="24">
        <v>555506</v>
      </c>
      <c r="D367" s="24" t="s">
        <v>945</v>
      </c>
      <c r="E367" s="24" t="s">
        <v>946</v>
      </c>
      <c r="F367" s="24" t="s">
        <v>388</v>
      </c>
      <c r="G367" s="24" t="s">
        <v>28</v>
      </c>
      <c r="H367" s="24">
        <v>218.06200000000001</v>
      </c>
      <c r="I367" s="24">
        <v>1.504</v>
      </c>
      <c r="J367" s="24">
        <v>85.373000000000005</v>
      </c>
      <c r="K367" s="24" t="s">
        <v>21</v>
      </c>
      <c r="L367" s="24" t="s">
        <v>21</v>
      </c>
      <c r="M367" s="24" t="s">
        <v>47</v>
      </c>
      <c r="N367" s="24">
        <v>45198</v>
      </c>
      <c r="O367" s="24" t="s">
        <v>21</v>
      </c>
    </row>
    <row r="368" spans="1:15" x14ac:dyDescent="0.25">
      <c r="A368" s="24" t="s">
        <v>169</v>
      </c>
      <c r="B368" s="24" t="s">
        <v>16</v>
      </c>
      <c r="C368" s="24">
        <v>687836</v>
      </c>
      <c r="D368" s="24" t="s">
        <v>947</v>
      </c>
      <c r="E368" s="24" t="s">
        <v>948</v>
      </c>
      <c r="F368" s="24" t="s">
        <v>949</v>
      </c>
      <c r="G368" s="24" t="s">
        <v>174</v>
      </c>
      <c r="H368" s="24">
        <v>249.4717</v>
      </c>
      <c r="I368" s="24">
        <v>2.63442</v>
      </c>
      <c r="J368" s="24">
        <v>83.483333333333334</v>
      </c>
      <c r="K368" s="24" t="s">
        <v>21</v>
      </c>
      <c r="L368" s="24" t="s">
        <v>21</v>
      </c>
      <c r="M368" s="24" t="s">
        <v>47</v>
      </c>
      <c r="N368" s="24">
        <v>45198</v>
      </c>
      <c r="O368" s="24" t="s">
        <v>21</v>
      </c>
    </row>
    <row r="369" spans="1:15" x14ac:dyDescent="0.25">
      <c r="A369" s="24" t="s">
        <v>169</v>
      </c>
      <c r="B369" s="24" t="s">
        <v>16</v>
      </c>
      <c r="C369" s="24">
        <v>673311</v>
      </c>
      <c r="D369" s="24" t="s">
        <v>763</v>
      </c>
      <c r="E369" s="24" t="s">
        <v>950</v>
      </c>
      <c r="F369" s="24" t="s">
        <v>257</v>
      </c>
      <c r="G369" s="24" t="s">
        <v>314</v>
      </c>
      <c r="H369" s="24">
        <v>138.80430000000001</v>
      </c>
      <c r="I369" s="24">
        <v>2.0899100000000002</v>
      </c>
      <c r="J369" s="24">
        <v>63.366666666666667</v>
      </c>
      <c r="K369" s="24" t="s">
        <v>21</v>
      </c>
      <c r="L369" s="24" t="s">
        <v>21</v>
      </c>
      <c r="M369" s="24" t="s">
        <v>47</v>
      </c>
      <c r="N369" s="24">
        <v>45203</v>
      </c>
      <c r="O369" s="24" t="s">
        <v>21</v>
      </c>
    </row>
    <row r="370" spans="1:15" x14ac:dyDescent="0.25">
      <c r="A370" s="24" t="s">
        <v>23</v>
      </c>
      <c r="B370" s="24" t="s">
        <v>24</v>
      </c>
      <c r="C370" s="24">
        <v>646372</v>
      </c>
      <c r="D370" s="24" t="s">
        <v>951</v>
      </c>
      <c r="E370" s="24" t="s">
        <v>952</v>
      </c>
      <c r="F370" s="24" t="s">
        <v>953</v>
      </c>
      <c r="G370" s="24" t="s">
        <v>28</v>
      </c>
      <c r="H370" s="24">
        <v>131.077</v>
      </c>
      <c r="I370" s="24">
        <v>1.5920000000000001</v>
      </c>
      <c r="J370" s="24">
        <v>90.855000000000004</v>
      </c>
      <c r="K370" s="24" t="s">
        <v>21</v>
      </c>
      <c r="L370" s="24" t="s">
        <v>21</v>
      </c>
      <c r="M370" s="24" t="s">
        <v>776</v>
      </c>
      <c r="N370" s="24">
        <v>45205</v>
      </c>
      <c r="O370" s="24" t="s">
        <v>21</v>
      </c>
    </row>
    <row r="371" spans="1:15" x14ac:dyDescent="0.25">
      <c r="A371" s="24" t="s">
        <v>169</v>
      </c>
      <c r="B371" s="24" t="s">
        <v>16</v>
      </c>
      <c r="C371" s="24" t="s">
        <v>954</v>
      </c>
      <c r="D371" s="24" t="s">
        <v>955</v>
      </c>
      <c r="E371" s="24" t="s">
        <v>956</v>
      </c>
      <c r="F371" s="24" t="s">
        <v>957</v>
      </c>
      <c r="G371" s="24" t="s">
        <v>174</v>
      </c>
      <c r="H371" s="24">
        <v>475.79919999999998</v>
      </c>
      <c r="I371" s="24">
        <v>5.0543100000000001</v>
      </c>
      <c r="J371" s="24">
        <v>116.06666666666671</v>
      </c>
      <c r="K371" s="24" t="s">
        <v>21</v>
      </c>
      <c r="L371" s="24" t="s">
        <v>21</v>
      </c>
      <c r="M371" s="24" t="s">
        <v>776</v>
      </c>
      <c r="N371" s="24">
        <v>45205</v>
      </c>
      <c r="O371" s="24" t="s">
        <v>21</v>
      </c>
    </row>
    <row r="372" spans="1:15" x14ac:dyDescent="0.25">
      <c r="A372" s="24" t="s">
        <v>169</v>
      </c>
      <c r="B372" s="24" t="s">
        <v>16</v>
      </c>
      <c r="C372" s="24" t="s">
        <v>954</v>
      </c>
      <c r="D372" s="24" t="s">
        <v>955</v>
      </c>
      <c r="E372" s="24" t="s">
        <v>956</v>
      </c>
      <c r="F372" s="24" t="s">
        <v>957</v>
      </c>
      <c r="G372" s="24" t="s">
        <v>174</v>
      </c>
      <c r="H372" s="24">
        <v>396.47379999999998</v>
      </c>
      <c r="I372" s="24">
        <v>2.0042499999999999</v>
      </c>
      <c r="J372" s="24">
        <v>88.8</v>
      </c>
      <c r="K372" s="24" t="s">
        <v>21</v>
      </c>
      <c r="L372" s="24" t="s">
        <v>90</v>
      </c>
      <c r="M372" s="24" t="s">
        <v>776</v>
      </c>
      <c r="N372" s="24">
        <v>45205</v>
      </c>
      <c r="O372" s="24" t="s">
        <v>90</v>
      </c>
    </row>
    <row r="373" spans="1:15" x14ac:dyDescent="0.25">
      <c r="A373" s="24" t="s">
        <v>169</v>
      </c>
      <c r="B373" s="24" t="s">
        <v>16</v>
      </c>
      <c r="C373" s="24">
        <v>280681</v>
      </c>
      <c r="D373" s="24" t="s">
        <v>958</v>
      </c>
      <c r="E373" s="24" t="s">
        <v>959</v>
      </c>
      <c r="F373" s="24" t="s">
        <v>910</v>
      </c>
      <c r="G373" s="24" t="s">
        <v>248</v>
      </c>
      <c r="H373" s="24">
        <v>22.515799999999999</v>
      </c>
      <c r="I373" s="24">
        <v>0.89427999999999996</v>
      </c>
      <c r="J373" s="24">
        <v>71.566666666666677</v>
      </c>
      <c r="K373" s="24" t="s">
        <v>21</v>
      </c>
      <c r="L373" s="24" t="s">
        <v>21</v>
      </c>
      <c r="M373" s="24" t="s">
        <v>47</v>
      </c>
      <c r="N373" s="24">
        <v>45210</v>
      </c>
      <c r="O373" s="24" t="s">
        <v>21</v>
      </c>
    </row>
    <row r="374" spans="1:15" x14ac:dyDescent="0.25">
      <c r="A374" s="24" t="s">
        <v>32</v>
      </c>
      <c r="B374" s="24" t="s">
        <v>24</v>
      </c>
      <c r="C374" s="24">
        <v>250945</v>
      </c>
      <c r="D374" s="24" t="s">
        <v>960</v>
      </c>
      <c r="E374" s="24" t="s">
        <v>961</v>
      </c>
      <c r="F374" s="24" t="s">
        <v>482</v>
      </c>
      <c r="G374" s="24" t="s">
        <v>28</v>
      </c>
      <c r="H374" s="24">
        <v>129.16300000000001</v>
      </c>
      <c r="I374" s="24">
        <v>0.96</v>
      </c>
      <c r="J374" s="24">
        <v>76.59</v>
      </c>
      <c r="K374" s="24" t="s">
        <v>21</v>
      </c>
      <c r="L374" s="24" t="s">
        <v>21</v>
      </c>
      <c r="M374" s="24" t="s">
        <v>776</v>
      </c>
      <c r="N374" s="24">
        <v>45212</v>
      </c>
      <c r="O374" s="24" t="s">
        <v>21</v>
      </c>
    </row>
    <row r="375" spans="1:15" x14ac:dyDescent="0.25">
      <c r="A375" s="24" t="s">
        <v>169</v>
      </c>
      <c r="B375" s="24" t="s">
        <v>16</v>
      </c>
      <c r="C375" s="24">
        <v>583181</v>
      </c>
      <c r="D375" s="24" t="s">
        <v>962</v>
      </c>
      <c r="E375" s="24" t="s">
        <v>963</v>
      </c>
      <c r="F375" s="24" t="s">
        <v>35</v>
      </c>
      <c r="G375" s="24" t="s">
        <v>248</v>
      </c>
      <c r="H375" s="24">
        <v>77.311199999999999</v>
      </c>
      <c r="I375" s="24">
        <v>2.50684</v>
      </c>
      <c r="J375" s="24">
        <v>74.883333333333326</v>
      </c>
      <c r="K375" s="24" t="s">
        <v>21</v>
      </c>
      <c r="L375" s="24" t="s">
        <v>21</v>
      </c>
      <c r="M375" s="24" t="s">
        <v>776</v>
      </c>
      <c r="N375" s="24">
        <v>45212</v>
      </c>
      <c r="O375" s="24" t="s">
        <v>21</v>
      </c>
    </row>
    <row r="376" spans="1:15" x14ac:dyDescent="0.25">
      <c r="A376" s="24" t="s">
        <v>777</v>
      </c>
      <c r="B376" s="24" t="s">
        <v>778</v>
      </c>
      <c r="C376" s="24">
        <v>606522</v>
      </c>
      <c r="D376" s="24"/>
      <c r="E376" s="24" t="s">
        <v>963</v>
      </c>
      <c r="F376" s="24" t="s">
        <v>964</v>
      </c>
      <c r="G376" s="24" t="s">
        <v>781</v>
      </c>
      <c r="H376" s="24">
        <v>16.6694</v>
      </c>
      <c r="I376" s="24">
        <v>0.11196</v>
      </c>
      <c r="J376" s="24">
        <v>66.816666666666663</v>
      </c>
      <c r="K376" s="24" t="s">
        <v>21</v>
      </c>
      <c r="L376" s="24" t="s">
        <v>90</v>
      </c>
      <c r="M376" s="24" t="s">
        <v>776</v>
      </c>
      <c r="N376" s="24">
        <v>45212</v>
      </c>
      <c r="O376" s="24" t="s">
        <v>90</v>
      </c>
    </row>
    <row r="377" spans="1:15" x14ac:dyDescent="0.25">
      <c r="A377" s="24" t="s">
        <v>84</v>
      </c>
      <c r="B377" s="24" t="s">
        <v>24</v>
      </c>
      <c r="C377" s="24">
        <v>688559</v>
      </c>
      <c r="D377" s="24" t="s">
        <v>965</v>
      </c>
      <c r="E377" s="24" t="s">
        <v>966</v>
      </c>
      <c r="F377" s="24" t="s">
        <v>967</v>
      </c>
      <c r="G377" s="24" t="s">
        <v>28</v>
      </c>
      <c r="H377" s="24">
        <v>697.61900000000003</v>
      </c>
      <c r="I377" s="24">
        <v>7.9829999999999997</v>
      </c>
      <c r="J377" s="24">
        <v>50.259</v>
      </c>
      <c r="K377" s="24" t="s">
        <v>21</v>
      </c>
      <c r="L377" s="24" t="s">
        <v>21</v>
      </c>
      <c r="M377" s="24" t="s">
        <v>47</v>
      </c>
      <c r="N377" s="24">
        <v>45217</v>
      </c>
      <c r="O377" s="24" t="s">
        <v>21</v>
      </c>
    </row>
    <row r="378" spans="1:15" x14ac:dyDescent="0.25">
      <c r="A378" s="24" t="s">
        <v>169</v>
      </c>
      <c r="B378" s="24" t="s">
        <v>16</v>
      </c>
      <c r="C378" s="24">
        <v>154326</v>
      </c>
      <c r="D378" s="24" t="s">
        <v>968</v>
      </c>
      <c r="E378" s="24" t="s">
        <v>966</v>
      </c>
      <c r="F378" s="24" t="s">
        <v>19</v>
      </c>
      <c r="G378" s="24" t="s">
        <v>174</v>
      </c>
      <c r="H378" s="24">
        <v>189.73439999999999</v>
      </c>
      <c r="I378" s="24">
        <v>2.70851</v>
      </c>
      <c r="J378" s="24">
        <v>65.083333333333329</v>
      </c>
      <c r="K378" s="24" t="s">
        <v>21</v>
      </c>
      <c r="L378" s="24" t="s">
        <v>21</v>
      </c>
      <c r="M378" s="24" t="s">
        <v>47</v>
      </c>
      <c r="N378" s="24">
        <v>45218</v>
      </c>
      <c r="O378" s="24" t="s">
        <v>21</v>
      </c>
    </row>
    <row r="379" spans="1:15" x14ac:dyDescent="0.25">
      <c r="A379" s="24" t="s">
        <v>15</v>
      </c>
      <c r="B379" s="24" t="s">
        <v>16</v>
      </c>
      <c r="C379" s="24">
        <v>1740938</v>
      </c>
      <c r="D379" s="24" t="s">
        <v>969</v>
      </c>
      <c r="E379" s="24" t="s">
        <v>970</v>
      </c>
      <c r="F379" s="24" t="s">
        <v>971</v>
      </c>
      <c r="G379" s="24" t="s">
        <v>20</v>
      </c>
      <c r="H379" s="24">
        <v>784.98</v>
      </c>
      <c r="I379" s="24">
        <v>2.46</v>
      </c>
      <c r="J379" s="24">
        <v>34.520000000000003</v>
      </c>
      <c r="K379" s="24" t="s">
        <v>21</v>
      </c>
      <c r="L379" s="24" t="s">
        <v>21</v>
      </c>
      <c r="M379" s="24" t="s">
        <v>47</v>
      </c>
      <c r="N379" s="24">
        <v>45222</v>
      </c>
      <c r="O379" s="24" t="s">
        <v>21</v>
      </c>
    </row>
    <row r="380" spans="1:15" x14ac:dyDescent="0.25">
      <c r="A380" s="24" t="s">
        <v>23</v>
      </c>
      <c r="B380" s="24" t="s">
        <v>24</v>
      </c>
      <c r="C380" s="24">
        <v>680633</v>
      </c>
      <c r="D380" s="24" t="s">
        <v>972</v>
      </c>
      <c r="E380" s="24" t="s">
        <v>973</v>
      </c>
      <c r="F380" s="24" t="s">
        <v>663</v>
      </c>
      <c r="G380" s="24" t="s">
        <v>28</v>
      </c>
      <c r="H380" s="24">
        <v>189.69399999999999</v>
      </c>
      <c r="I380" s="24">
        <v>1.204</v>
      </c>
      <c r="J380" s="24">
        <v>63.463000000000001</v>
      </c>
      <c r="K380" s="24" t="s">
        <v>21</v>
      </c>
      <c r="L380" s="24" t="s">
        <v>21</v>
      </c>
      <c r="M380" s="24" t="s">
        <v>47</v>
      </c>
      <c r="N380" s="24">
        <v>45223</v>
      </c>
      <c r="O380" s="24" t="s">
        <v>21</v>
      </c>
    </row>
    <row r="381" spans="1:15" x14ac:dyDescent="0.25">
      <c r="A381" s="24" t="s">
        <v>32</v>
      </c>
      <c r="B381" s="24" t="s">
        <v>24</v>
      </c>
      <c r="C381" s="24">
        <v>659813</v>
      </c>
      <c r="D381" s="24" t="s">
        <v>974</v>
      </c>
      <c r="E381" s="24" t="s">
        <v>975</v>
      </c>
      <c r="F381" s="24" t="s">
        <v>225</v>
      </c>
      <c r="G381" s="24" t="s">
        <v>28</v>
      </c>
      <c r="H381" s="24">
        <v>129.27799999999999</v>
      </c>
      <c r="I381" s="24">
        <v>1.296</v>
      </c>
      <c r="J381" s="24">
        <v>85.34</v>
      </c>
      <c r="K381" s="24" t="s">
        <v>21</v>
      </c>
      <c r="L381" s="24" t="s">
        <v>21</v>
      </c>
      <c r="M381" s="24" t="s">
        <v>47</v>
      </c>
      <c r="N381" s="24">
        <v>45224</v>
      </c>
      <c r="O381" s="24" t="s">
        <v>21</v>
      </c>
    </row>
    <row r="382" spans="1:15" x14ac:dyDescent="0.25">
      <c r="A382" s="24" t="s">
        <v>777</v>
      </c>
      <c r="B382" s="24" t="s">
        <v>778</v>
      </c>
      <c r="C382" s="24">
        <v>683093</v>
      </c>
      <c r="D382" s="24"/>
      <c r="E382" s="24" t="s">
        <v>973</v>
      </c>
      <c r="F382" s="24" t="s">
        <v>976</v>
      </c>
      <c r="G382" s="24" t="s">
        <v>781</v>
      </c>
      <c r="H382" s="24">
        <v>192.66419999999999</v>
      </c>
      <c r="I382" s="24">
        <v>1.17597</v>
      </c>
      <c r="J382" s="24">
        <v>68.86666666666666</v>
      </c>
      <c r="K382" s="24" t="s">
        <v>21</v>
      </c>
      <c r="L382" s="24" t="s">
        <v>90</v>
      </c>
      <c r="M382" s="24" t="s">
        <v>47</v>
      </c>
      <c r="N382" s="24">
        <v>45224</v>
      </c>
      <c r="O382" s="24" t="s">
        <v>90</v>
      </c>
    </row>
    <row r="383" spans="1:15" x14ac:dyDescent="0.25">
      <c r="A383" s="24" t="s">
        <v>15</v>
      </c>
      <c r="B383" s="24" t="s">
        <v>16</v>
      </c>
      <c r="C383" s="24">
        <v>465194</v>
      </c>
      <c r="D383" s="24" t="s">
        <v>977</v>
      </c>
      <c r="E383" s="24" t="s">
        <v>978</v>
      </c>
      <c r="F383" s="24" t="s">
        <v>979</v>
      </c>
      <c r="G383" s="24" t="s">
        <v>115</v>
      </c>
      <c r="H383" s="24">
        <v>416.78</v>
      </c>
      <c r="I383" s="24">
        <v>1.93</v>
      </c>
      <c r="J383" s="24">
        <v>77.75</v>
      </c>
      <c r="K383" s="24" t="s">
        <v>21</v>
      </c>
      <c r="L383" s="24" t="s">
        <v>21</v>
      </c>
      <c r="M383" s="24" t="s">
        <v>47</v>
      </c>
      <c r="N383" s="24">
        <v>45229</v>
      </c>
      <c r="O383" s="24" t="s">
        <v>21</v>
      </c>
    </row>
    <row r="384" spans="1:15" x14ac:dyDescent="0.25">
      <c r="A384" s="24" t="s">
        <v>169</v>
      </c>
      <c r="B384" s="24" t="s">
        <v>16</v>
      </c>
      <c r="C384" s="24">
        <v>268673</v>
      </c>
      <c r="D384" s="24" t="s">
        <v>980</v>
      </c>
      <c r="E384" s="24" t="s">
        <v>981</v>
      </c>
      <c r="F384" s="24" t="s">
        <v>143</v>
      </c>
      <c r="G384" s="24" t="s">
        <v>232</v>
      </c>
      <c r="H384" s="24">
        <v>89.7209</v>
      </c>
      <c r="I384" s="24">
        <v>0.88746000000000003</v>
      </c>
      <c r="J384" s="24">
        <v>69.766666666666666</v>
      </c>
      <c r="K384" s="24" t="s">
        <v>21</v>
      </c>
      <c r="L384" s="24" t="s">
        <v>21</v>
      </c>
      <c r="M384" s="24" t="s">
        <v>776</v>
      </c>
      <c r="N384" s="24">
        <v>45232</v>
      </c>
      <c r="O384" s="24" t="s">
        <v>21</v>
      </c>
    </row>
    <row r="385" spans="1:15" x14ac:dyDescent="0.25">
      <c r="A385" s="24" t="s">
        <v>169</v>
      </c>
      <c r="B385" s="24" t="s">
        <v>16</v>
      </c>
      <c r="C385" s="24" t="s">
        <v>982</v>
      </c>
      <c r="D385" s="24" t="s">
        <v>983</v>
      </c>
      <c r="E385" s="24" t="s">
        <v>984</v>
      </c>
      <c r="F385" s="24" t="s">
        <v>610</v>
      </c>
      <c r="G385" s="24" t="s">
        <v>248</v>
      </c>
      <c r="H385" s="24">
        <v>109.56619999999999</v>
      </c>
      <c r="I385" s="24">
        <v>2.2267399999999999</v>
      </c>
      <c r="J385" s="24">
        <v>79.433333333333337</v>
      </c>
      <c r="K385" s="24" t="s">
        <v>21</v>
      </c>
      <c r="L385" s="24" t="s">
        <v>21</v>
      </c>
      <c r="M385" s="24" t="s">
        <v>776</v>
      </c>
      <c r="N385" s="24">
        <v>45233</v>
      </c>
      <c r="O385" s="24" t="s">
        <v>21</v>
      </c>
    </row>
    <row r="386" spans="1:15" x14ac:dyDescent="0.25">
      <c r="A386" s="24" t="s">
        <v>32</v>
      </c>
      <c r="B386" s="24" t="s">
        <v>24</v>
      </c>
      <c r="C386" s="24">
        <v>688953</v>
      </c>
      <c r="D386" s="24" t="s">
        <v>985</v>
      </c>
      <c r="E386" s="24" t="s">
        <v>986</v>
      </c>
      <c r="F386" s="24" t="s">
        <v>35</v>
      </c>
      <c r="G386" s="24" t="s">
        <v>28</v>
      </c>
      <c r="H386" s="24">
        <v>469.13799999999998</v>
      </c>
      <c r="I386" s="24">
        <v>8.8770000000000007</v>
      </c>
      <c r="J386" s="24">
        <v>104.39100000000001</v>
      </c>
      <c r="K386" s="24" t="s">
        <v>21</v>
      </c>
      <c r="L386" s="24" t="s">
        <v>21</v>
      </c>
      <c r="M386" s="24" t="s">
        <v>47</v>
      </c>
      <c r="N386" s="24">
        <v>45236</v>
      </c>
      <c r="O386" s="24" t="s">
        <v>21</v>
      </c>
    </row>
    <row r="387" spans="1:15" x14ac:dyDescent="0.25">
      <c r="A387" s="24" t="s">
        <v>23</v>
      </c>
      <c r="B387" s="24" t="s">
        <v>24</v>
      </c>
      <c r="C387" s="24">
        <v>689567</v>
      </c>
      <c r="D387" s="24" t="s">
        <v>987</v>
      </c>
      <c r="E387" s="24" t="s">
        <v>988</v>
      </c>
      <c r="F387" s="24" t="s">
        <v>989</v>
      </c>
      <c r="G387" s="24" t="s">
        <v>28</v>
      </c>
      <c r="H387" s="24">
        <v>483.39800000000002</v>
      </c>
      <c r="I387" s="24">
        <v>5.1130000000000004</v>
      </c>
      <c r="J387" s="24">
        <v>45.103000000000002</v>
      </c>
      <c r="K387" s="24" t="s">
        <v>21</v>
      </c>
      <c r="L387" s="24" t="s">
        <v>21</v>
      </c>
      <c r="M387" s="24" t="s">
        <v>47</v>
      </c>
      <c r="N387" s="24">
        <v>45238</v>
      </c>
      <c r="O387" s="24" t="s">
        <v>21</v>
      </c>
    </row>
    <row r="388" spans="1:15" x14ac:dyDescent="0.25">
      <c r="A388" s="24" t="s">
        <v>32</v>
      </c>
      <c r="B388" s="24" t="s">
        <v>24</v>
      </c>
      <c r="C388" s="24">
        <v>689649</v>
      </c>
      <c r="D388" s="24" t="s">
        <v>990</v>
      </c>
      <c r="E388" s="24" t="s">
        <v>988</v>
      </c>
      <c r="F388" s="24" t="s">
        <v>991</v>
      </c>
      <c r="G388" s="24" t="s">
        <v>28</v>
      </c>
      <c r="H388" s="24">
        <v>541.81299999999999</v>
      </c>
      <c r="I388" s="24">
        <v>7.9329999999999998</v>
      </c>
      <c r="J388" s="24">
        <v>50.752000000000002</v>
      </c>
      <c r="K388" s="24" t="s">
        <v>21</v>
      </c>
      <c r="L388" s="24" t="s">
        <v>21</v>
      </c>
      <c r="M388" s="24" t="s">
        <v>47</v>
      </c>
      <c r="N388" s="24">
        <v>45238</v>
      </c>
      <c r="O388" s="24" t="s">
        <v>21</v>
      </c>
    </row>
    <row r="389" spans="1:15" x14ac:dyDescent="0.25">
      <c r="A389" s="24" t="s">
        <v>23</v>
      </c>
      <c r="B389" s="24" t="s">
        <v>24</v>
      </c>
      <c r="C389" s="24">
        <v>555533</v>
      </c>
      <c r="D389" s="24" t="s">
        <v>992</v>
      </c>
      <c r="E389" s="24" t="s">
        <v>993</v>
      </c>
      <c r="F389" s="24" t="s">
        <v>994</v>
      </c>
      <c r="G389" s="24" t="s">
        <v>28</v>
      </c>
      <c r="H389" s="24">
        <v>306.79500000000002</v>
      </c>
      <c r="I389" s="24">
        <v>2.7080000000000002</v>
      </c>
      <c r="J389" s="24">
        <v>62.243000000000002</v>
      </c>
      <c r="K389" s="24" t="s">
        <v>21</v>
      </c>
      <c r="L389" s="24" t="s">
        <v>21</v>
      </c>
      <c r="M389" s="24" t="s">
        <v>47</v>
      </c>
      <c r="N389" s="24">
        <v>45239</v>
      </c>
      <c r="O389" s="24" t="s">
        <v>21</v>
      </c>
    </row>
    <row r="390" spans="1:15" x14ac:dyDescent="0.25">
      <c r="A390" s="24" t="s">
        <v>32</v>
      </c>
      <c r="B390" s="24" t="s">
        <v>24</v>
      </c>
      <c r="C390" s="24">
        <v>515797</v>
      </c>
      <c r="D390" s="24" t="s">
        <v>995</v>
      </c>
      <c r="E390" s="24" t="s">
        <v>993</v>
      </c>
      <c r="F390" s="24" t="s">
        <v>93</v>
      </c>
      <c r="G390" s="24" t="s">
        <v>28</v>
      </c>
      <c r="H390" s="24">
        <v>476.82100000000003</v>
      </c>
      <c r="I390" s="24">
        <v>5.7750000000000004</v>
      </c>
      <c r="J390" s="24">
        <v>53.648000000000003</v>
      </c>
      <c r="K390" s="24" t="s">
        <v>21</v>
      </c>
      <c r="L390" s="24" t="s">
        <v>21</v>
      </c>
      <c r="M390" s="24" t="s">
        <v>47</v>
      </c>
      <c r="N390" s="24">
        <v>45239</v>
      </c>
      <c r="O390" s="24" t="s">
        <v>21</v>
      </c>
    </row>
    <row r="391" spans="1:15" x14ac:dyDescent="0.25">
      <c r="A391" s="24" t="s">
        <v>84</v>
      </c>
      <c r="B391" s="24" t="s">
        <v>24</v>
      </c>
      <c r="C391" s="24">
        <v>324144</v>
      </c>
      <c r="D391" s="24" t="s">
        <v>996</v>
      </c>
      <c r="E391" s="24" t="s">
        <v>997</v>
      </c>
      <c r="F391" s="24" t="s">
        <v>998</v>
      </c>
      <c r="G391" s="24" t="s">
        <v>28</v>
      </c>
      <c r="H391" s="24">
        <v>507.61399999999998</v>
      </c>
      <c r="I391" s="24">
        <v>7.2489999999999997</v>
      </c>
      <c r="J391" s="24">
        <v>58.284999999999997</v>
      </c>
      <c r="K391" s="24" t="s">
        <v>21</v>
      </c>
      <c r="L391" s="24" t="s">
        <v>21</v>
      </c>
      <c r="M391" s="24" t="s">
        <v>47</v>
      </c>
      <c r="N391" s="24">
        <v>45240</v>
      </c>
      <c r="O391" s="24" t="s">
        <v>21</v>
      </c>
    </row>
    <row r="392" spans="1:15" x14ac:dyDescent="0.25">
      <c r="A392" s="24" t="s">
        <v>32</v>
      </c>
      <c r="B392" s="24" t="s">
        <v>24</v>
      </c>
      <c r="C392" s="24">
        <v>689649</v>
      </c>
      <c r="D392" s="24" t="s">
        <v>990</v>
      </c>
      <c r="E392" s="24" t="s">
        <v>999</v>
      </c>
      <c r="F392" s="24" t="s">
        <v>923</v>
      </c>
      <c r="G392" s="24" t="s">
        <v>28</v>
      </c>
      <c r="H392" s="24">
        <v>717.89499999999998</v>
      </c>
      <c r="I392" s="24">
        <v>9.1980000000000004</v>
      </c>
      <c r="J392" s="24">
        <v>62.709000000000003</v>
      </c>
      <c r="K392" s="24" t="s">
        <v>21</v>
      </c>
      <c r="L392" s="24" t="s">
        <v>21</v>
      </c>
      <c r="M392" s="24" t="s">
        <v>47</v>
      </c>
      <c r="N392" s="24">
        <v>45246</v>
      </c>
      <c r="O392" s="24" t="s">
        <v>21</v>
      </c>
    </row>
    <row r="393" spans="1:15" x14ac:dyDescent="0.25">
      <c r="A393" s="24" t="s">
        <v>169</v>
      </c>
      <c r="B393" s="24" t="s">
        <v>16</v>
      </c>
      <c r="C393" s="24">
        <v>116275</v>
      </c>
      <c r="D393" s="24" t="s">
        <v>1000</v>
      </c>
      <c r="E393" s="24" t="s">
        <v>1001</v>
      </c>
      <c r="F393" s="24" t="s">
        <v>43</v>
      </c>
      <c r="G393" s="24" t="s">
        <v>248</v>
      </c>
      <c r="H393" s="24">
        <v>157.6414</v>
      </c>
      <c r="I393" s="24">
        <v>6.5222199999999999</v>
      </c>
      <c r="J393" s="24">
        <v>123.1</v>
      </c>
      <c r="K393" s="24" t="s">
        <v>21</v>
      </c>
      <c r="L393" s="24" t="s">
        <v>21</v>
      </c>
      <c r="M393" s="24" t="s">
        <v>47</v>
      </c>
      <c r="N393" s="24">
        <v>45252</v>
      </c>
      <c r="O393" s="24" t="s">
        <v>21</v>
      </c>
    </row>
    <row r="394" spans="1:15" x14ac:dyDescent="0.25">
      <c r="A394" s="24" t="s">
        <v>15</v>
      </c>
      <c r="B394" s="24" t="s">
        <v>16</v>
      </c>
      <c r="C394" s="24">
        <v>689259</v>
      </c>
      <c r="D394" s="24" t="s">
        <v>1002</v>
      </c>
      <c r="E394" s="24" t="s">
        <v>1003</v>
      </c>
      <c r="F394" s="24" t="s">
        <v>604</v>
      </c>
      <c r="G394" s="24" t="s">
        <v>63</v>
      </c>
      <c r="H394" s="24">
        <v>251.64</v>
      </c>
      <c r="I394" s="24">
        <v>1.1000000000000001</v>
      </c>
      <c r="J394" s="24">
        <v>79.45</v>
      </c>
      <c r="K394" s="24" t="s">
        <v>21</v>
      </c>
      <c r="L394" s="24" t="s">
        <v>21</v>
      </c>
      <c r="M394" s="24" t="s">
        <v>776</v>
      </c>
      <c r="N394" s="24">
        <v>45253</v>
      </c>
      <c r="O394" s="24" t="s">
        <v>21</v>
      </c>
    </row>
    <row r="395" spans="1:15" x14ac:dyDescent="0.25">
      <c r="A395" s="24" t="s">
        <v>23</v>
      </c>
      <c r="B395" s="24" t="s">
        <v>24</v>
      </c>
      <c r="C395" s="24">
        <v>257770</v>
      </c>
      <c r="D395" s="24" t="s">
        <v>1004</v>
      </c>
      <c r="E395" s="24" t="s">
        <v>1003</v>
      </c>
      <c r="F395" s="24" t="s">
        <v>1005</v>
      </c>
      <c r="G395" s="24" t="s">
        <v>28</v>
      </c>
      <c r="H395" s="24">
        <v>334.87099999999998</v>
      </c>
      <c r="I395" s="24">
        <v>2.78</v>
      </c>
      <c r="J395" s="24">
        <v>68.858000000000004</v>
      </c>
      <c r="K395" s="24" t="s">
        <v>21</v>
      </c>
      <c r="L395" s="24" t="s">
        <v>21</v>
      </c>
      <c r="M395" s="24" t="s">
        <v>776</v>
      </c>
      <c r="N395" s="24">
        <v>45253</v>
      </c>
      <c r="O395" s="24" t="s">
        <v>21</v>
      </c>
    </row>
    <row r="396" spans="1:15" x14ac:dyDescent="0.25">
      <c r="A396" s="24" t="s">
        <v>32</v>
      </c>
      <c r="B396" s="24" t="s">
        <v>24</v>
      </c>
      <c r="C396" s="24" t="s">
        <v>1006</v>
      </c>
      <c r="D396" s="24" t="s">
        <v>1007</v>
      </c>
      <c r="E396" s="24" t="s">
        <v>1008</v>
      </c>
      <c r="F396" s="24" t="s">
        <v>98</v>
      </c>
      <c r="G396" s="24" t="s">
        <v>28</v>
      </c>
      <c r="H396" s="24">
        <v>240.84399999999999</v>
      </c>
      <c r="I396" s="24">
        <v>1.746</v>
      </c>
      <c r="J396" s="24">
        <v>127.253</v>
      </c>
      <c r="K396" s="24" t="s">
        <v>21</v>
      </c>
      <c r="L396" s="24" t="s">
        <v>90</v>
      </c>
      <c r="M396" s="24" t="s">
        <v>47</v>
      </c>
      <c r="N396" s="24">
        <v>45257</v>
      </c>
      <c r="O396" s="24" t="s">
        <v>90</v>
      </c>
    </row>
    <row r="397" spans="1:15" x14ac:dyDescent="0.25">
      <c r="A397" s="24" t="s">
        <v>15</v>
      </c>
      <c r="B397" s="24" t="s">
        <v>16</v>
      </c>
      <c r="C397" s="24">
        <v>606357</v>
      </c>
      <c r="D397" s="24" t="s">
        <v>1009</v>
      </c>
      <c r="E397" s="24" t="s">
        <v>1010</v>
      </c>
      <c r="F397" s="24" t="s">
        <v>1011</v>
      </c>
      <c r="G397" s="24" t="s">
        <v>20</v>
      </c>
      <c r="H397" s="24">
        <v>183.14</v>
      </c>
      <c r="I397" s="24">
        <v>0.53</v>
      </c>
      <c r="J397" s="24">
        <v>66.72</v>
      </c>
      <c r="K397" s="24" t="s">
        <v>21</v>
      </c>
      <c r="L397" s="24" t="s">
        <v>21</v>
      </c>
      <c r="M397" s="24" t="s">
        <v>47</v>
      </c>
      <c r="N397" s="24">
        <v>45257</v>
      </c>
      <c r="O397" s="24" t="s">
        <v>21</v>
      </c>
    </row>
    <row r="398" spans="1:15" x14ac:dyDescent="0.25">
      <c r="A398" s="24" t="s">
        <v>169</v>
      </c>
      <c r="B398" s="24" t="s">
        <v>16</v>
      </c>
      <c r="C398" s="24">
        <v>548994</v>
      </c>
      <c r="D398" s="24"/>
      <c r="E398" s="24" t="s">
        <v>1012</v>
      </c>
      <c r="F398" s="24" t="s">
        <v>1013</v>
      </c>
      <c r="G398" s="24" t="s">
        <v>174</v>
      </c>
      <c r="H398" s="24">
        <v>252.82579999999999</v>
      </c>
      <c r="I398" s="24">
        <v>2.3346900000000002</v>
      </c>
      <c r="J398" s="24">
        <v>64.45</v>
      </c>
      <c r="K398" s="24" t="s">
        <v>21</v>
      </c>
      <c r="L398" s="24" t="s">
        <v>90</v>
      </c>
      <c r="M398" s="24" t="s">
        <v>47</v>
      </c>
      <c r="N398" s="24">
        <v>45259</v>
      </c>
      <c r="O398" s="24" t="s">
        <v>90</v>
      </c>
    </row>
    <row r="399" spans="1:15" x14ac:dyDescent="0.25">
      <c r="A399" s="24" t="s">
        <v>169</v>
      </c>
      <c r="B399" s="24" t="s">
        <v>16</v>
      </c>
      <c r="C399" s="24">
        <v>548994</v>
      </c>
      <c r="D399" s="24" t="s">
        <v>1014</v>
      </c>
      <c r="E399" s="24" t="s">
        <v>1012</v>
      </c>
      <c r="F399" s="24" t="s">
        <v>1013</v>
      </c>
      <c r="G399" s="24" t="s">
        <v>174</v>
      </c>
      <c r="H399" s="24">
        <v>607.58330000000001</v>
      </c>
      <c r="I399" s="24">
        <v>2.96313</v>
      </c>
      <c r="J399" s="24">
        <v>62.733333333333327</v>
      </c>
      <c r="K399" s="24" t="s">
        <v>21</v>
      </c>
      <c r="L399" s="24" t="s">
        <v>21</v>
      </c>
      <c r="M399" s="24" t="s">
        <v>47</v>
      </c>
      <c r="N399" s="24">
        <v>45259</v>
      </c>
      <c r="O399" s="24" t="s">
        <v>21</v>
      </c>
    </row>
    <row r="400" spans="1:15" x14ac:dyDescent="0.25">
      <c r="A400" s="24" t="s">
        <v>169</v>
      </c>
      <c r="B400" s="24" t="s">
        <v>16</v>
      </c>
      <c r="C400" s="24">
        <v>165175</v>
      </c>
      <c r="D400" s="24" t="s">
        <v>1015</v>
      </c>
      <c r="E400" s="24" t="s">
        <v>1016</v>
      </c>
      <c r="F400" s="24" t="s">
        <v>862</v>
      </c>
      <c r="G400" s="24" t="s">
        <v>248</v>
      </c>
      <c r="H400" s="24">
        <v>166.64660000000001</v>
      </c>
      <c r="I400" s="24">
        <v>3.5540400000000001</v>
      </c>
      <c r="J400" s="24">
        <v>81.95</v>
      </c>
      <c r="K400" s="24" t="s">
        <v>21</v>
      </c>
      <c r="L400" s="24" t="s">
        <v>21</v>
      </c>
      <c r="M400" s="24" t="s">
        <v>47</v>
      </c>
      <c r="N400" s="24">
        <v>45259</v>
      </c>
      <c r="O400" s="24" t="s">
        <v>21</v>
      </c>
    </row>
    <row r="401" spans="1:15" x14ac:dyDescent="0.25">
      <c r="A401" s="24" t="s">
        <v>23</v>
      </c>
      <c r="B401" s="24" t="s">
        <v>24</v>
      </c>
      <c r="C401" s="24">
        <v>602590</v>
      </c>
      <c r="D401" s="24" t="s">
        <v>1017</v>
      </c>
      <c r="E401" s="24" t="s">
        <v>1018</v>
      </c>
      <c r="F401" s="24" t="s">
        <v>31</v>
      </c>
      <c r="G401" s="24" t="s">
        <v>28</v>
      </c>
      <c r="H401" s="24">
        <v>214.39400000000001</v>
      </c>
      <c r="I401" s="24">
        <v>2.226</v>
      </c>
      <c r="J401" s="24">
        <v>90.459000000000003</v>
      </c>
      <c r="K401" s="24" t="s">
        <v>21</v>
      </c>
      <c r="L401" s="24" t="s">
        <v>21</v>
      </c>
      <c r="M401" s="24" t="s">
        <v>47</v>
      </c>
      <c r="N401" s="24">
        <v>45264</v>
      </c>
      <c r="O401" s="24" t="s">
        <v>21</v>
      </c>
    </row>
    <row r="402" spans="1:15" x14ac:dyDescent="0.25">
      <c r="A402" s="24" t="s">
        <v>32</v>
      </c>
      <c r="B402" s="24" t="s">
        <v>24</v>
      </c>
      <c r="C402" s="24">
        <v>605368</v>
      </c>
      <c r="D402" s="24" t="s">
        <v>1019</v>
      </c>
      <c r="E402" s="24" t="s">
        <v>1018</v>
      </c>
      <c r="F402" s="24" t="s">
        <v>388</v>
      </c>
      <c r="G402" s="24" t="s">
        <v>28</v>
      </c>
      <c r="H402" s="24">
        <v>410.596</v>
      </c>
      <c r="I402" s="24">
        <v>4.7039999999999997</v>
      </c>
      <c r="J402" s="24">
        <v>76.510000000000005</v>
      </c>
      <c r="K402" s="24" t="s">
        <v>21</v>
      </c>
      <c r="L402" s="24" t="s">
        <v>21</v>
      </c>
      <c r="M402" s="24" t="s">
        <v>47</v>
      </c>
      <c r="N402" s="24">
        <v>45264</v>
      </c>
      <c r="O402" s="24" t="s">
        <v>21</v>
      </c>
    </row>
    <row r="403" spans="1:15" x14ac:dyDescent="0.25">
      <c r="A403" s="24" t="s">
        <v>169</v>
      </c>
      <c r="B403" s="24" t="s">
        <v>16</v>
      </c>
      <c r="C403" s="24">
        <v>181161</v>
      </c>
      <c r="D403" s="24" t="s">
        <v>1020</v>
      </c>
      <c r="E403" s="24" t="s">
        <v>1021</v>
      </c>
      <c r="F403" s="24" t="s">
        <v>1022</v>
      </c>
      <c r="G403" s="24" t="s">
        <v>174</v>
      </c>
      <c r="H403" s="24">
        <v>234.0299</v>
      </c>
      <c r="I403" s="24">
        <v>1.69319</v>
      </c>
      <c r="J403" s="24">
        <v>75.48333333333332</v>
      </c>
      <c r="K403" s="24" t="s">
        <v>21</v>
      </c>
      <c r="L403" s="24" t="s">
        <v>21</v>
      </c>
      <c r="M403" s="24" t="s">
        <v>47</v>
      </c>
      <c r="N403" s="24">
        <v>45264</v>
      </c>
      <c r="O403" s="24" t="s">
        <v>21</v>
      </c>
    </row>
    <row r="404" spans="1:15" x14ac:dyDescent="0.25">
      <c r="A404" s="24" t="s">
        <v>777</v>
      </c>
      <c r="B404" s="24" t="s">
        <v>778</v>
      </c>
      <c r="C404" s="24">
        <v>357295</v>
      </c>
      <c r="D404" s="24"/>
      <c r="E404" s="24" t="s">
        <v>1021</v>
      </c>
      <c r="F404" s="24" t="s">
        <v>1023</v>
      </c>
      <c r="G404" s="24" t="s">
        <v>812</v>
      </c>
      <c r="H404" s="24">
        <v>218.08320000000001</v>
      </c>
      <c r="I404" s="24">
        <v>2.1120899999999998</v>
      </c>
      <c r="J404" s="24">
        <v>71.333333333333343</v>
      </c>
      <c r="K404" s="24" t="s">
        <v>21</v>
      </c>
      <c r="L404" s="24" t="s">
        <v>90</v>
      </c>
      <c r="M404" s="24" t="s">
        <v>47</v>
      </c>
      <c r="N404" s="24">
        <v>45264</v>
      </c>
      <c r="O404" s="24" t="s">
        <v>90</v>
      </c>
    </row>
    <row r="405" spans="1:15" x14ac:dyDescent="0.25">
      <c r="A405" s="24" t="s">
        <v>32</v>
      </c>
      <c r="B405" s="24" t="s">
        <v>24</v>
      </c>
      <c r="C405" s="24">
        <v>475</v>
      </c>
      <c r="D405" s="24" t="s">
        <v>1024</v>
      </c>
      <c r="E405" s="24" t="s">
        <v>1025</v>
      </c>
      <c r="F405" s="24" t="s">
        <v>1026</v>
      </c>
      <c r="G405" s="24" t="s">
        <v>28</v>
      </c>
      <c r="H405" s="24">
        <v>279.91899999999998</v>
      </c>
      <c r="I405" s="24">
        <v>5.1609999999999996</v>
      </c>
      <c r="J405" s="24">
        <v>29.273</v>
      </c>
      <c r="K405" s="24" t="s">
        <v>21</v>
      </c>
      <c r="L405" s="24" t="s">
        <v>21</v>
      </c>
      <c r="M405" s="24" t="s">
        <v>47</v>
      </c>
      <c r="N405" s="24">
        <v>45265</v>
      </c>
      <c r="O405" s="24" t="s">
        <v>21</v>
      </c>
    </row>
    <row r="406" spans="1:15" x14ac:dyDescent="0.25">
      <c r="A406" s="24" t="s">
        <v>84</v>
      </c>
      <c r="B406" s="24" t="s">
        <v>24</v>
      </c>
      <c r="C406" s="24">
        <v>614083</v>
      </c>
      <c r="D406" s="24" t="s">
        <v>1027</v>
      </c>
      <c r="E406" s="24" t="s">
        <v>1028</v>
      </c>
      <c r="F406" s="24" t="s">
        <v>500</v>
      </c>
      <c r="G406" s="24" t="s">
        <v>28</v>
      </c>
      <c r="H406" s="24">
        <v>237.96899999999999</v>
      </c>
      <c r="I406" s="24">
        <v>3.04</v>
      </c>
      <c r="J406" s="24">
        <v>68.888000000000005</v>
      </c>
      <c r="K406" s="24" t="s">
        <v>21</v>
      </c>
      <c r="L406" s="24" t="s">
        <v>21</v>
      </c>
      <c r="M406" s="24" t="s">
        <v>47</v>
      </c>
      <c r="N406" s="24">
        <v>45272</v>
      </c>
      <c r="O406" s="24" t="s">
        <v>21</v>
      </c>
    </row>
    <row r="407" spans="1:15" x14ac:dyDescent="0.25">
      <c r="A407" s="24" t="s">
        <v>15</v>
      </c>
      <c r="B407" s="24" t="s">
        <v>16</v>
      </c>
      <c r="C407" s="24">
        <v>683447</v>
      </c>
      <c r="D407" s="24" t="s">
        <v>845</v>
      </c>
      <c r="E407" s="24" t="s">
        <v>1029</v>
      </c>
      <c r="F407" s="24" t="s">
        <v>1030</v>
      </c>
      <c r="G407" s="24" t="s">
        <v>128</v>
      </c>
      <c r="H407" s="24">
        <v>822.72</v>
      </c>
      <c r="I407" s="24">
        <v>3.77</v>
      </c>
      <c r="J407" s="24">
        <v>54.43</v>
      </c>
      <c r="K407" s="24" t="s">
        <v>21</v>
      </c>
      <c r="L407" s="24" t="s">
        <v>21</v>
      </c>
      <c r="M407" s="24" t="s">
        <v>47</v>
      </c>
      <c r="N407" s="24">
        <v>45278</v>
      </c>
      <c r="O407" s="24" t="s">
        <v>21</v>
      </c>
    </row>
    <row r="408" spans="1:15" x14ac:dyDescent="0.25">
      <c r="A408" s="24" t="s">
        <v>15</v>
      </c>
      <c r="B408" s="24" t="s">
        <v>16</v>
      </c>
      <c r="C408" s="24">
        <v>690252</v>
      </c>
      <c r="D408" s="24" t="s">
        <v>1031</v>
      </c>
      <c r="E408" s="24" t="s">
        <v>1032</v>
      </c>
      <c r="F408" s="24" t="s">
        <v>454</v>
      </c>
      <c r="G408" s="24" t="s">
        <v>20</v>
      </c>
      <c r="H408" s="24">
        <v>545.05999999999995</v>
      </c>
      <c r="I408" s="24">
        <v>1.25</v>
      </c>
      <c r="J408" s="24">
        <v>39.78</v>
      </c>
      <c r="K408" s="24" t="s">
        <v>21</v>
      </c>
      <c r="L408" s="24" t="s">
        <v>21</v>
      </c>
      <c r="M408" s="24" t="s">
        <v>47</v>
      </c>
      <c r="N408" s="24">
        <v>45280</v>
      </c>
      <c r="O408" s="24" t="s">
        <v>21</v>
      </c>
    </row>
    <row r="409" spans="1:15" x14ac:dyDescent="0.25">
      <c r="A409" s="24" t="s">
        <v>23</v>
      </c>
      <c r="B409" s="24" t="s">
        <v>24</v>
      </c>
      <c r="C409" s="24">
        <v>24862</v>
      </c>
      <c r="D409" s="24" t="s">
        <v>1033</v>
      </c>
      <c r="E409" s="24" t="s">
        <v>1032</v>
      </c>
      <c r="F409" s="24" t="s">
        <v>610</v>
      </c>
      <c r="G409" s="24" t="s">
        <v>28</v>
      </c>
      <c r="H409" s="24">
        <v>193.17500000000001</v>
      </c>
      <c r="I409" s="24">
        <v>1.655</v>
      </c>
      <c r="J409" s="24">
        <v>66.013999999999996</v>
      </c>
      <c r="K409" s="24" t="s">
        <v>21</v>
      </c>
      <c r="L409" s="24" t="s">
        <v>21</v>
      </c>
      <c r="M409" s="24" t="s">
        <v>47</v>
      </c>
      <c r="N409" s="24">
        <v>45280</v>
      </c>
      <c r="O409" s="24" t="s">
        <v>21</v>
      </c>
    </row>
    <row r="410" spans="1:15" x14ac:dyDescent="0.25">
      <c r="A410" s="24" t="s">
        <v>32</v>
      </c>
      <c r="B410" s="24" t="s">
        <v>24</v>
      </c>
      <c r="C410" s="24">
        <v>239189</v>
      </c>
      <c r="D410" s="24" t="s">
        <v>1034</v>
      </c>
      <c r="E410" s="24" t="s">
        <v>1032</v>
      </c>
      <c r="F410" s="24" t="s">
        <v>1035</v>
      </c>
      <c r="G410" s="24" t="s">
        <v>28</v>
      </c>
      <c r="H410" s="24">
        <v>326.40899999999999</v>
      </c>
      <c r="I410" s="24">
        <v>2.7829999999999999</v>
      </c>
      <c r="J410" s="24">
        <v>91.989000000000004</v>
      </c>
      <c r="K410" s="24" t="s">
        <v>21</v>
      </c>
      <c r="L410" s="24" t="s">
        <v>21</v>
      </c>
      <c r="M410" s="24" t="s">
        <v>47</v>
      </c>
      <c r="N410" s="24">
        <v>45280</v>
      </c>
      <c r="O410" s="24" t="s">
        <v>21</v>
      </c>
    </row>
    <row r="411" spans="1:15" x14ac:dyDescent="0.25">
      <c r="A411" s="24" t="s">
        <v>15</v>
      </c>
      <c r="B411" s="24" t="s">
        <v>16</v>
      </c>
      <c r="C411" s="24">
        <v>350011</v>
      </c>
      <c r="D411" s="24" t="s">
        <v>1036</v>
      </c>
      <c r="E411" s="24" t="s">
        <v>1037</v>
      </c>
      <c r="F411" s="24" t="s">
        <v>1038</v>
      </c>
      <c r="G411" s="24" t="s">
        <v>59</v>
      </c>
      <c r="H411" s="24">
        <v>275.43</v>
      </c>
      <c r="I411" s="24">
        <v>0.61</v>
      </c>
      <c r="J411" s="24">
        <v>82.57</v>
      </c>
      <c r="K411" s="24" t="s">
        <v>21</v>
      </c>
      <c r="L411" s="24" t="s">
        <v>21</v>
      </c>
      <c r="M411" s="24" t="s">
        <v>776</v>
      </c>
      <c r="N411" s="24">
        <v>45286</v>
      </c>
      <c r="O411" s="24" t="s">
        <v>21</v>
      </c>
    </row>
    <row r="412" spans="1:15" x14ac:dyDescent="0.25">
      <c r="A412" s="24" t="s">
        <v>32</v>
      </c>
      <c r="B412" s="24" t="s">
        <v>24</v>
      </c>
      <c r="C412" s="24">
        <v>129196</v>
      </c>
      <c r="D412" s="24" t="s">
        <v>1039</v>
      </c>
      <c r="E412" s="24" t="s">
        <v>1040</v>
      </c>
      <c r="F412" s="24" t="s">
        <v>1041</v>
      </c>
      <c r="G412" s="24" t="s">
        <v>28</v>
      </c>
      <c r="H412" s="24">
        <v>262.37799999999999</v>
      </c>
      <c r="I412" s="24">
        <v>5.0469999999999997</v>
      </c>
      <c r="J412" s="24">
        <v>42.325000000000003</v>
      </c>
      <c r="K412" s="24" t="s">
        <v>21</v>
      </c>
      <c r="L412" s="24" t="s">
        <v>21</v>
      </c>
      <c r="M412" s="24" t="s">
        <v>47</v>
      </c>
      <c r="N412" s="24">
        <v>45289</v>
      </c>
      <c r="O412" s="24" t="s">
        <v>21</v>
      </c>
    </row>
    <row r="413" spans="1:15" x14ac:dyDescent="0.25">
      <c r="A413" s="24" t="s">
        <v>169</v>
      </c>
      <c r="B413" s="24" t="s">
        <v>16</v>
      </c>
      <c r="C413" s="24">
        <v>691675</v>
      </c>
      <c r="D413" s="24" t="s">
        <v>1042</v>
      </c>
      <c r="E413" s="24" t="s">
        <v>1043</v>
      </c>
      <c r="F413" s="24" t="s">
        <v>1044</v>
      </c>
      <c r="G413" s="24" t="s">
        <v>174</v>
      </c>
      <c r="H413" s="24">
        <v>135.6439</v>
      </c>
      <c r="I413" s="24">
        <v>1.39381</v>
      </c>
      <c r="J413" s="24">
        <v>60.466666666666669</v>
      </c>
      <c r="K413" s="24" t="s">
        <v>21</v>
      </c>
      <c r="L413" s="24" t="s">
        <v>21</v>
      </c>
      <c r="M413" s="24" t="s">
        <v>47</v>
      </c>
      <c r="N413" s="24">
        <v>45295</v>
      </c>
      <c r="O413" s="24" t="s">
        <v>21</v>
      </c>
    </row>
    <row r="414" spans="1:15" x14ac:dyDescent="0.25">
      <c r="A414" s="24" t="s">
        <v>15</v>
      </c>
      <c r="B414" s="24" t="s">
        <v>16</v>
      </c>
      <c r="C414" s="24">
        <v>402748</v>
      </c>
      <c r="D414" s="24" t="s">
        <v>1045</v>
      </c>
      <c r="E414" s="24" t="s">
        <v>1046</v>
      </c>
      <c r="F414" s="24" t="s">
        <v>1047</v>
      </c>
      <c r="G414" s="24" t="s">
        <v>1048</v>
      </c>
      <c r="H414" s="24">
        <v>578.20000000000005</v>
      </c>
      <c r="I414" s="24">
        <v>1.28</v>
      </c>
      <c r="J414" s="24">
        <v>47.55</v>
      </c>
      <c r="K414" s="24" t="s">
        <v>21</v>
      </c>
      <c r="L414" s="24" t="s">
        <v>21</v>
      </c>
      <c r="M414" s="24" t="s">
        <v>47</v>
      </c>
      <c r="N414" s="24">
        <v>45303</v>
      </c>
      <c r="O414" s="24" t="s">
        <v>21</v>
      </c>
    </row>
    <row r="415" spans="1:15" x14ac:dyDescent="0.25">
      <c r="A415" s="24" t="s">
        <v>169</v>
      </c>
      <c r="B415" s="24" t="s">
        <v>16</v>
      </c>
      <c r="C415" s="24">
        <v>475193</v>
      </c>
      <c r="D415" s="24" t="s">
        <v>1049</v>
      </c>
      <c r="E415" s="24" t="s">
        <v>1046</v>
      </c>
      <c r="F415" s="24" t="s">
        <v>1050</v>
      </c>
      <c r="G415" s="24" t="s">
        <v>174</v>
      </c>
      <c r="H415" s="24">
        <v>122.79559999999999</v>
      </c>
      <c r="I415" s="24">
        <v>1.04294</v>
      </c>
      <c r="J415" s="24">
        <v>72.916666666666671</v>
      </c>
      <c r="K415" s="24" t="s">
        <v>21</v>
      </c>
      <c r="L415" s="24" t="s">
        <v>21</v>
      </c>
      <c r="M415" s="24" t="s">
        <v>47</v>
      </c>
      <c r="N415" s="24">
        <v>45306</v>
      </c>
      <c r="O415" s="24" t="s">
        <v>21</v>
      </c>
    </row>
    <row r="416" spans="1:15" x14ac:dyDescent="0.25">
      <c r="A416" s="24" t="s">
        <v>32</v>
      </c>
      <c r="B416" s="24" t="s">
        <v>24</v>
      </c>
      <c r="C416" s="24">
        <v>119701</v>
      </c>
      <c r="D416" s="24" t="s">
        <v>1051</v>
      </c>
      <c r="E416" s="24" t="s">
        <v>1052</v>
      </c>
      <c r="F416" s="24" t="s">
        <v>666</v>
      </c>
      <c r="G416" s="24" t="s">
        <v>28</v>
      </c>
      <c r="H416" s="24">
        <v>535.60799999999995</v>
      </c>
      <c r="I416" s="24">
        <v>6.9139999999999997</v>
      </c>
      <c r="J416" s="24">
        <v>46.889000000000003</v>
      </c>
      <c r="K416" s="24" t="s">
        <v>21</v>
      </c>
      <c r="L416" s="24" t="s">
        <v>21</v>
      </c>
      <c r="M416" s="24" t="s">
        <v>47</v>
      </c>
      <c r="N416" s="24">
        <v>45308</v>
      </c>
      <c r="O416" s="24" t="s">
        <v>21</v>
      </c>
    </row>
    <row r="417" spans="1:15" x14ac:dyDescent="0.25">
      <c r="A417" s="24" t="s">
        <v>15</v>
      </c>
      <c r="B417" s="24" t="s">
        <v>16</v>
      </c>
      <c r="C417" s="24">
        <v>691105</v>
      </c>
      <c r="D417" s="24" t="s">
        <v>1053</v>
      </c>
      <c r="E417" s="24" t="s">
        <v>1052</v>
      </c>
      <c r="F417" s="24" t="s">
        <v>105</v>
      </c>
      <c r="G417" s="24" t="s">
        <v>1054</v>
      </c>
      <c r="H417" s="24">
        <v>697.09</v>
      </c>
      <c r="I417" s="24">
        <v>1.74</v>
      </c>
      <c r="J417" s="24">
        <v>42.82</v>
      </c>
      <c r="K417" s="24" t="s">
        <v>21</v>
      </c>
      <c r="L417" s="24" t="s">
        <v>21</v>
      </c>
      <c r="M417" s="24" t="s">
        <v>47</v>
      </c>
      <c r="N417" s="24">
        <v>45308</v>
      </c>
      <c r="O417" s="24" t="s">
        <v>21</v>
      </c>
    </row>
    <row r="418" spans="1:15" x14ac:dyDescent="0.25">
      <c r="A418" s="24" t="s">
        <v>169</v>
      </c>
      <c r="B418" s="24" t="s">
        <v>16</v>
      </c>
      <c r="C418" s="24">
        <v>413067</v>
      </c>
      <c r="D418" s="24" t="s">
        <v>1055</v>
      </c>
      <c r="E418" s="24" t="s">
        <v>1056</v>
      </c>
      <c r="F418" s="24" t="s">
        <v>349</v>
      </c>
      <c r="G418" s="24" t="s">
        <v>314</v>
      </c>
      <c r="H418" s="24">
        <v>458.30759999999998</v>
      </c>
      <c r="I418" s="24">
        <v>9.0294500000000006</v>
      </c>
      <c r="J418" s="24">
        <v>141.08333333333329</v>
      </c>
      <c r="K418" s="24" t="s">
        <v>21</v>
      </c>
      <c r="L418" s="24" t="s">
        <v>21</v>
      </c>
      <c r="M418" s="24" t="s">
        <v>47</v>
      </c>
      <c r="N418" s="24">
        <v>45308</v>
      </c>
      <c r="O418" s="24" t="s">
        <v>21</v>
      </c>
    </row>
    <row r="419" spans="1:15" x14ac:dyDescent="0.25">
      <c r="A419" s="24" t="s">
        <v>15</v>
      </c>
      <c r="B419" s="24" t="s">
        <v>16</v>
      </c>
      <c r="C419" s="24">
        <v>579982</v>
      </c>
      <c r="D419" s="24" t="s">
        <v>1057</v>
      </c>
      <c r="E419" s="24" t="s">
        <v>1058</v>
      </c>
      <c r="F419" s="24" t="s">
        <v>1059</v>
      </c>
      <c r="G419" s="24" t="s">
        <v>174</v>
      </c>
      <c r="H419" s="24">
        <v>260.32</v>
      </c>
      <c r="I419" s="24">
        <v>1.41</v>
      </c>
      <c r="J419" s="24">
        <v>101.03</v>
      </c>
      <c r="K419" s="24" t="s">
        <v>21</v>
      </c>
      <c r="L419" s="24" t="s">
        <v>21</v>
      </c>
      <c r="M419" s="24" t="s">
        <v>47</v>
      </c>
      <c r="N419" s="24">
        <v>45309</v>
      </c>
      <c r="O419" s="24" t="s">
        <v>21</v>
      </c>
    </row>
    <row r="420" spans="1:15" x14ac:dyDescent="0.25">
      <c r="A420" s="24" t="s">
        <v>15</v>
      </c>
      <c r="B420" s="24" t="s">
        <v>16</v>
      </c>
      <c r="C420" s="24">
        <v>690250</v>
      </c>
      <c r="D420" s="24" t="s">
        <v>1060</v>
      </c>
      <c r="E420" s="24" t="s">
        <v>1061</v>
      </c>
      <c r="F420" s="24" t="s">
        <v>587</v>
      </c>
      <c r="G420" s="24" t="s">
        <v>71</v>
      </c>
      <c r="H420" s="24">
        <v>1647.81</v>
      </c>
      <c r="I420" s="24">
        <v>4.8099999999999996</v>
      </c>
      <c r="J420" s="24">
        <v>60.95</v>
      </c>
      <c r="K420" s="24" t="s">
        <v>21</v>
      </c>
      <c r="L420" s="24" t="s">
        <v>21</v>
      </c>
      <c r="M420" s="24" t="s">
        <v>47</v>
      </c>
      <c r="N420" s="24">
        <v>45310</v>
      </c>
      <c r="O420" s="24" t="s">
        <v>21</v>
      </c>
    </row>
    <row r="421" spans="1:15" x14ac:dyDescent="0.25">
      <c r="A421" s="24" t="s">
        <v>32</v>
      </c>
      <c r="B421" s="24" t="s">
        <v>24</v>
      </c>
      <c r="C421" s="24">
        <v>600608</v>
      </c>
      <c r="D421" s="24" t="s">
        <v>1062</v>
      </c>
      <c r="E421" s="24" t="s">
        <v>1063</v>
      </c>
      <c r="F421" s="24" t="s">
        <v>1064</v>
      </c>
      <c r="G421" s="24" t="s">
        <v>28</v>
      </c>
      <c r="H421" s="24">
        <v>486.72899999999998</v>
      </c>
      <c r="I421" s="24">
        <v>6.3710000000000004</v>
      </c>
      <c r="J421" s="24">
        <v>48.514000000000003</v>
      </c>
      <c r="K421" s="24" t="s">
        <v>21</v>
      </c>
      <c r="L421" s="24" t="s">
        <v>21</v>
      </c>
      <c r="M421" s="24" t="s">
        <v>47</v>
      </c>
      <c r="N421" s="24">
        <v>45313</v>
      </c>
      <c r="O421" s="24" t="s">
        <v>21</v>
      </c>
    </row>
    <row r="422" spans="1:15" x14ac:dyDescent="0.25">
      <c r="A422" s="24" t="s">
        <v>84</v>
      </c>
      <c r="B422" s="24" t="s">
        <v>24</v>
      </c>
      <c r="C422" s="24">
        <v>691569</v>
      </c>
      <c r="D422" s="24" t="s">
        <v>1065</v>
      </c>
      <c r="E422" s="24">
        <v>45313</v>
      </c>
      <c r="F422" s="24" t="s">
        <v>1023</v>
      </c>
      <c r="G422" s="24" t="s">
        <v>28</v>
      </c>
      <c r="H422" s="24">
        <v>634.35500000000002</v>
      </c>
      <c r="I422" s="24">
        <v>7.0890000000000004</v>
      </c>
      <c r="J422" s="24">
        <v>61.424999999999997</v>
      </c>
      <c r="K422" s="24" t="s">
        <v>21</v>
      </c>
      <c r="L422" s="24" t="s">
        <v>21</v>
      </c>
      <c r="M422" s="24" t="s">
        <v>47</v>
      </c>
      <c r="N422" s="24">
        <v>45314</v>
      </c>
      <c r="O422" s="24" t="s">
        <v>21</v>
      </c>
    </row>
    <row r="423" spans="1:15" x14ac:dyDescent="0.25">
      <c r="A423" s="24" t="s">
        <v>32</v>
      </c>
      <c r="B423" s="24" t="s">
        <v>24</v>
      </c>
      <c r="C423" s="24">
        <v>132156</v>
      </c>
      <c r="D423" s="24" t="s">
        <v>1066</v>
      </c>
      <c r="E423" s="24" t="s">
        <v>1067</v>
      </c>
      <c r="F423" s="24" t="s">
        <v>1068</v>
      </c>
      <c r="G423" s="24" t="s">
        <v>28</v>
      </c>
      <c r="H423" s="24">
        <v>396.851</v>
      </c>
      <c r="I423" s="24">
        <v>5.2039999999999997</v>
      </c>
      <c r="J423" s="24">
        <v>58.335000000000001</v>
      </c>
      <c r="K423" s="24" t="s">
        <v>21</v>
      </c>
      <c r="L423" s="24" t="s">
        <v>21</v>
      </c>
      <c r="M423" s="24" t="s">
        <v>47</v>
      </c>
      <c r="N423" s="24">
        <v>45323</v>
      </c>
      <c r="O423" s="24" t="s">
        <v>21</v>
      </c>
    </row>
    <row r="424" spans="1:15" x14ac:dyDescent="0.25">
      <c r="A424" s="24" t="s">
        <v>84</v>
      </c>
      <c r="B424" s="24" t="s">
        <v>24</v>
      </c>
      <c r="C424" s="24">
        <v>692728</v>
      </c>
      <c r="D424" s="24" t="s">
        <v>1069</v>
      </c>
      <c r="E424" s="24" t="s">
        <v>1070</v>
      </c>
      <c r="F424" s="24" t="s">
        <v>1071</v>
      </c>
      <c r="G424" s="24" t="s">
        <v>28</v>
      </c>
      <c r="H424" s="24">
        <v>645.43700000000001</v>
      </c>
      <c r="I424" s="24">
        <v>8.0609999999999999</v>
      </c>
      <c r="J424" s="24">
        <v>60.783999999999999</v>
      </c>
      <c r="K424" s="24" t="s">
        <v>21</v>
      </c>
      <c r="L424" s="24" t="s">
        <v>21</v>
      </c>
      <c r="M424" s="24" t="s">
        <v>47</v>
      </c>
      <c r="N424" s="24">
        <v>45324</v>
      </c>
      <c r="O424" s="24" t="s">
        <v>21</v>
      </c>
    </row>
    <row r="425" spans="1:15" x14ac:dyDescent="0.25">
      <c r="A425" s="24" t="s">
        <v>15</v>
      </c>
      <c r="B425" s="24" t="s">
        <v>16</v>
      </c>
      <c r="C425" s="24">
        <v>13768</v>
      </c>
      <c r="D425" s="24" t="s">
        <v>1072</v>
      </c>
      <c r="E425" s="24" t="s">
        <v>1073</v>
      </c>
      <c r="F425" s="24" t="s">
        <v>1074</v>
      </c>
      <c r="G425" s="24" t="s">
        <v>20</v>
      </c>
      <c r="H425" s="24">
        <v>1382.08</v>
      </c>
      <c r="I425" s="24">
        <v>3.16</v>
      </c>
      <c r="J425" s="24">
        <v>49.78</v>
      </c>
      <c r="K425" s="24" t="s">
        <v>21</v>
      </c>
      <c r="L425" s="24" t="s">
        <v>21</v>
      </c>
      <c r="M425" s="24" t="s">
        <v>47</v>
      </c>
      <c r="N425" s="24">
        <v>45329</v>
      </c>
      <c r="O425" s="24" t="s">
        <v>21</v>
      </c>
    </row>
    <row r="426" spans="1:15" x14ac:dyDescent="0.25">
      <c r="A426" s="24" t="s">
        <v>15</v>
      </c>
      <c r="B426" s="24" t="s">
        <v>16</v>
      </c>
      <c r="C426" s="24">
        <v>284993</v>
      </c>
      <c r="D426" s="24" t="s">
        <v>1075</v>
      </c>
      <c r="E426" s="24" t="s">
        <v>1076</v>
      </c>
      <c r="F426" s="24" t="s">
        <v>197</v>
      </c>
      <c r="G426" s="24" t="s">
        <v>20</v>
      </c>
      <c r="H426" s="24">
        <v>582.45000000000005</v>
      </c>
      <c r="I426" s="24">
        <v>1.67</v>
      </c>
      <c r="J426" s="24">
        <v>28.2</v>
      </c>
      <c r="K426" s="24" t="s">
        <v>21</v>
      </c>
      <c r="L426" s="24" t="s">
        <v>21</v>
      </c>
      <c r="M426" s="24" t="s">
        <v>47</v>
      </c>
      <c r="N426" s="24">
        <v>45331</v>
      </c>
      <c r="O426" s="24" t="s">
        <v>21</v>
      </c>
    </row>
    <row r="427" spans="1:15" x14ac:dyDescent="0.25">
      <c r="A427" s="24" t="s">
        <v>23</v>
      </c>
      <c r="B427" s="24" t="s">
        <v>24</v>
      </c>
      <c r="C427" s="24">
        <v>693424</v>
      </c>
      <c r="D427" s="24" t="s">
        <v>1077</v>
      </c>
      <c r="E427" s="24" t="s">
        <v>1078</v>
      </c>
      <c r="F427" s="24" t="s">
        <v>798</v>
      </c>
      <c r="G427" s="24" t="s">
        <v>28</v>
      </c>
      <c r="H427" s="24">
        <v>437.447</v>
      </c>
      <c r="I427" s="24">
        <v>5.2320000000000002</v>
      </c>
      <c r="J427" s="24">
        <v>39.124000000000002</v>
      </c>
      <c r="K427" s="24" t="s">
        <v>21</v>
      </c>
      <c r="L427" s="24" t="s">
        <v>21</v>
      </c>
      <c r="M427" s="24" t="s">
        <v>776</v>
      </c>
      <c r="N427" s="24">
        <v>45335</v>
      </c>
      <c r="O427" s="24" t="s">
        <v>21</v>
      </c>
    </row>
    <row r="428" spans="1:15" x14ac:dyDescent="0.25">
      <c r="A428" s="24" t="s">
        <v>15</v>
      </c>
      <c r="B428" s="24" t="s">
        <v>16</v>
      </c>
      <c r="C428" s="24">
        <v>492900</v>
      </c>
      <c r="D428" s="24" t="s">
        <v>1079</v>
      </c>
      <c r="E428" s="24" t="s">
        <v>1080</v>
      </c>
      <c r="F428" s="24" t="s">
        <v>815</v>
      </c>
      <c r="G428" s="24" t="s">
        <v>71</v>
      </c>
      <c r="H428" s="24">
        <v>65.94</v>
      </c>
      <c r="I428" s="24">
        <v>0.43</v>
      </c>
      <c r="J428" s="24">
        <v>63.58</v>
      </c>
      <c r="K428" s="24" t="s">
        <v>21</v>
      </c>
      <c r="L428" s="24" t="s">
        <v>21</v>
      </c>
      <c r="M428" s="24" t="s">
        <v>47</v>
      </c>
      <c r="N428" s="24">
        <v>45336</v>
      </c>
      <c r="O428" s="24" t="s">
        <v>21</v>
      </c>
    </row>
    <row r="429" spans="1:15" x14ac:dyDescent="0.25">
      <c r="A429" s="24" t="s">
        <v>84</v>
      </c>
      <c r="B429" s="24" t="s">
        <v>24</v>
      </c>
      <c r="C429" s="24">
        <v>693057</v>
      </c>
      <c r="D429" s="24" t="s">
        <v>1081</v>
      </c>
      <c r="E429" s="24" t="s">
        <v>1080</v>
      </c>
      <c r="F429" s="24" t="s">
        <v>913</v>
      </c>
      <c r="G429" s="24" t="s">
        <v>28</v>
      </c>
      <c r="H429" s="24">
        <v>235.68</v>
      </c>
      <c r="I429" s="24">
        <v>3.964</v>
      </c>
      <c r="J429" s="24">
        <v>63.575000000000003</v>
      </c>
      <c r="K429" s="24" t="s">
        <v>21</v>
      </c>
      <c r="L429" s="24" t="s">
        <v>21</v>
      </c>
      <c r="M429" s="24" t="s">
        <v>47</v>
      </c>
      <c r="N429" s="24">
        <v>45336</v>
      </c>
      <c r="O429" s="24" t="s">
        <v>21</v>
      </c>
    </row>
    <row r="430" spans="1:15" x14ac:dyDescent="0.25">
      <c r="A430" s="24" t="s">
        <v>169</v>
      </c>
      <c r="B430" s="24" t="s">
        <v>16</v>
      </c>
      <c r="C430" s="24">
        <v>693269</v>
      </c>
      <c r="D430" s="24" t="s">
        <v>1082</v>
      </c>
      <c r="E430" s="24" t="s">
        <v>1078</v>
      </c>
      <c r="F430" s="24" t="s">
        <v>1083</v>
      </c>
      <c r="G430" s="24" t="s">
        <v>331</v>
      </c>
      <c r="H430" s="24">
        <v>153.52070000000001</v>
      </c>
      <c r="I430" s="24">
        <v>1.97898</v>
      </c>
      <c r="J430" s="24">
        <v>83.133333333333326</v>
      </c>
      <c r="K430" s="24" t="s">
        <v>21</v>
      </c>
      <c r="L430" s="24" t="s">
        <v>21</v>
      </c>
      <c r="M430" s="24" t="s">
        <v>47</v>
      </c>
      <c r="N430" s="24">
        <v>45336</v>
      </c>
      <c r="O430" s="24" t="s">
        <v>21</v>
      </c>
    </row>
    <row r="431" spans="1:15" x14ac:dyDescent="0.25">
      <c r="A431" s="24" t="s">
        <v>23</v>
      </c>
      <c r="B431" s="24" t="s">
        <v>24</v>
      </c>
      <c r="C431" s="24">
        <v>522910</v>
      </c>
      <c r="D431" s="24" t="s">
        <v>1084</v>
      </c>
      <c r="E431" s="24" t="s">
        <v>1085</v>
      </c>
      <c r="F431" s="24" t="s">
        <v>317</v>
      </c>
      <c r="G431" s="24" t="s">
        <v>28</v>
      </c>
      <c r="H431" s="24">
        <v>451.81400000000002</v>
      </c>
      <c r="I431" s="24">
        <v>3.859</v>
      </c>
      <c r="J431" s="24">
        <v>66.593000000000004</v>
      </c>
      <c r="K431" s="24" t="s">
        <v>21</v>
      </c>
      <c r="L431" s="24" t="s">
        <v>21</v>
      </c>
      <c r="M431" s="24" t="s">
        <v>47</v>
      </c>
      <c r="N431" s="24">
        <v>45338</v>
      </c>
      <c r="O431" s="24" t="s">
        <v>21</v>
      </c>
    </row>
    <row r="432" spans="1:15" x14ac:dyDescent="0.25">
      <c r="A432" s="24" t="s">
        <v>23</v>
      </c>
      <c r="B432" s="24" t="s">
        <v>24</v>
      </c>
      <c r="C432" s="24">
        <v>197705</v>
      </c>
      <c r="D432" s="24" t="s">
        <v>1086</v>
      </c>
      <c r="E432" s="24" t="s">
        <v>1087</v>
      </c>
      <c r="F432" s="24" t="s">
        <v>1088</v>
      </c>
      <c r="G432" s="24" t="s">
        <v>28</v>
      </c>
      <c r="H432" s="24">
        <v>367.03300000000002</v>
      </c>
      <c r="I432" s="24">
        <v>6.6260000000000003</v>
      </c>
      <c r="J432" s="24">
        <v>101.443</v>
      </c>
      <c r="K432" s="24" t="s">
        <v>21</v>
      </c>
      <c r="L432" s="24" t="s">
        <v>21</v>
      </c>
      <c r="M432" s="24" t="s">
        <v>47</v>
      </c>
      <c r="N432" s="24">
        <v>45343</v>
      </c>
      <c r="O432" s="24" t="s">
        <v>21</v>
      </c>
    </row>
    <row r="433" spans="1:15" x14ac:dyDescent="0.25">
      <c r="A433" s="24" t="s">
        <v>23</v>
      </c>
      <c r="B433" s="24" t="s">
        <v>24</v>
      </c>
      <c r="C433" s="24">
        <v>312194</v>
      </c>
      <c r="D433" s="24" t="s">
        <v>1089</v>
      </c>
      <c r="E433" s="24" t="s">
        <v>1090</v>
      </c>
      <c r="F433" s="24" t="s">
        <v>294</v>
      </c>
      <c r="G433" s="24" t="s">
        <v>28</v>
      </c>
      <c r="H433" s="24">
        <v>455.3</v>
      </c>
      <c r="I433" s="24">
        <v>4.8940000000000001</v>
      </c>
      <c r="J433" s="24">
        <v>99.367999999999995</v>
      </c>
      <c r="K433" s="24" t="s">
        <v>21</v>
      </c>
      <c r="L433" s="24" t="s">
        <v>21</v>
      </c>
      <c r="M433" s="24" t="s">
        <v>47</v>
      </c>
      <c r="N433" s="24">
        <v>45345</v>
      </c>
      <c r="O433" s="24" t="s">
        <v>21</v>
      </c>
    </row>
    <row r="434" spans="1:15" x14ac:dyDescent="0.25">
      <c r="A434" s="24" t="s">
        <v>32</v>
      </c>
      <c r="B434" s="24" t="s">
        <v>24</v>
      </c>
      <c r="C434" s="24">
        <v>692330</v>
      </c>
      <c r="D434" s="24" t="s">
        <v>1091</v>
      </c>
      <c r="E434" s="24" t="s">
        <v>1090</v>
      </c>
      <c r="F434" s="24" t="s">
        <v>288</v>
      </c>
      <c r="G434" s="24" t="s">
        <v>28</v>
      </c>
      <c r="H434" s="24">
        <v>277.947</v>
      </c>
      <c r="I434" s="24">
        <v>3.0310000000000001</v>
      </c>
      <c r="J434" s="24">
        <v>77.213999999999999</v>
      </c>
      <c r="K434" s="24" t="s">
        <v>21</v>
      </c>
      <c r="L434" s="24" t="s">
        <v>21</v>
      </c>
      <c r="M434" s="24" t="s">
        <v>47</v>
      </c>
      <c r="N434" s="24">
        <v>45345</v>
      </c>
      <c r="O434" s="24" t="s">
        <v>21</v>
      </c>
    </row>
    <row r="435" spans="1:15" x14ac:dyDescent="0.25">
      <c r="A435" s="24" t="s">
        <v>15</v>
      </c>
      <c r="B435" s="24" t="s">
        <v>16</v>
      </c>
      <c r="C435" s="24">
        <v>83565</v>
      </c>
      <c r="D435" s="24" t="s">
        <v>1092</v>
      </c>
      <c r="E435" s="24" t="s">
        <v>1093</v>
      </c>
      <c r="F435" s="24" t="s">
        <v>1094</v>
      </c>
      <c r="G435" s="24" t="s">
        <v>20</v>
      </c>
      <c r="H435" s="24">
        <v>537.35</v>
      </c>
      <c r="I435" s="24">
        <v>2.66</v>
      </c>
      <c r="J435" s="24">
        <v>64.22</v>
      </c>
      <c r="K435" s="24" t="s">
        <v>21</v>
      </c>
      <c r="L435" s="24" t="s">
        <v>21</v>
      </c>
      <c r="M435" s="24" t="s">
        <v>47</v>
      </c>
      <c r="N435" s="24">
        <v>45349</v>
      </c>
      <c r="O435" s="24" t="s">
        <v>21</v>
      </c>
    </row>
    <row r="436" spans="1:15" x14ac:dyDescent="0.25">
      <c r="A436" s="24" t="s">
        <v>32</v>
      </c>
      <c r="B436" s="24" t="s">
        <v>24</v>
      </c>
      <c r="C436" s="24">
        <v>44764</v>
      </c>
      <c r="D436" s="24" t="s">
        <v>1095</v>
      </c>
      <c r="E436" s="24" t="s">
        <v>1096</v>
      </c>
      <c r="F436" s="24" t="s">
        <v>1097</v>
      </c>
      <c r="G436" s="24" t="s">
        <v>28</v>
      </c>
      <c r="H436" s="24">
        <v>373.125</v>
      </c>
      <c r="I436" s="24">
        <v>5.7030000000000003</v>
      </c>
      <c r="J436" s="24">
        <v>44.213999999999999</v>
      </c>
      <c r="K436" s="24" t="s">
        <v>21</v>
      </c>
      <c r="L436" s="24" t="s">
        <v>21</v>
      </c>
      <c r="M436" s="24" t="s">
        <v>47</v>
      </c>
      <c r="N436" s="24">
        <v>45350</v>
      </c>
      <c r="O436" s="24" t="s">
        <v>21</v>
      </c>
    </row>
    <row r="437" spans="1:15" x14ac:dyDescent="0.25">
      <c r="A437" s="24" t="s">
        <v>32</v>
      </c>
      <c r="B437" s="24" t="s">
        <v>24</v>
      </c>
      <c r="C437" s="24">
        <v>693597</v>
      </c>
      <c r="D437" s="24" t="s">
        <v>1098</v>
      </c>
      <c r="E437" s="24" t="s">
        <v>1099</v>
      </c>
      <c r="F437" s="24" t="s">
        <v>1100</v>
      </c>
      <c r="G437" s="24" t="s">
        <v>28</v>
      </c>
      <c r="H437" s="24">
        <v>291.58699999999999</v>
      </c>
      <c r="I437" s="24">
        <v>5.0449999999999999</v>
      </c>
      <c r="J437" s="24">
        <v>36.195</v>
      </c>
      <c r="K437" s="24" t="s">
        <v>21</v>
      </c>
      <c r="L437" s="24" t="s">
        <v>21</v>
      </c>
      <c r="M437" s="24" t="s">
        <v>47</v>
      </c>
      <c r="N437" s="24">
        <v>45357</v>
      </c>
      <c r="O437" s="24" t="s">
        <v>21</v>
      </c>
    </row>
    <row r="438" spans="1:15" x14ac:dyDescent="0.25">
      <c r="A438" s="24" t="s">
        <v>15</v>
      </c>
      <c r="B438" s="24" t="s">
        <v>16</v>
      </c>
      <c r="C438" s="24">
        <v>694046</v>
      </c>
      <c r="D438" s="24" t="s">
        <v>1101</v>
      </c>
      <c r="E438" s="24" t="s">
        <v>1102</v>
      </c>
      <c r="F438" s="24" t="s">
        <v>1103</v>
      </c>
      <c r="G438" s="24" t="s">
        <v>59</v>
      </c>
      <c r="H438" s="24">
        <v>1053.8</v>
      </c>
      <c r="I438" s="24">
        <v>2.0699999999999998</v>
      </c>
      <c r="J438" s="24">
        <v>27.47</v>
      </c>
      <c r="K438" s="24" t="s">
        <v>21</v>
      </c>
      <c r="L438" s="24" t="s">
        <v>21</v>
      </c>
      <c r="M438" s="24" t="s">
        <v>47</v>
      </c>
      <c r="N438" s="24">
        <v>45358</v>
      </c>
      <c r="O438" s="24" t="s">
        <v>21</v>
      </c>
    </row>
    <row r="439" spans="1:15" x14ac:dyDescent="0.25">
      <c r="A439" s="24" t="s">
        <v>23</v>
      </c>
      <c r="B439" s="24" t="s">
        <v>24</v>
      </c>
      <c r="C439" s="24">
        <v>190657</v>
      </c>
      <c r="D439" s="24" t="s">
        <v>1104</v>
      </c>
      <c r="E439" s="24" t="s">
        <v>1105</v>
      </c>
      <c r="F439" s="24" t="s">
        <v>638</v>
      </c>
      <c r="G439" s="24" t="s">
        <v>28</v>
      </c>
      <c r="H439" s="24">
        <v>274.64699999999999</v>
      </c>
      <c r="I439" s="24">
        <v>2.0979999999999999</v>
      </c>
      <c r="J439" s="24">
        <v>77.974000000000004</v>
      </c>
      <c r="K439" s="24" t="s">
        <v>21</v>
      </c>
      <c r="L439" s="24" t="s">
        <v>21</v>
      </c>
      <c r="M439" s="24" t="s">
        <v>47</v>
      </c>
      <c r="N439" s="24">
        <v>45359</v>
      </c>
      <c r="O439" s="24" t="s">
        <v>21</v>
      </c>
    </row>
    <row r="440" spans="1:15" x14ac:dyDescent="0.25">
      <c r="A440" s="24" t="s">
        <v>777</v>
      </c>
      <c r="B440" s="24" t="s">
        <v>778</v>
      </c>
      <c r="C440" s="24" t="s">
        <v>1106</v>
      </c>
      <c r="D440" s="24"/>
      <c r="E440" s="24" t="s">
        <v>1105</v>
      </c>
      <c r="F440" s="24" t="s">
        <v>847</v>
      </c>
      <c r="G440" s="24" t="s">
        <v>812</v>
      </c>
      <c r="H440" s="24">
        <v>785.25760000000002</v>
      </c>
      <c r="I440" s="24">
        <v>6.6455200000000003</v>
      </c>
      <c r="J440" s="24">
        <v>108.2166666666667</v>
      </c>
      <c r="K440" s="24" t="s">
        <v>21</v>
      </c>
      <c r="L440" s="24" t="s">
        <v>90</v>
      </c>
      <c r="M440" s="24" t="s">
        <v>47</v>
      </c>
      <c r="N440" s="24">
        <v>45362</v>
      </c>
      <c r="O440" s="24" t="s">
        <v>90</v>
      </c>
    </row>
    <row r="441" spans="1:15" x14ac:dyDescent="0.25">
      <c r="A441" s="24" t="s">
        <v>777</v>
      </c>
      <c r="B441" s="24" t="s">
        <v>778</v>
      </c>
      <c r="C441" s="24" t="s">
        <v>1107</v>
      </c>
      <c r="D441" s="24"/>
      <c r="E441" s="24" t="s">
        <v>1108</v>
      </c>
      <c r="F441" s="24" t="s">
        <v>1109</v>
      </c>
      <c r="G441" s="24" t="s">
        <v>812</v>
      </c>
      <c r="H441" s="24">
        <v>209.51050000000001</v>
      </c>
      <c r="I441" s="24">
        <v>1.5101599999999999</v>
      </c>
      <c r="J441" s="24">
        <v>66.766666666666666</v>
      </c>
      <c r="K441" s="24" t="s">
        <v>21</v>
      </c>
      <c r="L441" s="24" t="s">
        <v>90</v>
      </c>
      <c r="M441" s="24" t="s">
        <v>47</v>
      </c>
      <c r="N441" s="24">
        <v>45364</v>
      </c>
      <c r="O441" s="24" t="s">
        <v>90</v>
      </c>
    </row>
    <row r="442" spans="1:15" x14ac:dyDescent="0.25">
      <c r="A442" s="24" t="s">
        <v>23</v>
      </c>
      <c r="B442" s="24" t="s">
        <v>24</v>
      </c>
      <c r="C442" s="24">
        <v>504972</v>
      </c>
      <c r="D442" s="24" t="s">
        <v>1110</v>
      </c>
      <c r="E442" s="24" t="s">
        <v>1111</v>
      </c>
      <c r="F442" s="24" t="s">
        <v>1112</v>
      </c>
      <c r="G442" s="24" t="s">
        <v>28</v>
      </c>
      <c r="H442" s="24">
        <v>321.20400000000001</v>
      </c>
      <c r="I442" s="24">
        <v>3.3170000000000002</v>
      </c>
      <c r="J442" s="24">
        <v>71.605000000000004</v>
      </c>
      <c r="K442" s="24" t="s">
        <v>21</v>
      </c>
      <c r="L442" s="24" t="s">
        <v>21</v>
      </c>
      <c r="M442" s="24" t="s">
        <v>47</v>
      </c>
      <c r="N442" s="24">
        <v>45372</v>
      </c>
      <c r="O442" s="24" t="s">
        <v>21</v>
      </c>
    </row>
    <row r="443" spans="1:15" x14ac:dyDescent="0.25">
      <c r="A443" s="24" t="s">
        <v>23</v>
      </c>
      <c r="B443" s="24" t="s">
        <v>24</v>
      </c>
      <c r="C443" s="24">
        <v>692236</v>
      </c>
      <c r="D443" s="24" t="s">
        <v>1113</v>
      </c>
      <c r="E443" s="24" t="s">
        <v>1114</v>
      </c>
      <c r="F443" s="24" t="s">
        <v>1115</v>
      </c>
      <c r="G443" s="24" t="s">
        <v>28</v>
      </c>
      <c r="H443" s="24">
        <v>364.30399999999997</v>
      </c>
      <c r="I443" s="24">
        <v>4.9669999999999996</v>
      </c>
      <c r="J443" s="24">
        <v>121.298</v>
      </c>
      <c r="K443" s="24" t="s">
        <v>21</v>
      </c>
      <c r="L443" s="24" t="s">
        <v>21</v>
      </c>
      <c r="M443" s="24" t="s">
        <v>47</v>
      </c>
      <c r="N443" s="24">
        <v>45383</v>
      </c>
      <c r="O443" s="24" t="s">
        <v>21</v>
      </c>
    </row>
    <row r="444" spans="1:15" x14ac:dyDescent="0.25">
      <c r="A444" s="24" t="s">
        <v>32</v>
      </c>
      <c r="B444" s="24" t="s">
        <v>24</v>
      </c>
      <c r="C444" s="24">
        <v>457782</v>
      </c>
      <c r="D444" s="24" t="s">
        <v>1116</v>
      </c>
      <c r="E444" s="24" t="s">
        <v>1117</v>
      </c>
      <c r="F444" s="24" t="s">
        <v>1118</v>
      </c>
      <c r="G444" s="24" t="s">
        <v>28</v>
      </c>
      <c r="H444" s="24">
        <v>391.93400000000003</v>
      </c>
      <c r="I444" s="24">
        <v>6.218</v>
      </c>
      <c r="J444" s="24">
        <v>54.954000000000001</v>
      </c>
      <c r="K444" s="24" t="s">
        <v>21</v>
      </c>
      <c r="L444" s="24" t="s">
        <v>21</v>
      </c>
      <c r="M444" s="24" t="s">
        <v>47</v>
      </c>
      <c r="N444" s="24">
        <v>45384</v>
      </c>
      <c r="O444" s="24" t="s">
        <v>21</v>
      </c>
    </row>
    <row r="445" spans="1:15" x14ac:dyDescent="0.25">
      <c r="A445" s="24" t="s">
        <v>32</v>
      </c>
      <c r="B445" s="24" t="s">
        <v>24</v>
      </c>
      <c r="C445" s="24">
        <v>631219</v>
      </c>
      <c r="D445" s="24" t="s">
        <v>1119</v>
      </c>
      <c r="E445" s="24" t="s">
        <v>1120</v>
      </c>
      <c r="F445" s="24" t="s">
        <v>167</v>
      </c>
      <c r="G445" s="24" t="s">
        <v>28</v>
      </c>
      <c r="H445" s="24">
        <v>345.38499999999999</v>
      </c>
      <c r="I445" s="24">
        <v>5.05</v>
      </c>
      <c r="J445" s="24">
        <v>45.274000000000001</v>
      </c>
      <c r="K445" s="24" t="s">
        <v>21</v>
      </c>
      <c r="L445" s="24" t="s">
        <v>21</v>
      </c>
      <c r="M445" s="24" t="s">
        <v>47</v>
      </c>
      <c r="N445" s="24">
        <v>45397</v>
      </c>
      <c r="O445" s="24" t="s">
        <v>21</v>
      </c>
    </row>
    <row r="446" spans="1:15" x14ac:dyDescent="0.25">
      <c r="A446" s="24" t="s">
        <v>84</v>
      </c>
      <c r="B446" s="24" t="s">
        <v>24</v>
      </c>
      <c r="C446" s="24">
        <v>696364</v>
      </c>
      <c r="D446" s="24" t="s">
        <v>1121</v>
      </c>
      <c r="E446" s="24" t="s">
        <v>1122</v>
      </c>
      <c r="F446" s="24" t="s">
        <v>737</v>
      </c>
      <c r="G446" s="24" t="s">
        <v>28</v>
      </c>
      <c r="H446" s="24">
        <v>845.15700000000004</v>
      </c>
      <c r="I446" s="24">
        <v>11.843</v>
      </c>
      <c r="J446" s="24">
        <v>117.32899999999999</v>
      </c>
      <c r="K446" s="24" t="s">
        <v>21</v>
      </c>
      <c r="L446" s="24" t="s">
        <v>21</v>
      </c>
      <c r="M446" s="24" t="s">
        <v>47</v>
      </c>
      <c r="N446" s="24">
        <v>45398</v>
      </c>
      <c r="O446" s="24" t="s">
        <v>21</v>
      </c>
    </row>
    <row r="447" spans="1:15" x14ac:dyDescent="0.25">
      <c r="A447" s="24" t="s">
        <v>169</v>
      </c>
      <c r="B447" s="24" t="s">
        <v>16</v>
      </c>
      <c r="C447" s="24">
        <v>484435</v>
      </c>
      <c r="D447" s="24" t="s">
        <v>1123</v>
      </c>
      <c r="E447" s="24" t="s">
        <v>1122</v>
      </c>
      <c r="F447" s="24" t="s">
        <v>494</v>
      </c>
      <c r="G447" s="24" t="s">
        <v>248</v>
      </c>
      <c r="H447" s="24">
        <v>294.53300000000002</v>
      </c>
      <c r="I447" s="24">
        <v>4.3083200000000001</v>
      </c>
      <c r="J447" s="24">
        <v>65.75</v>
      </c>
      <c r="K447" s="24" t="s">
        <v>21</v>
      </c>
      <c r="L447" s="24" t="s">
        <v>21</v>
      </c>
      <c r="M447" s="24" t="s">
        <v>47</v>
      </c>
      <c r="N447" s="24">
        <v>45399</v>
      </c>
      <c r="O447" s="24" t="s">
        <v>21</v>
      </c>
    </row>
    <row r="448" spans="1:15" x14ac:dyDescent="0.25">
      <c r="A448" s="24" t="s">
        <v>777</v>
      </c>
      <c r="B448" s="24" t="s">
        <v>778</v>
      </c>
      <c r="C448" s="24">
        <v>356012</v>
      </c>
      <c r="D448" s="24"/>
      <c r="E448" s="24" t="s">
        <v>1122</v>
      </c>
      <c r="F448" s="24" t="s">
        <v>197</v>
      </c>
      <c r="G448" s="24" t="s">
        <v>812</v>
      </c>
      <c r="H448" s="24">
        <v>849.01729999999998</v>
      </c>
      <c r="I448" s="24">
        <v>5.9690000000000003</v>
      </c>
      <c r="J448" s="24">
        <v>53.45</v>
      </c>
      <c r="K448" s="24" t="s">
        <v>21</v>
      </c>
      <c r="L448" s="24" t="s">
        <v>90</v>
      </c>
      <c r="M448" s="24" t="s">
        <v>47</v>
      </c>
      <c r="N448" s="24">
        <v>45399</v>
      </c>
      <c r="O448" s="24" t="s">
        <v>90</v>
      </c>
    </row>
    <row r="449" spans="1:15" x14ac:dyDescent="0.25">
      <c r="A449" s="24" t="s">
        <v>84</v>
      </c>
      <c r="B449" s="24" t="s">
        <v>24</v>
      </c>
      <c r="C449" s="24">
        <v>474332</v>
      </c>
      <c r="D449" s="24" t="s">
        <v>1124</v>
      </c>
      <c r="E449" s="24" t="s">
        <v>1125</v>
      </c>
      <c r="F449" s="24" t="s">
        <v>1126</v>
      </c>
      <c r="G449" s="24" t="s">
        <v>28</v>
      </c>
      <c r="H449" s="24">
        <v>162.999</v>
      </c>
      <c r="I449" s="24">
        <v>4.1079999999999997</v>
      </c>
      <c r="J449" s="24">
        <v>80.491</v>
      </c>
      <c r="K449" s="24" t="s">
        <v>21</v>
      </c>
      <c r="L449" s="24" t="s">
        <v>21</v>
      </c>
      <c r="M449" s="24" t="s">
        <v>47</v>
      </c>
      <c r="N449" s="24">
        <v>45400</v>
      </c>
      <c r="O449" s="24" t="s">
        <v>21</v>
      </c>
    </row>
    <row r="450" spans="1:15" x14ac:dyDescent="0.25">
      <c r="A450" s="24" t="s">
        <v>169</v>
      </c>
      <c r="B450" s="24" t="s">
        <v>16</v>
      </c>
      <c r="C450" s="24">
        <v>691447</v>
      </c>
      <c r="D450" s="24" t="s">
        <v>1127</v>
      </c>
      <c r="E450" s="24" t="s">
        <v>1128</v>
      </c>
      <c r="F450" s="24" t="s">
        <v>1129</v>
      </c>
      <c r="G450" s="24" t="s">
        <v>314</v>
      </c>
      <c r="H450" s="24">
        <v>216.06309999999999</v>
      </c>
      <c r="I450" s="24">
        <v>3.3460200000000002</v>
      </c>
      <c r="J450" s="24">
        <v>62.3</v>
      </c>
      <c r="K450" s="24" t="s">
        <v>21</v>
      </c>
      <c r="L450" s="24" t="s">
        <v>21</v>
      </c>
      <c r="M450" s="24" t="s">
        <v>47</v>
      </c>
      <c r="N450" s="24">
        <v>45400</v>
      </c>
      <c r="O450" s="24" t="s">
        <v>21</v>
      </c>
    </row>
    <row r="451" spans="1:15" x14ac:dyDescent="0.25">
      <c r="A451" s="24" t="s">
        <v>777</v>
      </c>
      <c r="B451" s="24" t="s">
        <v>778</v>
      </c>
      <c r="C451" s="24" t="s">
        <v>1106</v>
      </c>
      <c r="D451" s="24"/>
      <c r="E451" s="24" t="s">
        <v>1128</v>
      </c>
      <c r="F451" s="24" t="s">
        <v>105</v>
      </c>
      <c r="G451" s="24" t="s">
        <v>812</v>
      </c>
      <c r="H451" s="24">
        <v>277.21449999999999</v>
      </c>
      <c r="I451" s="24">
        <v>4.5578099999999999</v>
      </c>
      <c r="J451" s="24">
        <v>91.899999999999991</v>
      </c>
      <c r="K451" s="24" t="s">
        <v>21</v>
      </c>
      <c r="L451" s="24" t="s">
        <v>90</v>
      </c>
      <c r="M451" s="24" t="s">
        <v>47</v>
      </c>
      <c r="N451" s="24">
        <v>45400</v>
      </c>
      <c r="O451" s="24" t="s">
        <v>90</v>
      </c>
    </row>
    <row r="452" spans="1:15" x14ac:dyDescent="0.25">
      <c r="A452" s="24" t="s">
        <v>777</v>
      </c>
      <c r="B452" s="24" t="s">
        <v>778</v>
      </c>
      <c r="C452" s="24">
        <v>74580</v>
      </c>
      <c r="D452" s="24"/>
      <c r="E452" s="24" t="s">
        <v>1125</v>
      </c>
      <c r="F452" s="24" t="s">
        <v>62</v>
      </c>
      <c r="G452" s="24" t="s">
        <v>812</v>
      </c>
      <c r="H452" s="24">
        <v>166.43010000000001</v>
      </c>
      <c r="I452" s="24">
        <v>0.85428999999999999</v>
      </c>
      <c r="J452" s="24">
        <v>61.133333333333333</v>
      </c>
      <c r="K452" s="24" t="s">
        <v>21</v>
      </c>
      <c r="L452" s="24" t="s">
        <v>90</v>
      </c>
      <c r="M452" s="24" t="s">
        <v>47</v>
      </c>
      <c r="N452" s="24">
        <v>45401</v>
      </c>
      <c r="O452" s="24" t="s">
        <v>90</v>
      </c>
    </row>
    <row r="453" spans="1:15" x14ac:dyDescent="0.25">
      <c r="A453" s="24" t="s">
        <v>23</v>
      </c>
      <c r="B453" s="24" t="s">
        <v>24</v>
      </c>
      <c r="C453" s="24">
        <v>645621</v>
      </c>
      <c r="D453" s="24" t="s">
        <v>1130</v>
      </c>
      <c r="E453" s="24" t="s">
        <v>1131</v>
      </c>
      <c r="F453" s="24" t="s">
        <v>340</v>
      </c>
      <c r="G453" s="24" t="s">
        <v>28</v>
      </c>
      <c r="H453" s="24">
        <v>327.08300000000003</v>
      </c>
      <c r="I453" s="24">
        <v>4.7389999999999999</v>
      </c>
      <c r="J453" s="24">
        <v>77.144000000000005</v>
      </c>
      <c r="K453" s="24" t="s">
        <v>21</v>
      </c>
      <c r="L453" s="24" t="s">
        <v>21</v>
      </c>
      <c r="M453" s="24" t="s">
        <v>47</v>
      </c>
      <c r="N453" s="24">
        <v>45408</v>
      </c>
      <c r="O453" s="24" t="s">
        <v>21</v>
      </c>
    </row>
    <row r="454" spans="1:15" x14ac:dyDescent="0.25">
      <c r="A454" s="24" t="s">
        <v>777</v>
      </c>
      <c r="B454" s="24" t="s">
        <v>778</v>
      </c>
      <c r="C454" s="24" t="s">
        <v>1132</v>
      </c>
      <c r="D454" s="24"/>
      <c r="E454" s="24" t="s">
        <v>1131</v>
      </c>
      <c r="F454" s="24" t="s">
        <v>865</v>
      </c>
      <c r="G454" s="24" t="s">
        <v>812</v>
      </c>
      <c r="H454" s="24">
        <v>119.3907</v>
      </c>
      <c r="I454" s="24">
        <v>0.44020999999999999</v>
      </c>
      <c r="J454" s="24">
        <v>97.533333333333331</v>
      </c>
      <c r="K454" s="24" t="s">
        <v>21</v>
      </c>
      <c r="L454" s="24" t="s">
        <v>90</v>
      </c>
      <c r="M454" s="24" t="s">
        <v>47</v>
      </c>
      <c r="N454" s="24">
        <v>45412</v>
      </c>
      <c r="O454" s="24" t="s">
        <v>90</v>
      </c>
    </row>
    <row r="455" spans="1:15" x14ac:dyDescent="0.25">
      <c r="A455" s="24" t="s">
        <v>777</v>
      </c>
      <c r="B455" s="24" t="s">
        <v>778</v>
      </c>
      <c r="C455" s="24" t="s">
        <v>1133</v>
      </c>
      <c r="D455" s="24"/>
      <c r="E455" s="24" t="s">
        <v>1134</v>
      </c>
      <c r="F455" s="24" t="s">
        <v>70</v>
      </c>
      <c r="G455" s="24" t="s">
        <v>812</v>
      </c>
      <c r="H455" s="24">
        <v>501.41980000000001</v>
      </c>
      <c r="I455" s="24">
        <v>7.2614700000000001</v>
      </c>
      <c r="J455" s="24">
        <v>73.150000000000006</v>
      </c>
      <c r="K455" s="24" t="s">
        <v>21</v>
      </c>
      <c r="L455" s="24" t="s">
        <v>90</v>
      </c>
      <c r="M455" s="24" t="s">
        <v>47</v>
      </c>
      <c r="N455" s="24">
        <v>45412</v>
      </c>
      <c r="O455" s="24" t="s">
        <v>90</v>
      </c>
    </row>
    <row r="456" spans="1:15" x14ac:dyDescent="0.25">
      <c r="A456" s="24" t="s">
        <v>15</v>
      </c>
      <c r="B456" s="24" t="s">
        <v>16</v>
      </c>
      <c r="C456" s="24">
        <v>696757</v>
      </c>
      <c r="D456" s="24" t="s">
        <v>1135</v>
      </c>
      <c r="E456" s="24" t="s">
        <v>1136</v>
      </c>
      <c r="F456" s="24" t="s">
        <v>451</v>
      </c>
      <c r="G456" s="24" t="s">
        <v>115</v>
      </c>
      <c r="H456" s="24">
        <v>741.82</v>
      </c>
      <c r="I456" s="24">
        <v>1.59</v>
      </c>
      <c r="J456" s="24">
        <v>29.28</v>
      </c>
      <c r="K456" s="24" t="s">
        <v>21</v>
      </c>
      <c r="L456" s="24" t="s">
        <v>21</v>
      </c>
      <c r="M456" s="24" t="s">
        <v>47</v>
      </c>
      <c r="N456" s="24">
        <v>45414</v>
      </c>
      <c r="O456" s="24" t="s">
        <v>21</v>
      </c>
    </row>
    <row r="457" spans="1:15" x14ac:dyDescent="0.25">
      <c r="A457" s="24" t="s">
        <v>23</v>
      </c>
      <c r="B457" s="24" t="s">
        <v>24</v>
      </c>
      <c r="C457" s="24">
        <v>570866</v>
      </c>
      <c r="D457" s="24" t="s">
        <v>1137</v>
      </c>
      <c r="E457" s="24" t="s">
        <v>1138</v>
      </c>
      <c r="F457" s="24" t="s">
        <v>732</v>
      </c>
      <c r="G457" s="24" t="s">
        <v>28</v>
      </c>
      <c r="H457" s="24">
        <v>523.09900000000005</v>
      </c>
      <c r="I457" s="24">
        <v>4.5540000000000003</v>
      </c>
      <c r="J457" s="24">
        <v>56.168999999999997</v>
      </c>
      <c r="K457" s="24" t="s">
        <v>21</v>
      </c>
      <c r="L457" s="24" t="s">
        <v>21</v>
      </c>
      <c r="M457" s="24" t="s">
        <v>47</v>
      </c>
      <c r="N457" s="24">
        <v>45415</v>
      </c>
      <c r="O457" s="24" t="s">
        <v>21</v>
      </c>
    </row>
    <row r="458" spans="1:15" x14ac:dyDescent="0.25">
      <c r="A458" s="24" t="s">
        <v>23</v>
      </c>
      <c r="B458" s="24" t="s">
        <v>24</v>
      </c>
      <c r="C458" s="24">
        <v>404336</v>
      </c>
      <c r="D458" s="24" t="s">
        <v>1139</v>
      </c>
      <c r="E458" s="24" t="s">
        <v>1140</v>
      </c>
      <c r="F458" s="24" t="s">
        <v>1141</v>
      </c>
      <c r="G458" s="24" t="s">
        <v>28</v>
      </c>
      <c r="H458" s="24">
        <v>155.87100000000001</v>
      </c>
      <c r="I458" s="24">
        <v>2.2029999999999998</v>
      </c>
      <c r="J458" s="24">
        <v>60.22</v>
      </c>
      <c r="K458" s="24" t="s">
        <v>21</v>
      </c>
      <c r="L458" s="24" t="s">
        <v>21</v>
      </c>
      <c r="M458" s="24" t="s">
        <v>47</v>
      </c>
      <c r="N458" s="24">
        <v>45446</v>
      </c>
      <c r="O458" s="24" t="s">
        <v>21</v>
      </c>
    </row>
    <row r="459" spans="1:15" x14ac:dyDescent="0.25">
      <c r="A459" s="24" t="s">
        <v>23</v>
      </c>
      <c r="B459" s="24" t="s">
        <v>24</v>
      </c>
      <c r="C459" s="24">
        <v>257140</v>
      </c>
      <c r="D459" s="24" t="s">
        <v>1142</v>
      </c>
      <c r="E459" s="24" t="s">
        <v>1143</v>
      </c>
      <c r="F459" s="24" t="s">
        <v>1144</v>
      </c>
      <c r="G459" s="24" t="s">
        <v>28</v>
      </c>
      <c r="H459" s="24">
        <v>222.417</v>
      </c>
      <c r="I459" s="24">
        <v>1.3029999999999999</v>
      </c>
      <c r="J459" s="24">
        <v>63.213999999999999</v>
      </c>
      <c r="K459" s="24" t="s">
        <v>21</v>
      </c>
      <c r="L459" s="24" t="s">
        <v>21</v>
      </c>
      <c r="M459" s="24" t="s">
        <v>47</v>
      </c>
      <c r="N459" s="24">
        <v>45453</v>
      </c>
      <c r="O459" s="24" t="s">
        <v>21</v>
      </c>
    </row>
    <row r="460" spans="1:15" x14ac:dyDescent="0.25">
      <c r="A460" s="24" t="s">
        <v>84</v>
      </c>
      <c r="B460" s="24" t="s">
        <v>24</v>
      </c>
      <c r="C460" s="24">
        <v>698886</v>
      </c>
      <c r="D460" s="24" t="s">
        <v>1145</v>
      </c>
      <c r="E460" s="24" t="s">
        <v>1146</v>
      </c>
      <c r="F460" s="24" t="s">
        <v>197</v>
      </c>
      <c r="G460" s="24" t="s">
        <v>28</v>
      </c>
      <c r="H460" s="24">
        <v>375.27499999999998</v>
      </c>
      <c r="I460" s="24">
        <v>5.008</v>
      </c>
      <c r="J460" s="24">
        <v>47.981000000000002</v>
      </c>
      <c r="K460" s="24" t="s">
        <v>21</v>
      </c>
      <c r="L460" s="24" t="s">
        <v>21</v>
      </c>
      <c r="M460" s="24" t="s">
        <v>47</v>
      </c>
      <c r="N460" s="24">
        <v>45454</v>
      </c>
      <c r="O460" s="24" t="s">
        <v>21</v>
      </c>
    </row>
    <row r="461" spans="1:15" x14ac:dyDescent="0.25">
      <c r="A461" s="24" t="s">
        <v>23</v>
      </c>
      <c r="B461" s="24" t="s">
        <v>24</v>
      </c>
      <c r="C461" s="24">
        <v>573337</v>
      </c>
      <c r="D461" s="24" t="s">
        <v>1147</v>
      </c>
      <c r="E461" s="24" t="s">
        <v>1148</v>
      </c>
      <c r="F461" s="24" t="s">
        <v>1149</v>
      </c>
      <c r="G461" s="24" t="s">
        <v>28</v>
      </c>
      <c r="H461" s="24">
        <v>408.98599999999999</v>
      </c>
      <c r="I461" s="24">
        <v>4.3609999999999998</v>
      </c>
      <c r="J461" s="24">
        <v>61.415999999999997</v>
      </c>
      <c r="K461" s="24" t="s">
        <v>21</v>
      </c>
      <c r="L461" s="24" t="s">
        <v>21</v>
      </c>
      <c r="M461" s="24" t="s">
        <v>47</v>
      </c>
      <c r="N461" s="24">
        <v>45456</v>
      </c>
      <c r="O461" s="24" t="s">
        <v>21</v>
      </c>
    </row>
    <row r="462" spans="1:15" x14ac:dyDescent="0.25">
      <c r="A462" s="24" t="s">
        <v>23</v>
      </c>
      <c r="B462" s="24" t="s">
        <v>24</v>
      </c>
      <c r="C462" s="24">
        <v>582746</v>
      </c>
      <c r="D462" s="24" t="s">
        <v>1150</v>
      </c>
      <c r="E462" s="24" t="s">
        <v>1151</v>
      </c>
      <c r="F462" s="24" t="s">
        <v>1152</v>
      </c>
      <c r="G462" s="24" t="s">
        <v>28</v>
      </c>
      <c r="H462" s="24">
        <v>555.16</v>
      </c>
      <c r="I462" s="24">
        <v>5.4189999999999996</v>
      </c>
      <c r="J462" s="24">
        <v>65.631</v>
      </c>
      <c r="K462" s="24" t="s">
        <v>21</v>
      </c>
      <c r="L462" s="24" t="s">
        <v>21</v>
      </c>
      <c r="M462" s="24" t="s">
        <v>47</v>
      </c>
      <c r="N462" s="24">
        <v>45457</v>
      </c>
      <c r="O462" s="24" t="s">
        <v>21</v>
      </c>
    </row>
    <row r="463" spans="1:15" x14ac:dyDescent="0.25">
      <c r="A463" s="24" t="s">
        <v>169</v>
      </c>
      <c r="B463" s="24" t="s">
        <v>16</v>
      </c>
      <c r="C463" s="24">
        <v>699368</v>
      </c>
      <c r="D463" s="24" t="s">
        <v>1153</v>
      </c>
      <c r="E463" s="24" t="s">
        <v>1154</v>
      </c>
      <c r="F463" s="24" t="s">
        <v>1155</v>
      </c>
      <c r="G463" s="24" t="s">
        <v>248</v>
      </c>
      <c r="H463" s="24">
        <v>225.88239999999999</v>
      </c>
      <c r="I463" s="24">
        <v>3.1501100000000002</v>
      </c>
      <c r="J463" s="24">
        <v>103.4666666666667</v>
      </c>
      <c r="K463" s="24" t="s">
        <v>21</v>
      </c>
      <c r="L463" s="24" t="s">
        <v>21</v>
      </c>
      <c r="M463" s="24" t="s">
        <v>47</v>
      </c>
      <c r="N463" s="24">
        <v>45461</v>
      </c>
      <c r="O463" s="24" t="s">
        <v>21</v>
      </c>
    </row>
    <row r="464" spans="1:15" x14ac:dyDescent="0.25">
      <c r="A464" s="24" t="s">
        <v>32</v>
      </c>
      <c r="B464" s="24" t="s">
        <v>24</v>
      </c>
      <c r="C464" s="24">
        <v>698505</v>
      </c>
      <c r="D464" s="24" t="s">
        <v>1156</v>
      </c>
      <c r="E464" s="24" t="s">
        <v>1157</v>
      </c>
      <c r="F464" s="24" t="s">
        <v>127</v>
      </c>
      <c r="G464" s="24" t="s">
        <v>28</v>
      </c>
      <c r="H464" s="24">
        <v>349.56700000000001</v>
      </c>
      <c r="I464" s="24">
        <v>3.0339999999999998</v>
      </c>
      <c r="J464" s="24">
        <v>91.18</v>
      </c>
      <c r="K464" s="24" t="s">
        <v>21</v>
      </c>
      <c r="L464" s="24" t="s">
        <v>21</v>
      </c>
      <c r="M464" s="24" t="s">
        <v>47</v>
      </c>
      <c r="N464" s="24">
        <v>45464</v>
      </c>
      <c r="O464" s="24" t="s">
        <v>21</v>
      </c>
    </row>
    <row r="465" spans="1:15" x14ac:dyDescent="0.25">
      <c r="A465" s="24" t="s">
        <v>23</v>
      </c>
      <c r="B465" s="24" t="s">
        <v>24</v>
      </c>
      <c r="C465" s="24">
        <v>560476</v>
      </c>
      <c r="D465" s="24" t="s">
        <v>1158</v>
      </c>
      <c r="E465" s="24" t="s">
        <v>1159</v>
      </c>
      <c r="F465" s="24" t="s">
        <v>1160</v>
      </c>
      <c r="G465" s="24" t="s">
        <v>28</v>
      </c>
      <c r="H465" s="24">
        <v>391.59</v>
      </c>
      <c r="I465" s="24">
        <v>4.4480000000000004</v>
      </c>
      <c r="J465" s="24">
        <v>99.850999999999999</v>
      </c>
      <c r="K465" s="24" t="s">
        <v>21</v>
      </c>
      <c r="L465" s="24" t="s">
        <v>21</v>
      </c>
      <c r="M465" s="24" t="s">
        <v>47</v>
      </c>
      <c r="N465" s="24">
        <v>45468</v>
      </c>
      <c r="O465" s="24" t="s">
        <v>21</v>
      </c>
    </row>
    <row r="466" spans="1:15" x14ac:dyDescent="0.25">
      <c r="A466" s="24" t="s">
        <v>32</v>
      </c>
      <c r="B466" s="24" t="s">
        <v>24</v>
      </c>
      <c r="C466" s="24">
        <v>474332</v>
      </c>
      <c r="D466" s="24" t="s">
        <v>1124</v>
      </c>
      <c r="E466" s="24" t="s">
        <v>1159</v>
      </c>
      <c r="F466" s="24" t="s">
        <v>604</v>
      </c>
      <c r="G466" s="24" t="s">
        <v>28</v>
      </c>
      <c r="H466" s="24">
        <v>269.18700000000001</v>
      </c>
      <c r="I466" s="24">
        <v>2.9670000000000001</v>
      </c>
      <c r="J466" s="24">
        <v>108.126</v>
      </c>
      <c r="K466" s="24" t="s">
        <v>21</v>
      </c>
      <c r="L466" s="24" t="s">
        <v>21</v>
      </c>
      <c r="M466" s="24" t="s">
        <v>47</v>
      </c>
      <c r="N466" s="24">
        <v>45468</v>
      </c>
      <c r="O466" s="24" t="s">
        <v>21</v>
      </c>
    </row>
    <row r="467" spans="1:15" x14ac:dyDescent="0.25">
      <c r="A467" s="24" t="s">
        <v>23</v>
      </c>
      <c r="B467" s="24" t="s">
        <v>24</v>
      </c>
      <c r="C467" s="24">
        <v>349669</v>
      </c>
      <c r="D467" s="24" t="s">
        <v>735</v>
      </c>
      <c r="E467" s="24" t="s">
        <v>1161</v>
      </c>
      <c r="F467" s="24" t="s">
        <v>1162</v>
      </c>
      <c r="G467" s="24" t="s">
        <v>28</v>
      </c>
      <c r="H467" s="24">
        <v>1202.136</v>
      </c>
      <c r="I467" s="24">
        <v>12.672000000000001</v>
      </c>
      <c r="J467" s="24">
        <v>112.193</v>
      </c>
      <c r="K467" s="24" t="s">
        <v>21</v>
      </c>
      <c r="L467" s="24" t="s">
        <v>21</v>
      </c>
      <c r="M467" s="24" t="s">
        <v>47</v>
      </c>
      <c r="N467" s="24">
        <v>45477</v>
      </c>
      <c r="O467" s="24" t="s">
        <v>21</v>
      </c>
    </row>
    <row r="468" spans="1:15" x14ac:dyDescent="0.25">
      <c r="A468" s="24" t="s">
        <v>32</v>
      </c>
      <c r="B468" s="24" t="s">
        <v>24</v>
      </c>
      <c r="C468" s="24">
        <v>700304</v>
      </c>
      <c r="D468" s="24" t="s">
        <v>1163</v>
      </c>
      <c r="E468" s="24" t="s">
        <v>1164</v>
      </c>
      <c r="F468" s="24" t="s">
        <v>1165</v>
      </c>
      <c r="G468" s="24" t="s">
        <v>28</v>
      </c>
      <c r="H468" s="24">
        <v>564.18299999999999</v>
      </c>
      <c r="I468" s="24">
        <v>7.798</v>
      </c>
      <c r="J468" s="24">
        <v>60.225999999999999</v>
      </c>
      <c r="K468" s="24" t="s">
        <v>21</v>
      </c>
      <c r="L468" s="24" t="s">
        <v>21</v>
      </c>
      <c r="M468" s="24" t="s">
        <v>47</v>
      </c>
      <c r="N468" s="24">
        <v>45481</v>
      </c>
      <c r="O468" s="24" t="s">
        <v>21</v>
      </c>
    </row>
    <row r="469" spans="1:15" x14ac:dyDescent="0.25">
      <c r="A469" s="24" t="s">
        <v>15</v>
      </c>
      <c r="B469" s="24" t="s">
        <v>16</v>
      </c>
      <c r="C469" s="24">
        <v>1754293</v>
      </c>
      <c r="D469" s="24" t="s">
        <v>1166</v>
      </c>
      <c r="E469" s="24" t="s">
        <v>1167</v>
      </c>
      <c r="F469" s="24" t="s">
        <v>1168</v>
      </c>
      <c r="G469" s="24" t="s">
        <v>59</v>
      </c>
      <c r="H469" s="24">
        <v>307.94</v>
      </c>
      <c r="I469" s="24">
        <v>0.73</v>
      </c>
      <c r="J469" s="24">
        <v>66.28</v>
      </c>
      <c r="K469" s="24" t="s">
        <v>21</v>
      </c>
      <c r="L469" s="24" t="s">
        <v>21</v>
      </c>
      <c r="M469" s="24" t="s">
        <v>47</v>
      </c>
      <c r="N469" s="24">
        <v>45483</v>
      </c>
      <c r="O469" s="24" t="s">
        <v>21</v>
      </c>
    </row>
    <row r="470" spans="1:15" x14ac:dyDescent="0.25">
      <c r="A470" s="24" t="s">
        <v>23</v>
      </c>
      <c r="B470" s="24" t="s">
        <v>24</v>
      </c>
      <c r="C470" s="24">
        <v>106416</v>
      </c>
      <c r="D470" s="24" t="s">
        <v>1169</v>
      </c>
      <c r="E470" s="24" t="s">
        <v>1170</v>
      </c>
      <c r="F470" s="24" t="s">
        <v>1171</v>
      </c>
      <c r="G470" s="24" t="s">
        <v>28</v>
      </c>
      <c r="H470" s="24">
        <v>500.65899999999999</v>
      </c>
      <c r="I470" s="24">
        <v>3.5230000000000001</v>
      </c>
      <c r="J470" s="24">
        <v>86.881</v>
      </c>
      <c r="K470" s="24" t="s">
        <v>21</v>
      </c>
      <c r="L470" s="24" t="s">
        <v>21</v>
      </c>
      <c r="M470" s="24" t="s">
        <v>47</v>
      </c>
      <c r="N470" s="24">
        <v>45503</v>
      </c>
      <c r="O470" s="24" t="s">
        <v>21</v>
      </c>
    </row>
    <row r="471" spans="1:15" x14ac:dyDescent="0.25">
      <c r="A471" s="24" t="s">
        <v>32</v>
      </c>
      <c r="B471" s="24" t="s">
        <v>24</v>
      </c>
      <c r="C471" s="24">
        <v>683680</v>
      </c>
      <c r="D471" s="24" t="s">
        <v>1172</v>
      </c>
      <c r="E471" s="24" t="s">
        <v>1173</v>
      </c>
      <c r="F471" s="24" t="s">
        <v>1174</v>
      </c>
      <c r="G471" s="24" t="s">
        <v>28</v>
      </c>
      <c r="H471" s="24">
        <v>759.61500000000001</v>
      </c>
      <c r="I471" s="24">
        <v>12.01</v>
      </c>
      <c r="J471" s="24">
        <v>101.92700000000001</v>
      </c>
      <c r="K471" s="24" t="s">
        <v>21</v>
      </c>
      <c r="L471" s="24" t="s">
        <v>21</v>
      </c>
      <c r="M471" s="24" t="s">
        <v>47</v>
      </c>
      <c r="N471" s="24">
        <v>45506</v>
      </c>
      <c r="O471" s="24" t="s">
        <v>21</v>
      </c>
    </row>
    <row r="472" spans="1:15" x14ac:dyDescent="0.25">
      <c r="A472" s="24" t="s">
        <v>32</v>
      </c>
      <c r="B472" s="24" t="s">
        <v>24</v>
      </c>
      <c r="C472" s="24">
        <v>327859</v>
      </c>
      <c r="D472" s="24" t="s">
        <v>1175</v>
      </c>
      <c r="E472" s="24" t="s">
        <v>1173</v>
      </c>
      <c r="F472" s="24" t="s">
        <v>1176</v>
      </c>
      <c r="G472" s="24" t="s">
        <v>28</v>
      </c>
      <c r="H472" s="24">
        <v>766.26499999999999</v>
      </c>
      <c r="I472" s="24">
        <v>10.167999999999999</v>
      </c>
      <c r="J472" s="24">
        <v>63.094000000000001</v>
      </c>
      <c r="K472" s="24" t="s">
        <v>21</v>
      </c>
      <c r="L472" s="24" t="s">
        <v>21</v>
      </c>
      <c r="M472" s="24" t="s">
        <v>47</v>
      </c>
      <c r="N472" s="24">
        <v>45506</v>
      </c>
      <c r="O472" s="24" t="s">
        <v>21</v>
      </c>
    </row>
    <row r="473" spans="1:15" x14ac:dyDescent="0.25">
      <c r="A473" s="24" t="s">
        <v>32</v>
      </c>
      <c r="B473" s="24" t="s">
        <v>24</v>
      </c>
      <c r="C473" s="24">
        <v>632477</v>
      </c>
      <c r="D473" s="24" t="s">
        <v>1177</v>
      </c>
      <c r="E473" s="24" t="s">
        <v>1178</v>
      </c>
      <c r="F473" s="24" t="s">
        <v>1179</v>
      </c>
      <c r="G473" s="24" t="s">
        <v>28</v>
      </c>
      <c r="H473" s="24">
        <v>252.74700000000001</v>
      </c>
      <c r="I473" s="24">
        <v>2.3210000000000002</v>
      </c>
      <c r="J473" s="24">
        <v>84.212999999999994</v>
      </c>
      <c r="K473" s="24" t="s">
        <v>21</v>
      </c>
      <c r="L473" s="24" t="s">
        <v>21</v>
      </c>
      <c r="M473" s="24" t="s">
        <v>776</v>
      </c>
      <c r="N473" s="24">
        <v>45510</v>
      </c>
      <c r="O473" s="24" t="s">
        <v>21</v>
      </c>
    </row>
    <row r="474" spans="1:15" x14ac:dyDescent="0.25">
      <c r="A474" s="24" t="s">
        <v>84</v>
      </c>
      <c r="B474" s="24" t="s">
        <v>24</v>
      </c>
      <c r="C474" s="24">
        <v>481027</v>
      </c>
      <c r="D474" s="24" t="s">
        <v>1180</v>
      </c>
      <c r="E474" s="24" t="s">
        <v>1178</v>
      </c>
      <c r="F474" s="24" t="s">
        <v>1074</v>
      </c>
      <c r="G474" s="24" t="s">
        <v>28</v>
      </c>
      <c r="H474" s="24">
        <v>349.76299999999998</v>
      </c>
      <c r="I474" s="24">
        <v>4.7080000000000002</v>
      </c>
      <c r="J474" s="24">
        <v>83.32</v>
      </c>
      <c r="K474" s="24" t="s">
        <v>21</v>
      </c>
      <c r="L474" s="24" t="s">
        <v>21</v>
      </c>
      <c r="M474" s="24" t="s">
        <v>776</v>
      </c>
      <c r="N474" s="24">
        <v>45510</v>
      </c>
      <c r="O474" s="24" t="s">
        <v>21</v>
      </c>
    </row>
    <row r="475" spans="1:15" x14ac:dyDescent="0.25">
      <c r="A475" s="24" t="s">
        <v>777</v>
      </c>
      <c r="B475" s="24" t="s">
        <v>778</v>
      </c>
      <c r="C475" s="24" t="s">
        <v>1181</v>
      </c>
      <c r="D475" s="24"/>
      <c r="E475" s="24" t="s">
        <v>1178</v>
      </c>
      <c r="F475" s="24" t="s">
        <v>127</v>
      </c>
      <c r="G475" s="24" t="s">
        <v>812</v>
      </c>
      <c r="H475" s="24">
        <v>406.47840000000002</v>
      </c>
      <c r="I475" s="24">
        <v>2.37005</v>
      </c>
      <c r="J475" s="24">
        <v>139.25</v>
      </c>
      <c r="K475" s="24" t="s">
        <v>21</v>
      </c>
      <c r="L475" s="24" t="s">
        <v>90</v>
      </c>
      <c r="M475" s="24" t="s">
        <v>776</v>
      </c>
      <c r="N475" s="24">
        <v>45511</v>
      </c>
      <c r="O475" s="24" t="s">
        <v>90</v>
      </c>
    </row>
    <row r="476" spans="1:15" x14ac:dyDescent="0.25">
      <c r="A476" s="24" t="s">
        <v>777</v>
      </c>
      <c r="B476" s="24" t="s">
        <v>778</v>
      </c>
      <c r="C476" s="24">
        <v>353489</v>
      </c>
      <c r="D476" s="24"/>
      <c r="E476" s="24" t="s">
        <v>1182</v>
      </c>
      <c r="F476" s="24" t="s">
        <v>610</v>
      </c>
      <c r="G476" s="24" t="s">
        <v>812</v>
      </c>
      <c r="H476" s="24">
        <v>38.525700000000001</v>
      </c>
      <c r="I476" s="24">
        <v>0.26974999999999999</v>
      </c>
      <c r="J476" s="24">
        <v>66.683333333333323</v>
      </c>
      <c r="K476" s="24" t="s">
        <v>21</v>
      </c>
      <c r="L476" s="24" t="s">
        <v>90</v>
      </c>
      <c r="M476" s="24" t="s">
        <v>47</v>
      </c>
      <c r="N476" s="24">
        <v>45530</v>
      </c>
      <c r="O476" s="24" t="s">
        <v>90</v>
      </c>
    </row>
    <row r="477" spans="1:15" x14ac:dyDescent="0.25">
      <c r="A477" s="24" t="s">
        <v>32</v>
      </c>
      <c r="B477" s="24" t="s">
        <v>24</v>
      </c>
      <c r="C477" s="24">
        <v>694709</v>
      </c>
      <c r="D477" s="24" t="s">
        <v>1183</v>
      </c>
      <c r="E477" s="24" t="s">
        <v>1184</v>
      </c>
      <c r="F477" s="24" t="s">
        <v>454</v>
      </c>
      <c r="G477" s="24" t="s">
        <v>28</v>
      </c>
      <c r="H477" s="24">
        <v>666.76300000000003</v>
      </c>
      <c r="I477" s="24">
        <v>9.2089999999999996</v>
      </c>
      <c r="J477" s="24">
        <v>74.644999999999996</v>
      </c>
      <c r="K477" s="24" t="s">
        <v>21</v>
      </c>
      <c r="L477" s="24" t="s">
        <v>21</v>
      </c>
      <c r="M477" s="24" t="s">
        <v>47</v>
      </c>
      <c r="N477" s="24">
        <v>45530</v>
      </c>
      <c r="O477" s="24" t="s">
        <v>21</v>
      </c>
    </row>
    <row r="478" spans="1:15" x14ac:dyDescent="0.25">
      <c r="A478" s="24" t="s">
        <v>23</v>
      </c>
      <c r="B478" s="24" t="s">
        <v>24</v>
      </c>
      <c r="C478" s="24">
        <v>702119</v>
      </c>
      <c r="D478" s="24" t="s">
        <v>1185</v>
      </c>
      <c r="E478" s="24" t="s">
        <v>1186</v>
      </c>
      <c r="F478" s="24" t="s">
        <v>1187</v>
      </c>
      <c r="G478" s="24" t="s">
        <v>28</v>
      </c>
      <c r="H478" s="24">
        <v>508.59800000000001</v>
      </c>
      <c r="I478" s="24">
        <v>6.7229999999999999</v>
      </c>
      <c r="J478" s="24">
        <v>83.262</v>
      </c>
      <c r="K478" s="24" t="s">
        <v>21</v>
      </c>
      <c r="L478" s="24" t="s">
        <v>21</v>
      </c>
      <c r="M478" s="24" t="s">
        <v>47</v>
      </c>
      <c r="N478" s="24">
        <v>45532</v>
      </c>
      <c r="O478" s="24" t="s">
        <v>21</v>
      </c>
    </row>
    <row r="479" spans="1:15" x14ac:dyDescent="0.25">
      <c r="A479" s="24" t="s">
        <v>777</v>
      </c>
      <c r="B479" s="24" t="s">
        <v>778</v>
      </c>
      <c r="C479" s="24">
        <v>692563</v>
      </c>
      <c r="D479" s="24" t="s">
        <v>1188</v>
      </c>
      <c r="E479" s="24" t="s">
        <v>1189</v>
      </c>
      <c r="F479" s="24" t="s">
        <v>1190</v>
      </c>
      <c r="G479" s="24" t="s">
        <v>812</v>
      </c>
      <c r="H479" s="24">
        <v>288.64409999999998</v>
      </c>
      <c r="I479" s="24">
        <v>1.9566600000000001</v>
      </c>
      <c r="J479" s="24">
        <v>72.416666666666671</v>
      </c>
      <c r="K479" s="24" t="s">
        <v>21</v>
      </c>
      <c r="L479" s="24" t="s">
        <v>21</v>
      </c>
      <c r="M479" s="24" t="s">
        <v>47</v>
      </c>
      <c r="N479" s="24">
        <v>45537</v>
      </c>
      <c r="O479" s="24" t="s">
        <v>21</v>
      </c>
    </row>
    <row r="480" spans="1:15" x14ac:dyDescent="0.25">
      <c r="A480" s="24" t="s">
        <v>15</v>
      </c>
      <c r="B480" s="24" t="s">
        <v>16</v>
      </c>
      <c r="C480" s="24">
        <v>523606</v>
      </c>
      <c r="D480" s="24" t="s">
        <v>1191</v>
      </c>
      <c r="E480" s="24" t="s">
        <v>1192</v>
      </c>
      <c r="F480" s="24" t="s">
        <v>1193</v>
      </c>
      <c r="G480" s="24" t="s">
        <v>115</v>
      </c>
      <c r="H480" s="24">
        <v>358.96</v>
      </c>
      <c r="I480" s="24">
        <v>1.66</v>
      </c>
      <c r="J480" s="24">
        <v>71.05</v>
      </c>
      <c r="K480" s="24" t="s">
        <v>21</v>
      </c>
      <c r="L480" s="24" t="s">
        <v>21</v>
      </c>
      <c r="M480" s="24" t="s">
        <v>47</v>
      </c>
      <c r="N480" s="24">
        <v>45538</v>
      </c>
      <c r="O480" s="24" t="s">
        <v>21</v>
      </c>
    </row>
    <row r="481" spans="1:15" x14ac:dyDescent="0.25">
      <c r="A481" s="24" t="s">
        <v>23</v>
      </c>
      <c r="B481" s="24" t="s">
        <v>24</v>
      </c>
      <c r="C481" s="24">
        <v>691167</v>
      </c>
      <c r="D481" s="24" t="s">
        <v>1194</v>
      </c>
      <c r="E481" s="24" t="s">
        <v>1195</v>
      </c>
      <c r="F481" s="24" t="s">
        <v>1112</v>
      </c>
      <c r="G481" s="24" t="s">
        <v>28</v>
      </c>
      <c r="H481" s="24">
        <v>287.71800000000002</v>
      </c>
      <c r="I481" s="24">
        <v>2.9950000000000001</v>
      </c>
      <c r="J481" s="24">
        <v>95.272999999999996</v>
      </c>
      <c r="K481" s="24" t="s">
        <v>21</v>
      </c>
      <c r="L481" s="24" t="s">
        <v>21</v>
      </c>
      <c r="M481" s="24" t="s">
        <v>47</v>
      </c>
      <c r="N481" s="24">
        <v>45539</v>
      </c>
      <c r="O481" s="24" t="s">
        <v>21</v>
      </c>
    </row>
    <row r="482" spans="1:15" x14ac:dyDescent="0.25">
      <c r="A482" s="24" t="s">
        <v>777</v>
      </c>
      <c r="B482" s="24" t="s">
        <v>778</v>
      </c>
      <c r="C482" s="24">
        <v>206495</v>
      </c>
      <c r="D482" s="24" t="s">
        <v>1196</v>
      </c>
      <c r="E482" s="24" t="s">
        <v>1195</v>
      </c>
      <c r="F482" s="24" t="s">
        <v>1112</v>
      </c>
      <c r="G482" s="24" t="s">
        <v>812</v>
      </c>
      <c r="H482" s="24">
        <v>343.94130000000001</v>
      </c>
      <c r="I482" s="24">
        <v>2.2151800000000001</v>
      </c>
      <c r="J482" s="24">
        <v>167.75</v>
      </c>
      <c r="K482" s="24" t="s">
        <v>21</v>
      </c>
      <c r="L482" s="24" t="s">
        <v>21</v>
      </c>
      <c r="M482" s="24" t="s">
        <v>47</v>
      </c>
      <c r="N482" s="24">
        <v>45540</v>
      </c>
      <c r="O482" s="24" t="s">
        <v>21</v>
      </c>
    </row>
    <row r="483" spans="1:15" x14ac:dyDescent="0.25">
      <c r="A483" s="24" t="s">
        <v>15</v>
      </c>
      <c r="B483" s="24" t="s">
        <v>16</v>
      </c>
      <c r="C483" s="24">
        <v>98267</v>
      </c>
      <c r="D483" s="24" t="s">
        <v>1197</v>
      </c>
      <c r="E483" s="24" t="s">
        <v>1198</v>
      </c>
      <c r="F483" s="24" t="s">
        <v>1199</v>
      </c>
      <c r="G483" s="24" t="s">
        <v>71</v>
      </c>
      <c r="H483" s="24">
        <v>211.92</v>
      </c>
      <c r="I483" s="24">
        <v>0.9</v>
      </c>
      <c r="J483" s="24">
        <v>90.08</v>
      </c>
      <c r="K483" s="24" t="s">
        <v>21</v>
      </c>
      <c r="L483" s="24" t="s">
        <v>21</v>
      </c>
      <c r="M483" s="24" t="s">
        <v>47</v>
      </c>
      <c r="N483" s="24">
        <v>45541</v>
      </c>
      <c r="O483" s="24" t="s">
        <v>21</v>
      </c>
    </row>
    <row r="484" spans="1:15" x14ac:dyDescent="0.25">
      <c r="A484" s="24" t="s">
        <v>23</v>
      </c>
      <c r="B484" s="24" t="s">
        <v>24</v>
      </c>
      <c r="C484" s="24">
        <v>702496</v>
      </c>
      <c r="D484" s="24" t="s">
        <v>1200</v>
      </c>
      <c r="E484" s="24" t="s">
        <v>1198</v>
      </c>
      <c r="F484" s="24" t="s">
        <v>280</v>
      </c>
      <c r="G484" s="24" t="s">
        <v>28</v>
      </c>
      <c r="H484" s="24">
        <v>406.34500000000003</v>
      </c>
      <c r="I484" s="24">
        <v>5.5309999999999997</v>
      </c>
      <c r="J484" s="24">
        <v>64.498999999999995</v>
      </c>
      <c r="K484" s="24" t="s">
        <v>21</v>
      </c>
      <c r="L484" s="24" t="s">
        <v>21</v>
      </c>
      <c r="M484" s="24" t="s">
        <v>47</v>
      </c>
      <c r="N484" s="24">
        <v>45541</v>
      </c>
      <c r="O484" s="24" t="s">
        <v>21</v>
      </c>
    </row>
    <row r="485" spans="1:15" x14ac:dyDescent="0.25">
      <c r="A485" s="24" t="s">
        <v>169</v>
      </c>
      <c r="B485" s="24" t="s">
        <v>16</v>
      </c>
      <c r="C485" s="24">
        <v>415555</v>
      </c>
      <c r="D485" s="24" t="s">
        <v>1201</v>
      </c>
      <c r="E485" s="24" t="s">
        <v>1198</v>
      </c>
      <c r="F485" s="24" t="s">
        <v>55</v>
      </c>
      <c r="G485" s="24" t="s">
        <v>389</v>
      </c>
      <c r="H485" s="24">
        <v>1284.5406</v>
      </c>
      <c r="I485" s="24">
        <v>8.9973700000000001</v>
      </c>
      <c r="J485" s="24">
        <v>73.400000000000006</v>
      </c>
      <c r="K485" s="24" t="s">
        <v>21</v>
      </c>
      <c r="L485" s="24" t="s">
        <v>21</v>
      </c>
      <c r="M485" s="24" t="s">
        <v>47</v>
      </c>
      <c r="N485" s="24">
        <v>45545</v>
      </c>
      <c r="O485" s="24" t="s">
        <v>21</v>
      </c>
    </row>
    <row r="486" spans="1:15" x14ac:dyDescent="0.25">
      <c r="A486" s="24" t="s">
        <v>777</v>
      </c>
      <c r="B486" s="24" t="s">
        <v>778</v>
      </c>
      <c r="C486" s="24">
        <v>696460</v>
      </c>
      <c r="D486" s="24" t="s">
        <v>1202</v>
      </c>
      <c r="E486" s="24" t="s">
        <v>1203</v>
      </c>
      <c r="F486" s="24" t="s">
        <v>37</v>
      </c>
      <c r="G486" s="24" t="s">
        <v>812</v>
      </c>
      <c r="H486" s="24">
        <v>306.5204</v>
      </c>
      <c r="I486" s="24">
        <v>3.7764000000000002</v>
      </c>
      <c r="J486" s="24">
        <v>74.550000000000011</v>
      </c>
      <c r="K486" s="24" t="s">
        <v>21</v>
      </c>
      <c r="L486" s="24" t="s">
        <v>21</v>
      </c>
      <c r="M486" s="24" t="s">
        <v>47</v>
      </c>
      <c r="N486" s="24">
        <v>45546</v>
      </c>
      <c r="O486" s="24" t="s">
        <v>21</v>
      </c>
    </row>
    <row r="487" spans="1:15" x14ac:dyDescent="0.25">
      <c r="A487" s="24" t="s">
        <v>84</v>
      </c>
      <c r="B487" s="24" t="s">
        <v>24</v>
      </c>
      <c r="C487" s="24">
        <v>581016</v>
      </c>
      <c r="D487" s="24" t="s">
        <v>1204</v>
      </c>
      <c r="E487" s="24" t="s">
        <v>1205</v>
      </c>
      <c r="F487" s="24" t="s">
        <v>468</v>
      </c>
      <c r="G487" s="24" t="s">
        <v>28</v>
      </c>
      <c r="H487" s="24">
        <v>640.6</v>
      </c>
      <c r="I487" s="24">
        <v>8.8879999999999999</v>
      </c>
      <c r="J487" s="24">
        <v>70.995000000000005</v>
      </c>
      <c r="K487" s="24" t="s">
        <v>21</v>
      </c>
      <c r="L487" s="24" t="s">
        <v>21</v>
      </c>
      <c r="M487" s="24" t="s">
        <v>47</v>
      </c>
      <c r="N487" s="24">
        <v>45548</v>
      </c>
      <c r="O487" s="24" t="s">
        <v>21</v>
      </c>
    </row>
    <row r="488" spans="1:15" x14ac:dyDescent="0.25">
      <c r="A488" s="24" t="s">
        <v>169</v>
      </c>
      <c r="B488" s="24" t="s">
        <v>16</v>
      </c>
      <c r="C488" s="24">
        <v>415555</v>
      </c>
      <c r="D488" s="24" t="s">
        <v>1201</v>
      </c>
      <c r="E488" s="24" t="s">
        <v>1206</v>
      </c>
      <c r="F488" s="24" t="s">
        <v>206</v>
      </c>
      <c r="G488" s="24" t="s">
        <v>1207</v>
      </c>
      <c r="H488" s="24">
        <v>389.15559999999999</v>
      </c>
      <c r="I488" s="24">
        <v>5.1203500000000002</v>
      </c>
      <c r="J488" s="24">
        <v>56.316666666666663</v>
      </c>
      <c r="K488" s="24" t="s">
        <v>21</v>
      </c>
      <c r="L488" s="24" t="s">
        <v>21</v>
      </c>
      <c r="M488" s="24" t="s">
        <v>47</v>
      </c>
      <c r="N488" s="24">
        <v>45548</v>
      </c>
      <c r="O488" s="24" t="s">
        <v>21</v>
      </c>
    </row>
    <row r="489" spans="1:15" x14ac:dyDescent="0.25">
      <c r="A489" s="24" t="s">
        <v>777</v>
      </c>
      <c r="B489" s="24" t="s">
        <v>778</v>
      </c>
      <c r="C489" s="24">
        <v>674769</v>
      </c>
      <c r="D489" s="24" t="s">
        <v>1208</v>
      </c>
      <c r="E489" s="24" t="s">
        <v>1209</v>
      </c>
      <c r="F489" s="24" t="s">
        <v>288</v>
      </c>
      <c r="G489" s="24" t="s">
        <v>812</v>
      </c>
      <c r="H489" s="24">
        <v>261.30430000000001</v>
      </c>
      <c r="I489" s="24">
        <v>3.7431899999999998</v>
      </c>
      <c r="J489" s="24">
        <v>93.6</v>
      </c>
      <c r="K489" s="24" t="s">
        <v>21</v>
      </c>
      <c r="L489" s="24" t="s">
        <v>21</v>
      </c>
      <c r="M489" s="24" t="s">
        <v>47</v>
      </c>
      <c r="N489" s="24">
        <v>45558</v>
      </c>
      <c r="O489" s="24" t="s">
        <v>21</v>
      </c>
    </row>
    <row r="490" spans="1:15" x14ac:dyDescent="0.25">
      <c r="A490" s="24" t="s">
        <v>23</v>
      </c>
      <c r="B490" s="24" t="s">
        <v>24</v>
      </c>
      <c r="C490" s="24">
        <v>396850</v>
      </c>
      <c r="D490" s="24" t="s">
        <v>1210</v>
      </c>
      <c r="E490" s="24" t="s">
        <v>1211</v>
      </c>
      <c r="F490" s="24" t="s">
        <v>998</v>
      </c>
      <c r="G490" s="24" t="s">
        <v>28</v>
      </c>
      <c r="H490" s="24">
        <v>956.07299999999998</v>
      </c>
      <c r="I490" s="24">
        <v>13.815</v>
      </c>
      <c r="J490" s="24">
        <v>194.70099999999999</v>
      </c>
      <c r="K490" s="24" t="s">
        <v>21</v>
      </c>
      <c r="L490" s="24" t="s">
        <v>21</v>
      </c>
      <c r="M490" s="24" t="s">
        <v>47</v>
      </c>
      <c r="N490" s="24">
        <v>45565</v>
      </c>
      <c r="O490" s="24" t="s">
        <v>21</v>
      </c>
    </row>
    <row r="491" spans="1:15" x14ac:dyDescent="0.25">
      <c r="A491" s="24" t="s">
        <v>169</v>
      </c>
      <c r="B491" s="24" t="s">
        <v>16</v>
      </c>
      <c r="C491" s="24">
        <v>703774</v>
      </c>
      <c r="D491" s="24" t="s">
        <v>1212</v>
      </c>
      <c r="E491" s="24" t="s">
        <v>1213</v>
      </c>
      <c r="F491" s="24" t="s">
        <v>520</v>
      </c>
      <c r="G491" s="24" t="s">
        <v>248</v>
      </c>
      <c r="H491" s="24">
        <v>88.799199999999999</v>
      </c>
      <c r="I491" s="24">
        <v>1.0538400000000001</v>
      </c>
      <c r="J491" s="24">
        <v>78.816666666666663</v>
      </c>
      <c r="K491" s="24" t="s">
        <v>21</v>
      </c>
      <c r="L491" s="24" t="s">
        <v>21</v>
      </c>
      <c r="M491" s="24" t="s">
        <v>47</v>
      </c>
      <c r="N491" s="24">
        <v>45565</v>
      </c>
      <c r="O491" s="24" t="s">
        <v>21</v>
      </c>
    </row>
    <row r="492" spans="1:15" x14ac:dyDescent="0.25">
      <c r="A492" s="24" t="s">
        <v>15</v>
      </c>
      <c r="B492" s="24" t="s">
        <v>16</v>
      </c>
      <c r="C492" s="24">
        <v>244167</v>
      </c>
      <c r="D492" s="24" t="s">
        <v>1214</v>
      </c>
      <c r="E492" s="24" t="s">
        <v>1215</v>
      </c>
      <c r="F492" s="24" t="s">
        <v>1216</v>
      </c>
      <c r="G492" s="24" t="s">
        <v>1048</v>
      </c>
      <c r="H492" s="24">
        <v>541.78</v>
      </c>
      <c r="I492" s="24">
        <v>1.1100000000000001</v>
      </c>
      <c r="J492" s="24">
        <v>68.599999999999994</v>
      </c>
      <c r="K492" s="24" t="s">
        <v>21</v>
      </c>
      <c r="L492" s="24" t="s">
        <v>21</v>
      </c>
      <c r="M492" s="24" t="s">
        <v>47</v>
      </c>
      <c r="N492" s="24">
        <v>45567</v>
      </c>
      <c r="O492" s="24" t="s">
        <v>21</v>
      </c>
    </row>
    <row r="493" spans="1:15" x14ac:dyDescent="0.25">
      <c r="A493" s="24" t="s">
        <v>32</v>
      </c>
      <c r="B493" s="24" t="s">
        <v>24</v>
      </c>
      <c r="C493" s="24">
        <v>555455</v>
      </c>
      <c r="D493" s="24" t="s">
        <v>1217</v>
      </c>
      <c r="E493" s="24" t="s">
        <v>1218</v>
      </c>
      <c r="F493" s="24" t="s">
        <v>320</v>
      </c>
      <c r="G493" s="24" t="s">
        <v>28</v>
      </c>
      <c r="H493" s="24">
        <v>332.70299999999997</v>
      </c>
      <c r="I493" s="24">
        <v>5.2859999999999996</v>
      </c>
      <c r="J493" s="24">
        <v>42.191000000000003</v>
      </c>
      <c r="K493" s="24" t="s">
        <v>21</v>
      </c>
      <c r="L493" s="24" t="s">
        <v>21</v>
      </c>
      <c r="M493" s="24" t="s">
        <v>47</v>
      </c>
      <c r="N493" s="24">
        <v>45567</v>
      </c>
      <c r="O493" s="24" t="s">
        <v>21</v>
      </c>
    </row>
    <row r="494" spans="1:15" x14ac:dyDescent="0.25">
      <c r="A494" s="24" t="s">
        <v>23</v>
      </c>
      <c r="B494" s="24" t="s">
        <v>24</v>
      </c>
      <c r="C494" s="24">
        <v>6923330</v>
      </c>
      <c r="D494" s="24" t="s">
        <v>1219</v>
      </c>
      <c r="E494" s="24" t="s">
        <v>1218</v>
      </c>
      <c r="F494" s="24" t="s">
        <v>222</v>
      </c>
      <c r="G494" s="24" t="s">
        <v>28</v>
      </c>
      <c r="H494" s="24">
        <v>348.98899999999998</v>
      </c>
      <c r="I494" s="24">
        <v>4.6559999999999997</v>
      </c>
      <c r="J494" s="24">
        <v>118.05800000000001</v>
      </c>
      <c r="K494" s="24" t="s">
        <v>21</v>
      </c>
      <c r="L494" s="24" t="s">
        <v>21</v>
      </c>
      <c r="M494" s="24" t="s">
        <v>47</v>
      </c>
      <c r="N494" s="25">
        <v>45569</v>
      </c>
      <c r="O494" s="24" t="s">
        <v>21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T210"/>
  <sheetViews>
    <sheetView showGridLines="0" zoomScale="85" zoomScaleNormal="85" workbookViewId="0"/>
  </sheetViews>
  <sheetFormatPr baseColWidth="10" defaultRowHeight="15" x14ac:dyDescent="0.25"/>
  <cols>
    <col min="1" max="1" width="24.85546875" style="24" bestFit="1" customWidth="1"/>
    <col min="2" max="2" width="12.140625" style="24" bestFit="1" customWidth="1"/>
    <col min="3" max="3" width="14.5703125" style="24" bestFit="1" customWidth="1"/>
    <col min="4" max="4" width="37.5703125" style="24" customWidth="1"/>
    <col min="5" max="6" width="15.7109375" style="24" bestFit="1" customWidth="1"/>
    <col min="7" max="7" width="59.28515625" style="24" customWidth="1"/>
    <col min="8" max="9" width="11.42578125" style="24" customWidth="1"/>
    <col min="10" max="10" width="13.5703125" style="24" bestFit="1" customWidth="1"/>
    <col min="11" max="11" width="15.42578125" style="24" bestFit="1" customWidth="1"/>
    <col min="12" max="12" width="11.42578125" style="24" customWidth="1"/>
    <col min="13" max="13" width="25" style="24" bestFit="1" customWidth="1"/>
    <col min="14" max="14" width="14.140625" style="24" customWidth="1"/>
    <col min="15" max="15" width="13.42578125" style="24" bestFit="1" customWidth="1"/>
    <col min="17" max="17" width="11.42578125" style="29" customWidth="1"/>
    <col min="18" max="20" width="11.42578125" style="12" customWidth="1"/>
  </cols>
  <sheetData>
    <row r="1" spans="1:19" ht="46.5" customHeight="1" thickBot="1" x14ac:dyDescent="0.3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8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34" t="s">
        <v>1220</v>
      </c>
      <c r="Q1" s="35"/>
      <c r="R1" s="13" t="str">
        <f>IF((COUNTIF(K:K,"SÍ")+COUNTIF(L:L,"SÍ")+COUNTIF(L:L,"NO"))=0,"NO","SÍ")</f>
        <v>NO</v>
      </c>
      <c r="S1" s="11" t="s">
        <v>1221</v>
      </c>
    </row>
    <row r="2" spans="1:19" x14ac:dyDescent="0.25">
      <c r="A2" s="14" t="s">
        <v>777</v>
      </c>
      <c r="B2" s="14" t="s">
        <v>778</v>
      </c>
      <c r="C2" s="14" t="s">
        <v>1222</v>
      </c>
      <c r="D2" s="14"/>
      <c r="E2" s="27">
        <v>44929</v>
      </c>
      <c r="F2" s="28">
        <v>0.35880787037037037</v>
      </c>
      <c r="G2" s="14" t="s">
        <v>812</v>
      </c>
      <c r="H2" s="14">
        <v>15.808</v>
      </c>
      <c r="I2" s="14">
        <v>6.7349999999999993E-2</v>
      </c>
      <c r="J2" s="14">
        <v>10.65</v>
      </c>
      <c r="K2" s="14" t="s">
        <v>1223</v>
      </c>
    </row>
    <row r="3" spans="1:19" x14ac:dyDescent="0.25">
      <c r="A3" s="14" t="s">
        <v>777</v>
      </c>
      <c r="B3" s="14" t="s">
        <v>778</v>
      </c>
      <c r="C3" s="14" t="s">
        <v>1224</v>
      </c>
      <c r="D3" s="14"/>
      <c r="E3" s="27">
        <v>44931</v>
      </c>
      <c r="F3" s="28">
        <v>0.50318287037037035</v>
      </c>
      <c r="G3" s="14" t="s">
        <v>812</v>
      </c>
      <c r="H3" s="14">
        <v>166.1771</v>
      </c>
      <c r="I3" s="14">
        <v>0.77864999999999995</v>
      </c>
      <c r="J3" s="14">
        <v>13.55</v>
      </c>
      <c r="K3" s="14" t="s">
        <v>1223</v>
      </c>
    </row>
    <row r="4" spans="1:19" x14ac:dyDescent="0.25">
      <c r="A4" s="14" t="s">
        <v>777</v>
      </c>
      <c r="B4" s="14" t="s">
        <v>778</v>
      </c>
      <c r="C4" s="14" t="s">
        <v>1225</v>
      </c>
      <c r="D4" s="14"/>
      <c r="E4" s="27">
        <v>44936</v>
      </c>
      <c r="F4" s="28">
        <v>0.38376157407407407</v>
      </c>
      <c r="G4" s="14" t="s">
        <v>812</v>
      </c>
      <c r="H4" s="14">
        <v>277.10809999999998</v>
      </c>
      <c r="I4" s="14">
        <v>1.9670700000000001</v>
      </c>
      <c r="J4" s="14">
        <v>16.016666666666669</v>
      </c>
      <c r="K4" s="14" t="s">
        <v>1223</v>
      </c>
    </row>
    <row r="5" spans="1:19" x14ac:dyDescent="0.25">
      <c r="A5" s="14" t="s">
        <v>777</v>
      </c>
      <c r="B5" s="14" t="s">
        <v>778</v>
      </c>
      <c r="C5" s="14" t="s">
        <v>1226</v>
      </c>
      <c r="D5" s="14"/>
      <c r="E5" s="27">
        <v>44936</v>
      </c>
      <c r="F5" s="28">
        <v>0.50722222222222224</v>
      </c>
      <c r="G5" s="14" t="s">
        <v>812</v>
      </c>
      <c r="H5" s="14">
        <v>25.1754</v>
      </c>
      <c r="I5" s="14">
        <v>0.27660000000000001</v>
      </c>
      <c r="J5" s="14">
        <v>29.866666666666671</v>
      </c>
      <c r="K5" s="14" t="s">
        <v>1223</v>
      </c>
    </row>
    <row r="6" spans="1:19" x14ac:dyDescent="0.25">
      <c r="A6" s="14" t="s">
        <v>169</v>
      </c>
      <c r="B6" s="14" t="s">
        <v>1227</v>
      </c>
      <c r="C6" s="14" t="s">
        <v>1228</v>
      </c>
      <c r="D6" s="14"/>
      <c r="E6" s="27">
        <v>44942</v>
      </c>
      <c r="F6" s="28">
        <v>0.4100462962962963</v>
      </c>
      <c r="G6" s="14" t="s">
        <v>331</v>
      </c>
      <c r="H6" s="14">
        <v>51.941699999999997</v>
      </c>
      <c r="I6" s="14">
        <v>0.25735000000000002</v>
      </c>
      <c r="J6" s="14">
        <v>12.06666666666667</v>
      </c>
      <c r="K6" s="14" t="s">
        <v>1223</v>
      </c>
    </row>
    <row r="7" spans="1:19" x14ac:dyDescent="0.25">
      <c r="A7" s="14" t="s">
        <v>169</v>
      </c>
      <c r="B7" s="14" t="s">
        <v>1227</v>
      </c>
      <c r="C7" s="14" t="s">
        <v>1229</v>
      </c>
      <c r="D7" s="14"/>
      <c r="E7" s="27">
        <v>44942</v>
      </c>
      <c r="F7" s="28">
        <v>0.66160879629629632</v>
      </c>
      <c r="G7" s="14"/>
      <c r="H7" s="14">
        <v>348.46850000000012</v>
      </c>
      <c r="I7" s="14">
        <v>1.7743</v>
      </c>
      <c r="J7" s="14">
        <v>11.366666666666671</v>
      </c>
      <c r="K7" s="14" t="s">
        <v>1223</v>
      </c>
    </row>
    <row r="8" spans="1:19" x14ac:dyDescent="0.25">
      <c r="A8" s="14" t="s">
        <v>169</v>
      </c>
      <c r="B8" s="14" t="s">
        <v>1227</v>
      </c>
      <c r="C8" s="14" t="s">
        <v>1230</v>
      </c>
      <c r="D8" s="14"/>
      <c r="E8" s="27">
        <v>44943</v>
      </c>
      <c r="F8" s="28">
        <v>0.40721064814814822</v>
      </c>
      <c r="G8" s="14" t="s">
        <v>1231</v>
      </c>
      <c r="H8" s="14">
        <v>103.4106</v>
      </c>
      <c r="I8" s="14">
        <v>0.53825000000000001</v>
      </c>
      <c r="J8" s="14">
        <v>23.5</v>
      </c>
      <c r="K8" s="14" t="s">
        <v>1223</v>
      </c>
    </row>
    <row r="9" spans="1:19" x14ac:dyDescent="0.25">
      <c r="A9" s="14" t="s">
        <v>169</v>
      </c>
      <c r="B9" s="14" t="s">
        <v>1227</v>
      </c>
      <c r="C9" s="14" t="s">
        <v>1232</v>
      </c>
      <c r="D9" s="14"/>
      <c r="E9" s="27">
        <v>44944</v>
      </c>
      <c r="F9" s="28">
        <v>0.41643518518518519</v>
      </c>
      <c r="G9" s="14" t="s">
        <v>331</v>
      </c>
      <c r="H9" s="14">
        <v>127.99930000000001</v>
      </c>
      <c r="I9" s="14">
        <v>0.87475999999999998</v>
      </c>
      <c r="J9" s="14">
        <v>36.799999999999997</v>
      </c>
      <c r="K9" s="14" t="s">
        <v>1223</v>
      </c>
    </row>
    <row r="10" spans="1:19" x14ac:dyDescent="0.25">
      <c r="A10" s="14" t="s">
        <v>169</v>
      </c>
      <c r="B10" s="14" t="s">
        <v>1227</v>
      </c>
      <c r="C10" s="14" t="s">
        <v>1233</v>
      </c>
      <c r="D10" s="14"/>
      <c r="E10" s="27">
        <v>44945</v>
      </c>
      <c r="F10" s="28">
        <v>0.40332175925925928</v>
      </c>
      <c r="G10" s="14" t="s">
        <v>331</v>
      </c>
      <c r="H10" s="14">
        <v>65.168599999999998</v>
      </c>
      <c r="I10" s="14">
        <v>0.55651000000000006</v>
      </c>
      <c r="J10" s="14">
        <v>15.7</v>
      </c>
      <c r="K10" s="14" t="s">
        <v>1223</v>
      </c>
    </row>
    <row r="11" spans="1:19" x14ac:dyDescent="0.25">
      <c r="A11" s="14" t="s">
        <v>169</v>
      </c>
      <c r="B11" s="14" t="s">
        <v>1227</v>
      </c>
      <c r="C11" s="14" t="s">
        <v>1234</v>
      </c>
      <c r="D11" s="14"/>
      <c r="E11" s="27">
        <v>44949</v>
      </c>
      <c r="F11" s="28">
        <v>0.36659722222222219</v>
      </c>
      <c r="G11" s="14" t="s">
        <v>314</v>
      </c>
      <c r="H11" s="14">
        <v>102.6807</v>
      </c>
      <c r="I11" s="14">
        <v>0.95177999999999996</v>
      </c>
      <c r="J11" s="14">
        <v>66.400000000000006</v>
      </c>
      <c r="K11" s="14" t="s">
        <v>1223</v>
      </c>
    </row>
    <row r="12" spans="1:19" x14ac:dyDescent="0.25">
      <c r="A12" s="14" t="s">
        <v>169</v>
      </c>
      <c r="B12" s="14" t="s">
        <v>1227</v>
      </c>
      <c r="C12" s="14" t="s">
        <v>689</v>
      </c>
      <c r="D12" s="14"/>
      <c r="E12" s="27">
        <v>44949</v>
      </c>
      <c r="F12" s="28">
        <v>0.46709490740740739</v>
      </c>
      <c r="G12" s="14" t="s">
        <v>232</v>
      </c>
      <c r="H12" s="14">
        <v>161.31100000000001</v>
      </c>
      <c r="I12" s="14">
        <v>4.65306</v>
      </c>
      <c r="J12" s="14">
        <v>70.416666666666657</v>
      </c>
      <c r="K12" s="14" t="s">
        <v>1223</v>
      </c>
    </row>
    <row r="13" spans="1:19" x14ac:dyDescent="0.25">
      <c r="A13" s="14" t="s">
        <v>169</v>
      </c>
      <c r="B13" s="14" t="s">
        <v>1227</v>
      </c>
      <c r="C13" s="14" t="s">
        <v>715</v>
      </c>
      <c r="D13" s="14"/>
      <c r="E13" s="27">
        <v>44950</v>
      </c>
      <c r="F13" s="28">
        <v>0.38131944444444438</v>
      </c>
      <c r="G13" s="14" t="s">
        <v>232</v>
      </c>
      <c r="H13" s="14">
        <v>226.9391</v>
      </c>
      <c r="I13" s="14">
        <v>3.2381000000000002</v>
      </c>
      <c r="J13" s="14">
        <v>95.516666666666666</v>
      </c>
      <c r="K13" s="14" t="s">
        <v>1223</v>
      </c>
    </row>
    <row r="14" spans="1:19" x14ac:dyDescent="0.25">
      <c r="A14" s="14" t="s">
        <v>169</v>
      </c>
      <c r="B14" s="14" t="s">
        <v>1227</v>
      </c>
      <c r="C14" s="14" t="s">
        <v>1235</v>
      </c>
      <c r="D14" s="14"/>
      <c r="E14" s="27">
        <v>44951</v>
      </c>
      <c r="F14" s="28">
        <v>0.40850694444444452</v>
      </c>
      <c r="G14" s="14" t="s">
        <v>331</v>
      </c>
      <c r="H14" s="14">
        <v>132.6908</v>
      </c>
      <c r="I14" s="14">
        <v>0.88800000000000012</v>
      </c>
      <c r="J14" s="14">
        <v>49.2</v>
      </c>
      <c r="K14" s="14" t="s">
        <v>1223</v>
      </c>
    </row>
    <row r="15" spans="1:19" x14ac:dyDescent="0.25">
      <c r="A15" s="14" t="s">
        <v>169</v>
      </c>
      <c r="B15" s="14" t="s">
        <v>1227</v>
      </c>
      <c r="C15" s="14" t="s">
        <v>1236</v>
      </c>
      <c r="D15" s="14"/>
      <c r="E15" s="27">
        <v>44951</v>
      </c>
      <c r="F15" s="28">
        <v>0.76142361111111112</v>
      </c>
      <c r="G15" s="14" t="s">
        <v>174</v>
      </c>
      <c r="H15" s="14">
        <v>76.114100000000008</v>
      </c>
      <c r="I15" s="14">
        <v>0.68724000000000007</v>
      </c>
      <c r="J15" s="14">
        <v>29.333333333333339</v>
      </c>
      <c r="K15" s="14" t="s">
        <v>1223</v>
      </c>
    </row>
    <row r="16" spans="1:19" x14ac:dyDescent="0.25">
      <c r="A16" s="14" t="s">
        <v>169</v>
      </c>
      <c r="B16" s="14" t="s">
        <v>1227</v>
      </c>
      <c r="C16" s="14" t="s">
        <v>1237</v>
      </c>
      <c r="D16" s="14"/>
      <c r="E16" s="27">
        <v>44951</v>
      </c>
      <c r="F16" s="28">
        <v>0.8027199074074074</v>
      </c>
      <c r="G16" s="14" t="s">
        <v>174</v>
      </c>
      <c r="H16" s="14">
        <v>67.571200000000005</v>
      </c>
      <c r="I16" s="14">
        <v>0.51122000000000001</v>
      </c>
      <c r="J16" s="14">
        <v>30.383333333333329</v>
      </c>
      <c r="K16" s="14" t="s">
        <v>1223</v>
      </c>
    </row>
    <row r="17" spans="1:11" x14ac:dyDescent="0.25">
      <c r="A17" s="14" t="s">
        <v>169</v>
      </c>
      <c r="B17" s="14" t="s">
        <v>1227</v>
      </c>
      <c r="C17" s="14" t="s">
        <v>1238</v>
      </c>
      <c r="D17" s="14"/>
      <c r="E17" s="27">
        <v>44954</v>
      </c>
      <c r="F17" s="28">
        <v>0.23883101851851851</v>
      </c>
      <c r="G17" s="14" t="s">
        <v>174</v>
      </c>
      <c r="H17" s="14">
        <v>89.656500000000008</v>
      </c>
      <c r="I17" s="14">
        <v>0.80369999999999997</v>
      </c>
      <c r="J17" s="14">
        <v>11.5</v>
      </c>
      <c r="K17" s="14" t="s">
        <v>1223</v>
      </c>
    </row>
    <row r="18" spans="1:11" x14ac:dyDescent="0.25">
      <c r="A18" s="14" t="s">
        <v>169</v>
      </c>
      <c r="B18" s="14" t="s">
        <v>1227</v>
      </c>
      <c r="C18" s="14" t="s">
        <v>1239</v>
      </c>
      <c r="D18" s="14"/>
      <c r="E18" s="27">
        <v>44958</v>
      </c>
      <c r="F18" s="28">
        <v>0.40202546296296299</v>
      </c>
      <c r="G18" s="14" t="s">
        <v>331</v>
      </c>
      <c r="H18" s="14">
        <v>98.071100000000001</v>
      </c>
      <c r="I18" s="14">
        <v>0.72465000000000002</v>
      </c>
      <c r="J18" s="14">
        <v>104.3833333333333</v>
      </c>
      <c r="K18" s="14" t="s">
        <v>1223</v>
      </c>
    </row>
    <row r="19" spans="1:11" x14ac:dyDescent="0.25">
      <c r="A19" s="14" t="s">
        <v>144</v>
      </c>
      <c r="B19" s="14" t="s">
        <v>24</v>
      </c>
      <c r="C19" s="14" t="s">
        <v>1240</v>
      </c>
      <c r="D19" s="14"/>
      <c r="E19" s="32">
        <v>45524</v>
      </c>
      <c r="F19" s="33">
        <v>0.35445601851851849</v>
      </c>
      <c r="G19" s="14"/>
      <c r="H19" s="14">
        <v>60.495100000000001</v>
      </c>
      <c r="I19" s="14">
        <v>0.77328999999999992</v>
      </c>
      <c r="J19" s="14">
        <v>10.96666666666667</v>
      </c>
      <c r="K19" s="14" t="s">
        <v>1223</v>
      </c>
    </row>
    <row r="20" spans="1:11" x14ac:dyDescent="0.25">
      <c r="A20" s="14"/>
      <c r="B20" s="14"/>
      <c r="C20" s="14"/>
      <c r="D20" s="14"/>
      <c r="E20" s="27"/>
      <c r="F20" s="28"/>
      <c r="G20" s="14"/>
      <c r="H20" s="14"/>
      <c r="I20" s="14"/>
      <c r="J20" s="14"/>
      <c r="K20" s="14"/>
    </row>
    <row r="21" spans="1:11" x14ac:dyDescent="0.25">
      <c r="A21" s="14"/>
      <c r="B21" s="14"/>
      <c r="C21" s="14"/>
      <c r="D21" s="14"/>
      <c r="E21" s="27"/>
      <c r="F21" s="28"/>
      <c r="G21" s="14"/>
      <c r="H21" s="14"/>
      <c r="I21" s="14"/>
      <c r="J21" s="14"/>
      <c r="K21" s="14"/>
    </row>
    <row r="22" spans="1:11" x14ac:dyDescent="0.25">
      <c r="A22" s="14"/>
      <c r="B22" s="14"/>
      <c r="C22" s="14"/>
      <c r="D22" s="14"/>
      <c r="E22" s="27"/>
      <c r="F22" s="28"/>
      <c r="G22" s="14"/>
      <c r="H22" s="14"/>
      <c r="I22" s="14"/>
      <c r="J22" s="14"/>
      <c r="K22" s="14"/>
    </row>
    <row r="23" spans="1:11" x14ac:dyDescent="0.25">
      <c r="A23" s="14"/>
      <c r="B23" s="14"/>
      <c r="C23" s="14"/>
      <c r="D23" s="14"/>
      <c r="E23" s="27"/>
      <c r="F23" s="28"/>
      <c r="G23" s="14"/>
      <c r="H23" s="14"/>
      <c r="I23" s="14"/>
      <c r="J23" s="14"/>
      <c r="K23" s="14"/>
    </row>
    <row r="24" spans="1:11" x14ac:dyDescent="0.25">
      <c r="A24" s="14"/>
      <c r="B24" s="14"/>
      <c r="C24" s="14"/>
      <c r="D24" s="14"/>
      <c r="E24" s="27"/>
      <c r="F24" s="28"/>
      <c r="G24" s="14"/>
      <c r="H24" s="14"/>
      <c r="I24" s="14"/>
      <c r="J24" s="14"/>
      <c r="K24" s="14"/>
    </row>
    <row r="25" spans="1:11" x14ac:dyDescent="0.25">
      <c r="A25" s="14"/>
      <c r="B25" s="14"/>
      <c r="C25" s="14"/>
      <c r="D25" s="14"/>
      <c r="E25" s="27"/>
      <c r="F25" s="28"/>
      <c r="G25" s="14"/>
      <c r="H25" s="14"/>
      <c r="I25" s="14"/>
      <c r="J25" s="14"/>
      <c r="K25" s="14"/>
    </row>
    <row r="26" spans="1:11" x14ac:dyDescent="0.25">
      <c r="A26" s="14"/>
      <c r="B26" s="14"/>
      <c r="C26" s="14"/>
      <c r="D26" s="14"/>
      <c r="E26" s="27"/>
      <c r="F26" s="28"/>
      <c r="G26" s="14"/>
      <c r="H26" s="14"/>
      <c r="I26" s="14"/>
      <c r="J26" s="14"/>
      <c r="K26" s="14"/>
    </row>
    <row r="27" spans="1:11" x14ac:dyDescent="0.25">
      <c r="A27" s="14"/>
    </row>
    <row r="28" spans="1:11" x14ac:dyDescent="0.25">
      <c r="A28" s="14"/>
      <c r="B28" s="14"/>
      <c r="C28" s="14"/>
      <c r="D28" s="14"/>
      <c r="E28" s="27"/>
      <c r="F28" s="28"/>
      <c r="G28" s="14"/>
      <c r="H28" s="14"/>
      <c r="I28" s="14"/>
      <c r="J28" s="14"/>
      <c r="K28" s="14"/>
    </row>
    <row r="29" spans="1:11" x14ac:dyDescent="0.25">
      <c r="A29" s="14"/>
      <c r="B29" s="14"/>
      <c r="C29" s="14"/>
      <c r="D29" s="14"/>
      <c r="E29" s="27"/>
      <c r="F29" s="28"/>
      <c r="G29" s="14"/>
      <c r="H29" s="14"/>
      <c r="I29" s="14"/>
      <c r="J29" s="14"/>
      <c r="K29" s="14"/>
    </row>
    <row r="30" spans="1:11" x14ac:dyDescent="0.25">
      <c r="A30" s="14"/>
    </row>
    <row r="31" spans="1:11" x14ac:dyDescent="0.25">
      <c r="A31" s="14"/>
      <c r="B31" s="14"/>
      <c r="C31" s="14"/>
      <c r="D31" s="14"/>
      <c r="E31" s="27"/>
      <c r="F31" s="28"/>
      <c r="G31" s="14"/>
      <c r="H31" s="14"/>
      <c r="I31" s="14"/>
      <c r="J31" s="14"/>
      <c r="K31" s="14"/>
    </row>
    <row r="32" spans="1:11" x14ac:dyDescent="0.25">
      <c r="A32" s="14"/>
    </row>
    <row r="33" spans="1:11" x14ac:dyDescent="0.25">
      <c r="A33" s="14"/>
    </row>
    <row r="34" spans="1:11" x14ac:dyDescent="0.25">
      <c r="A34" s="14"/>
    </row>
    <row r="35" spans="1:11" x14ac:dyDescent="0.25">
      <c r="A35" s="14"/>
      <c r="B35" s="14"/>
      <c r="C35" s="14"/>
      <c r="D35" s="14"/>
      <c r="E35" s="27"/>
      <c r="F35" s="28"/>
      <c r="G35" s="14"/>
      <c r="H35" s="14"/>
      <c r="I35" s="14"/>
      <c r="J35" s="14"/>
      <c r="K35" s="14"/>
    </row>
    <row r="36" spans="1:11" x14ac:dyDescent="0.25">
      <c r="A36" s="14"/>
    </row>
    <row r="37" spans="1:11" x14ac:dyDescent="0.25">
      <c r="A37" s="14"/>
    </row>
    <row r="38" spans="1:11" x14ac:dyDescent="0.25">
      <c r="A38" s="14"/>
    </row>
    <row r="39" spans="1:11" x14ac:dyDescent="0.25">
      <c r="A39" s="14"/>
    </row>
    <row r="40" spans="1:11" x14ac:dyDescent="0.25">
      <c r="A40" s="14"/>
      <c r="B40" s="14"/>
      <c r="C40" s="14"/>
      <c r="D40" s="14"/>
      <c r="E40" s="27"/>
      <c r="F40" s="28"/>
      <c r="G40" s="14"/>
      <c r="H40" s="14"/>
      <c r="I40" s="14"/>
      <c r="J40" s="14"/>
      <c r="K40" s="14"/>
    </row>
    <row r="41" spans="1:11" x14ac:dyDescent="0.25">
      <c r="A41" s="14"/>
    </row>
    <row r="42" spans="1:11" x14ac:dyDescent="0.25">
      <c r="A42" s="14"/>
    </row>
    <row r="43" spans="1:11" x14ac:dyDescent="0.25">
      <c r="A43" s="14"/>
    </row>
    <row r="44" spans="1:11" x14ac:dyDescent="0.25">
      <c r="A44" s="14"/>
      <c r="B44" s="14"/>
      <c r="C44" s="14"/>
      <c r="D44" s="14"/>
      <c r="E44" s="27"/>
      <c r="F44" s="28"/>
      <c r="G44" s="14"/>
      <c r="H44" s="14"/>
      <c r="I44" s="14"/>
      <c r="J44" s="14"/>
      <c r="K44" s="14"/>
    </row>
    <row r="45" spans="1:11" x14ac:dyDescent="0.25">
      <c r="A45" s="14"/>
    </row>
    <row r="46" spans="1:11" x14ac:dyDescent="0.25">
      <c r="A46" s="14"/>
    </row>
    <row r="47" spans="1:11" x14ac:dyDescent="0.25">
      <c r="A47" s="14"/>
    </row>
    <row r="48" spans="1:1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  <row r="83" spans="1:1" x14ac:dyDescent="0.25">
      <c r="A83" s="14"/>
    </row>
    <row r="84" spans="1:1" x14ac:dyDescent="0.25">
      <c r="A84" s="14"/>
    </row>
    <row r="85" spans="1:1" x14ac:dyDescent="0.25">
      <c r="A85" s="14"/>
    </row>
    <row r="86" spans="1:1" x14ac:dyDescent="0.25">
      <c r="A86" s="14"/>
    </row>
    <row r="87" spans="1:1" x14ac:dyDescent="0.25">
      <c r="A87" s="14"/>
    </row>
    <row r="88" spans="1:1" x14ac:dyDescent="0.25">
      <c r="A88" s="14"/>
    </row>
    <row r="89" spans="1:1" x14ac:dyDescent="0.25">
      <c r="A89" s="14"/>
    </row>
    <row r="90" spans="1:1" x14ac:dyDescent="0.25">
      <c r="A90" s="14"/>
    </row>
    <row r="91" spans="1:1" x14ac:dyDescent="0.25">
      <c r="A91" s="14"/>
    </row>
    <row r="92" spans="1:1" x14ac:dyDescent="0.25">
      <c r="A92" s="14"/>
    </row>
    <row r="93" spans="1:1" x14ac:dyDescent="0.25">
      <c r="A93" s="14"/>
    </row>
    <row r="94" spans="1:1" x14ac:dyDescent="0.25">
      <c r="A94" s="14"/>
    </row>
    <row r="95" spans="1:1" x14ac:dyDescent="0.25">
      <c r="A95" s="14"/>
    </row>
    <row r="96" spans="1:1" x14ac:dyDescent="0.25">
      <c r="A96" s="14"/>
    </row>
    <row r="97" spans="1:1" x14ac:dyDescent="0.25">
      <c r="A97" s="14"/>
    </row>
    <row r="98" spans="1:1" x14ac:dyDescent="0.25">
      <c r="A98" s="14"/>
    </row>
    <row r="99" spans="1:1" x14ac:dyDescent="0.25">
      <c r="A99" s="14"/>
    </row>
    <row r="100" spans="1:1" x14ac:dyDescent="0.25">
      <c r="A100" s="14"/>
    </row>
    <row r="101" spans="1:1" x14ac:dyDescent="0.25">
      <c r="A101" s="14"/>
    </row>
    <row r="102" spans="1:1" x14ac:dyDescent="0.25">
      <c r="A102" s="14"/>
    </row>
    <row r="103" spans="1:1" x14ac:dyDescent="0.25">
      <c r="A103" s="14"/>
    </row>
    <row r="104" spans="1:1" x14ac:dyDescent="0.25">
      <c r="A104" s="14"/>
    </row>
    <row r="105" spans="1:1" x14ac:dyDescent="0.25">
      <c r="A105" s="14"/>
    </row>
    <row r="106" spans="1:1" x14ac:dyDescent="0.25">
      <c r="A106" s="14"/>
    </row>
    <row r="107" spans="1:1" x14ac:dyDescent="0.25">
      <c r="A107" s="14"/>
    </row>
    <row r="108" spans="1:1" x14ac:dyDescent="0.25">
      <c r="A108" s="14"/>
    </row>
    <row r="109" spans="1:1" x14ac:dyDescent="0.25">
      <c r="A109" s="14"/>
    </row>
    <row r="110" spans="1:1" x14ac:dyDescent="0.25">
      <c r="A110" s="14"/>
    </row>
    <row r="111" spans="1:1" x14ac:dyDescent="0.25">
      <c r="A111" s="14"/>
    </row>
    <row r="112" spans="1:1" x14ac:dyDescent="0.25">
      <c r="A112" s="14"/>
    </row>
    <row r="113" spans="1:11" x14ac:dyDescent="0.25">
      <c r="A113" s="14"/>
    </row>
    <row r="114" spans="1:11" x14ac:dyDescent="0.25">
      <c r="A114" s="14"/>
    </row>
    <row r="115" spans="1:11" x14ac:dyDescent="0.25">
      <c r="A115" s="14"/>
    </row>
    <row r="116" spans="1:11" x14ac:dyDescent="0.25">
      <c r="A116" s="14"/>
    </row>
    <row r="117" spans="1:11" x14ac:dyDescent="0.25">
      <c r="A117" s="14"/>
    </row>
    <row r="118" spans="1:11" x14ac:dyDescent="0.25">
      <c r="A118" s="14"/>
    </row>
    <row r="119" spans="1:11" x14ac:dyDescent="0.25">
      <c r="A119" s="14"/>
    </row>
    <row r="120" spans="1:11" x14ac:dyDescent="0.25">
      <c r="A120" s="14"/>
    </row>
    <row r="121" spans="1:11" x14ac:dyDescent="0.25">
      <c r="A121" s="14"/>
    </row>
    <row r="122" spans="1:11" x14ac:dyDescent="0.25">
      <c r="A122" s="14"/>
    </row>
    <row r="124" spans="1:11" x14ac:dyDescent="0.25">
      <c r="A124" s="14" t="s">
        <v>169</v>
      </c>
      <c r="B124" s="14" t="s">
        <v>1227</v>
      </c>
      <c r="C124" s="14" t="s">
        <v>1228</v>
      </c>
      <c r="D124" s="14"/>
      <c r="E124" s="27">
        <v>44942</v>
      </c>
      <c r="F124" s="28">
        <v>0.4100462962962963</v>
      </c>
      <c r="G124" s="14" t="s">
        <v>331</v>
      </c>
      <c r="H124" s="14">
        <v>51.941699999999997</v>
      </c>
      <c r="I124" s="14">
        <v>0.25735000000000002</v>
      </c>
      <c r="J124" s="14">
        <v>12.06666666666667</v>
      </c>
      <c r="K124" s="14" t="s">
        <v>1223</v>
      </c>
    </row>
    <row r="126" spans="1:11" x14ac:dyDescent="0.25">
      <c r="A126" s="14" t="s">
        <v>169</v>
      </c>
      <c r="B126" s="14" t="s">
        <v>1227</v>
      </c>
      <c r="C126" s="14" t="s">
        <v>1229</v>
      </c>
      <c r="D126" s="14"/>
      <c r="E126" s="27">
        <v>44942</v>
      </c>
      <c r="F126" s="28">
        <v>0.66160879629629632</v>
      </c>
      <c r="G126" s="14"/>
      <c r="H126" s="14">
        <v>348.46850000000012</v>
      </c>
      <c r="I126" s="14">
        <v>1.7743</v>
      </c>
      <c r="J126" s="14">
        <v>11.366666666666671</v>
      </c>
      <c r="K126" s="14" t="s">
        <v>1223</v>
      </c>
    </row>
    <row r="128" spans="1:11" x14ac:dyDescent="0.25">
      <c r="A128" s="14" t="s">
        <v>169</v>
      </c>
      <c r="B128" s="14" t="s">
        <v>1227</v>
      </c>
      <c r="C128" s="14" t="s">
        <v>1230</v>
      </c>
      <c r="D128" s="14"/>
      <c r="E128" s="27">
        <v>44943</v>
      </c>
      <c r="F128" s="28">
        <v>0.40721064814814822</v>
      </c>
      <c r="G128" s="14" t="s">
        <v>1231</v>
      </c>
      <c r="H128" s="14">
        <v>103.4106</v>
      </c>
      <c r="I128" s="14">
        <v>0.53825000000000001</v>
      </c>
      <c r="J128" s="14">
        <v>23.5</v>
      </c>
      <c r="K128" s="14" t="s">
        <v>1223</v>
      </c>
    </row>
    <row r="134" spans="1:11" x14ac:dyDescent="0.25">
      <c r="A134" s="14" t="s">
        <v>169</v>
      </c>
      <c r="B134" s="14" t="s">
        <v>1227</v>
      </c>
      <c r="C134" s="14" t="s">
        <v>1232</v>
      </c>
      <c r="D134" s="14"/>
      <c r="E134" s="27">
        <v>44944</v>
      </c>
      <c r="F134" s="28">
        <v>0.41643518518518519</v>
      </c>
      <c r="G134" s="14" t="s">
        <v>331</v>
      </c>
      <c r="H134" s="14">
        <v>127.99930000000001</v>
      </c>
      <c r="I134" s="14">
        <v>0.87475999999999998</v>
      </c>
      <c r="J134" s="14">
        <v>36.799999999999997</v>
      </c>
      <c r="K134" s="14" t="s">
        <v>1223</v>
      </c>
    </row>
    <row r="137" spans="1:11" x14ac:dyDescent="0.25">
      <c r="A137" s="14" t="s">
        <v>169</v>
      </c>
      <c r="B137" s="14" t="s">
        <v>1227</v>
      </c>
      <c r="C137" s="14" t="s">
        <v>1233</v>
      </c>
      <c r="D137" s="14"/>
      <c r="E137" s="27">
        <v>44945</v>
      </c>
      <c r="F137" s="28">
        <v>0.40332175925925928</v>
      </c>
      <c r="G137" s="14" t="s">
        <v>331</v>
      </c>
      <c r="H137" s="14">
        <v>65.168599999999998</v>
      </c>
      <c r="I137" s="14">
        <v>0.55651000000000006</v>
      </c>
      <c r="J137" s="14">
        <v>15.7</v>
      </c>
      <c r="K137" s="14" t="s">
        <v>1223</v>
      </c>
    </row>
    <row r="138" spans="1:11" x14ac:dyDescent="0.25">
      <c r="A138" s="14" t="s">
        <v>169</v>
      </c>
      <c r="B138" s="14" t="s">
        <v>1227</v>
      </c>
      <c r="C138" s="14" t="s">
        <v>1234</v>
      </c>
      <c r="D138" s="14"/>
      <c r="E138" s="27">
        <v>44949</v>
      </c>
      <c r="F138" s="28">
        <v>0.36659722222222219</v>
      </c>
      <c r="G138" s="14" t="s">
        <v>314</v>
      </c>
      <c r="H138" s="14">
        <v>102.6807</v>
      </c>
      <c r="I138" s="14">
        <v>0.95177999999999996</v>
      </c>
      <c r="J138" s="14">
        <v>66.400000000000006</v>
      </c>
      <c r="K138" s="14" t="s">
        <v>1223</v>
      </c>
    </row>
    <row r="139" spans="1:11" x14ac:dyDescent="0.25">
      <c r="A139" s="14" t="s">
        <v>169</v>
      </c>
      <c r="B139" s="14" t="s">
        <v>1227</v>
      </c>
      <c r="C139" s="14" t="s">
        <v>689</v>
      </c>
      <c r="D139" s="14"/>
      <c r="E139" s="27">
        <v>44949</v>
      </c>
      <c r="F139" s="28">
        <v>0.46709490740740739</v>
      </c>
      <c r="G139" s="14" t="s">
        <v>232</v>
      </c>
      <c r="H139" s="14">
        <v>161.31100000000001</v>
      </c>
      <c r="I139" s="14">
        <v>4.65306</v>
      </c>
      <c r="J139" s="14">
        <v>70.416666666666657</v>
      </c>
      <c r="K139" s="14" t="s">
        <v>1223</v>
      </c>
    </row>
    <row r="140" spans="1:11" x14ac:dyDescent="0.25">
      <c r="A140" s="14" t="s">
        <v>169</v>
      </c>
      <c r="B140" s="14" t="s">
        <v>1227</v>
      </c>
      <c r="C140" s="14" t="s">
        <v>715</v>
      </c>
      <c r="D140" s="14"/>
      <c r="E140" s="27">
        <v>44950</v>
      </c>
      <c r="F140" s="28">
        <v>0.38131944444444438</v>
      </c>
      <c r="G140" s="14" t="s">
        <v>232</v>
      </c>
      <c r="H140" s="14">
        <v>226.9391</v>
      </c>
      <c r="I140" s="14">
        <v>3.2381000000000002</v>
      </c>
      <c r="J140" s="14">
        <v>95.516666666666666</v>
      </c>
      <c r="K140" s="14" t="s">
        <v>1223</v>
      </c>
    </row>
    <row r="142" spans="1:11" x14ac:dyDescent="0.25">
      <c r="A142" s="14" t="s">
        <v>169</v>
      </c>
      <c r="B142" s="14" t="s">
        <v>1227</v>
      </c>
      <c r="C142" s="14" t="s">
        <v>1235</v>
      </c>
      <c r="D142" s="14"/>
      <c r="E142" s="27">
        <v>44951</v>
      </c>
      <c r="F142" s="28">
        <v>0.40850694444444452</v>
      </c>
      <c r="G142" s="14" t="s">
        <v>331</v>
      </c>
      <c r="H142" s="14">
        <v>132.6908</v>
      </c>
      <c r="I142" s="14">
        <v>0.88800000000000012</v>
      </c>
      <c r="J142" s="14">
        <v>49.2</v>
      </c>
      <c r="K142" s="14" t="s">
        <v>1223</v>
      </c>
    </row>
    <row r="144" spans="1:11" x14ac:dyDescent="0.25">
      <c r="A144" s="14" t="s">
        <v>169</v>
      </c>
      <c r="B144" s="14" t="s">
        <v>1227</v>
      </c>
      <c r="C144" s="14" t="s">
        <v>1236</v>
      </c>
      <c r="D144" s="14"/>
      <c r="E144" s="27">
        <v>44951</v>
      </c>
      <c r="F144" s="28">
        <v>0.76142361111111112</v>
      </c>
      <c r="G144" s="14" t="s">
        <v>174</v>
      </c>
      <c r="H144" s="14">
        <v>76.114100000000008</v>
      </c>
      <c r="I144" s="14">
        <v>0.68724000000000007</v>
      </c>
      <c r="J144" s="14">
        <v>29.333333333333339</v>
      </c>
      <c r="K144" s="14" t="s">
        <v>1223</v>
      </c>
    </row>
    <row r="145" spans="1:11" x14ac:dyDescent="0.25">
      <c r="A145" s="14" t="s">
        <v>169</v>
      </c>
      <c r="B145" s="14" t="s">
        <v>1227</v>
      </c>
      <c r="C145" s="14" t="s">
        <v>1237</v>
      </c>
      <c r="D145" s="14"/>
      <c r="E145" s="27">
        <v>44951</v>
      </c>
      <c r="F145" s="28">
        <v>0.8027199074074074</v>
      </c>
      <c r="G145" s="14" t="s">
        <v>174</v>
      </c>
      <c r="H145" s="14">
        <v>67.571200000000005</v>
      </c>
      <c r="I145" s="14">
        <v>0.51122000000000001</v>
      </c>
      <c r="J145" s="14">
        <v>30.383333333333329</v>
      </c>
      <c r="K145" s="14" t="s">
        <v>1223</v>
      </c>
    </row>
    <row r="151" spans="1:11" x14ac:dyDescent="0.25">
      <c r="A151" s="14" t="s">
        <v>169</v>
      </c>
      <c r="B151" s="14" t="s">
        <v>1227</v>
      </c>
      <c r="C151" s="14" t="s">
        <v>1238</v>
      </c>
      <c r="D151" s="14"/>
      <c r="E151" s="27">
        <v>44954</v>
      </c>
      <c r="F151" s="28">
        <v>0.23883101851851851</v>
      </c>
      <c r="G151" s="14" t="s">
        <v>174</v>
      </c>
      <c r="H151" s="14">
        <v>89.656500000000008</v>
      </c>
      <c r="I151" s="14">
        <v>0.80369999999999997</v>
      </c>
      <c r="J151" s="14">
        <v>11.5</v>
      </c>
      <c r="K151" s="14" t="s">
        <v>1223</v>
      </c>
    </row>
    <row r="160" spans="1:11" x14ac:dyDescent="0.25">
      <c r="A160" s="14" t="s">
        <v>169</v>
      </c>
      <c r="B160" s="14" t="s">
        <v>1227</v>
      </c>
      <c r="C160" s="14" t="s">
        <v>1239</v>
      </c>
      <c r="D160" s="14"/>
      <c r="E160" s="27">
        <v>44958</v>
      </c>
      <c r="F160" s="28">
        <v>0.40202546296296299</v>
      </c>
      <c r="G160" s="14" t="s">
        <v>331</v>
      </c>
      <c r="H160" s="14">
        <v>98.071100000000001</v>
      </c>
      <c r="I160" s="14">
        <v>0.72465000000000002</v>
      </c>
      <c r="J160" s="14">
        <v>104.3833333333333</v>
      </c>
      <c r="K160" s="14" t="s">
        <v>1223</v>
      </c>
    </row>
    <row r="162" spans="1:11" x14ac:dyDescent="0.25">
      <c r="A162" s="14" t="s">
        <v>169</v>
      </c>
      <c r="B162" s="14" t="s">
        <v>1227</v>
      </c>
      <c r="C162" s="14" t="s">
        <v>1228</v>
      </c>
      <c r="D162" s="14"/>
      <c r="E162" s="27">
        <v>44942</v>
      </c>
      <c r="F162" s="28">
        <v>0.4100462962962963</v>
      </c>
      <c r="G162" s="14" t="s">
        <v>331</v>
      </c>
      <c r="H162" s="14">
        <v>51.941699999999997</v>
      </c>
      <c r="I162" s="14">
        <v>0.25735000000000002</v>
      </c>
      <c r="J162" s="14">
        <v>12.06666666666667</v>
      </c>
      <c r="K162" s="14" t="s">
        <v>1223</v>
      </c>
    </row>
    <row r="164" spans="1:11" x14ac:dyDescent="0.25">
      <c r="A164" s="14" t="s">
        <v>169</v>
      </c>
      <c r="B164" s="14" t="s">
        <v>1227</v>
      </c>
      <c r="C164" s="14" t="s">
        <v>1229</v>
      </c>
      <c r="D164" s="14"/>
      <c r="E164" s="27">
        <v>44942</v>
      </c>
      <c r="F164" s="28">
        <v>0.66160879629629632</v>
      </c>
      <c r="G164" s="14"/>
      <c r="H164" s="14">
        <v>348.46850000000012</v>
      </c>
      <c r="I164" s="14">
        <v>1.7743</v>
      </c>
      <c r="J164" s="14">
        <v>11.366666666666671</v>
      </c>
      <c r="K164" s="14" t="s">
        <v>1223</v>
      </c>
    </row>
    <row r="166" spans="1:11" x14ac:dyDescent="0.25">
      <c r="A166" s="14" t="s">
        <v>169</v>
      </c>
      <c r="B166" s="14" t="s">
        <v>1227</v>
      </c>
      <c r="C166" s="14" t="s">
        <v>1230</v>
      </c>
      <c r="D166" s="14"/>
      <c r="E166" s="27">
        <v>44943</v>
      </c>
      <c r="F166" s="28">
        <v>0.40721064814814822</v>
      </c>
      <c r="G166" s="14" t="s">
        <v>1231</v>
      </c>
      <c r="H166" s="14">
        <v>103.4106</v>
      </c>
      <c r="I166" s="14">
        <v>0.53825000000000001</v>
      </c>
      <c r="J166" s="14">
        <v>23.5</v>
      </c>
      <c r="K166" s="14" t="s">
        <v>1223</v>
      </c>
    </row>
    <row r="172" spans="1:11" x14ac:dyDescent="0.25">
      <c r="A172" s="14" t="s">
        <v>169</v>
      </c>
      <c r="B172" s="14" t="s">
        <v>1227</v>
      </c>
      <c r="C172" s="14" t="s">
        <v>1232</v>
      </c>
      <c r="D172" s="14"/>
      <c r="E172" s="27">
        <v>44944</v>
      </c>
      <c r="F172" s="28">
        <v>0.41643518518518519</v>
      </c>
      <c r="G172" s="14" t="s">
        <v>331</v>
      </c>
      <c r="H172" s="14">
        <v>127.99930000000001</v>
      </c>
      <c r="I172" s="14">
        <v>0.87475999999999998</v>
      </c>
      <c r="J172" s="14">
        <v>36.799999999999997</v>
      </c>
      <c r="K172" s="14" t="s">
        <v>1223</v>
      </c>
    </row>
    <row r="175" spans="1:11" x14ac:dyDescent="0.25">
      <c r="A175" s="14" t="s">
        <v>169</v>
      </c>
      <c r="B175" s="14" t="s">
        <v>1227</v>
      </c>
      <c r="C175" s="14" t="s">
        <v>1233</v>
      </c>
      <c r="D175" s="14"/>
      <c r="E175" s="27">
        <v>44945</v>
      </c>
      <c r="F175" s="28">
        <v>0.40332175925925928</v>
      </c>
      <c r="G175" s="14" t="s">
        <v>331</v>
      </c>
      <c r="H175" s="14">
        <v>65.168599999999998</v>
      </c>
      <c r="I175" s="14">
        <v>0.55651000000000006</v>
      </c>
      <c r="J175" s="14">
        <v>15.7</v>
      </c>
      <c r="K175" s="14" t="s">
        <v>1223</v>
      </c>
    </row>
    <row r="176" spans="1:11" x14ac:dyDescent="0.25">
      <c r="A176" s="14" t="s">
        <v>169</v>
      </c>
      <c r="B176" s="14" t="s">
        <v>1227</v>
      </c>
      <c r="C176" s="14" t="s">
        <v>1234</v>
      </c>
      <c r="D176" s="14"/>
      <c r="E176" s="27">
        <v>44949</v>
      </c>
      <c r="F176" s="28">
        <v>0.36659722222222219</v>
      </c>
      <c r="G176" s="14" t="s">
        <v>314</v>
      </c>
      <c r="H176" s="14">
        <v>102.6807</v>
      </c>
      <c r="I176" s="14">
        <v>0.95177999999999996</v>
      </c>
      <c r="J176" s="14">
        <v>66.400000000000006</v>
      </c>
      <c r="K176" s="14" t="s">
        <v>1223</v>
      </c>
    </row>
    <row r="177" spans="1:11" x14ac:dyDescent="0.25">
      <c r="A177" s="14" t="s">
        <v>169</v>
      </c>
      <c r="B177" s="14" t="s">
        <v>1227</v>
      </c>
      <c r="C177" s="14" t="s">
        <v>689</v>
      </c>
      <c r="D177" s="14"/>
      <c r="E177" s="27">
        <v>44949</v>
      </c>
      <c r="F177" s="28">
        <v>0.46709490740740739</v>
      </c>
      <c r="G177" s="14" t="s">
        <v>232</v>
      </c>
      <c r="H177" s="14">
        <v>161.31100000000001</v>
      </c>
      <c r="I177" s="14">
        <v>4.65306</v>
      </c>
      <c r="J177" s="14">
        <v>70.416666666666657</v>
      </c>
      <c r="K177" s="14" t="s">
        <v>1223</v>
      </c>
    </row>
    <row r="178" spans="1:11" x14ac:dyDescent="0.25">
      <c r="A178" s="14" t="s">
        <v>169</v>
      </c>
      <c r="B178" s="14" t="s">
        <v>1227</v>
      </c>
      <c r="C178" s="14" t="s">
        <v>715</v>
      </c>
      <c r="D178" s="14"/>
      <c r="E178" s="27">
        <v>44950</v>
      </c>
      <c r="F178" s="28">
        <v>0.38131944444444438</v>
      </c>
      <c r="G178" s="14" t="s">
        <v>232</v>
      </c>
      <c r="H178" s="14">
        <v>226.9391</v>
      </c>
      <c r="I178" s="14">
        <v>3.2381000000000002</v>
      </c>
      <c r="J178" s="14">
        <v>95.516666666666666</v>
      </c>
      <c r="K178" s="14" t="s">
        <v>1223</v>
      </c>
    </row>
    <row r="180" spans="1:11" x14ac:dyDescent="0.25">
      <c r="A180" s="14" t="s">
        <v>169</v>
      </c>
      <c r="B180" s="14" t="s">
        <v>1227</v>
      </c>
      <c r="C180" s="14" t="s">
        <v>1235</v>
      </c>
      <c r="D180" s="14"/>
      <c r="E180" s="27">
        <v>44951</v>
      </c>
      <c r="F180" s="28">
        <v>0.40850694444444452</v>
      </c>
      <c r="G180" s="14" t="s">
        <v>331</v>
      </c>
      <c r="H180" s="14">
        <v>132.6908</v>
      </c>
      <c r="I180" s="14">
        <v>0.88800000000000012</v>
      </c>
      <c r="J180" s="14">
        <v>49.2</v>
      </c>
      <c r="K180" s="14" t="s">
        <v>1223</v>
      </c>
    </row>
    <row r="182" spans="1:11" x14ac:dyDescent="0.25">
      <c r="A182" s="14" t="s">
        <v>169</v>
      </c>
      <c r="B182" s="14" t="s">
        <v>1227</v>
      </c>
      <c r="C182" s="14" t="s">
        <v>1236</v>
      </c>
      <c r="D182" s="14"/>
      <c r="E182" s="27">
        <v>44951</v>
      </c>
      <c r="F182" s="28">
        <v>0.76142361111111112</v>
      </c>
      <c r="G182" s="14" t="s">
        <v>174</v>
      </c>
      <c r="H182" s="14">
        <v>76.114100000000008</v>
      </c>
      <c r="I182" s="14">
        <v>0.68724000000000007</v>
      </c>
      <c r="J182" s="14">
        <v>29.333333333333339</v>
      </c>
      <c r="K182" s="14" t="s">
        <v>1223</v>
      </c>
    </row>
    <row r="183" spans="1:11" x14ac:dyDescent="0.25">
      <c r="A183" s="14" t="s">
        <v>169</v>
      </c>
      <c r="B183" s="14" t="s">
        <v>1227</v>
      </c>
      <c r="C183" s="14" t="s">
        <v>1237</v>
      </c>
      <c r="D183" s="14"/>
      <c r="E183" s="27">
        <v>44951</v>
      </c>
      <c r="F183" s="28">
        <v>0.8027199074074074</v>
      </c>
      <c r="G183" s="14" t="s">
        <v>174</v>
      </c>
      <c r="H183" s="14">
        <v>67.571200000000005</v>
      </c>
      <c r="I183" s="14">
        <v>0.51122000000000001</v>
      </c>
      <c r="J183" s="14">
        <v>30.383333333333329</v>
      </c>
      <c r="K183" s="14" t="s">
        <v>1223</v>
      </c>
    </row>
    <row r="189" spans="1:11" x14ac:dyDescent="0.25">
      <c r="A189" s="14" t="s">
        <v>169</v>
      </c>
      <c r="B189" s="14" t="s">
        <v>1227</v>
      </c>
      <c r="C189" s="14" t="s">
        <v>1238</v>
      </c>
      <c r="D189" s="14"/>
      <c r="E189" s="27">
        <v>44954</v>
      </c>
      <c r="F189" s="28">
        <v>0.23883101851851851</v>
      </c>
      <c r="G189" s="14" t="s">
        <v>174</v>
      </c>
      <c r="H189" s="14">
        <v>89.656500000000008</v>
      </c>
      <c r="I189" s="14">
        <v>0.80369999999999997</v>
      </c>
      <c r="J189" s="14">
        <v>11.5</v>
      </c>
      <c r="K189" s="14" t="s">
        <v>1223</v>
      </c>
    </row>
    <row r="198" spans="1:11" x14ac:dyDescent="0.25">
      <c r="A198" s="14" t="s">
        <v>169</v>
      </c>
      <c r="B198" s="14" t="s">
        <v>1227</v>
      </c>
      <c r="C198" s="14" t="s">
        <v>1228</v>
      </c>
      <c r="D198" s="14"/>
      <c r="E198" s="27">
        <v>44942</v>
      </c>
      <c r="F198" s="28">
        <v>0.4100462962962963</v>
      </c>
      <c r="G198" s="14" t="s">
        <v>331</v>
      </c>
      <c r="H198" s="14">
        <v>51.941699999999997</v>
      </c>
      <c r="I198" s="14">
        <v>0.25735000000000002</v>
      </c>
      <c r="J198" s="14">
        <v>12.06666666666667</v>
      </c>
      <c r="K198" s="14" t="s">
        <v>1223</v>
      </c>
    </row>
    <row r="199" spans="1:11" x14ac:dyDescent="0.25">
      <c r="A199" s="14" t="s">
        <v>169</v>
      </c>
      <c r="B199" s="14" t="s">
        <v>1227</v>
      </c>
      <c r="C199" s="14" t="s">
        <v>1229</v>
      </c>
      <c r="D199" s="14"/>
      <c r="E199" s="27">
        <v>44942</v>
      </c>
      <c r="F199" s="28">
        <v>0.66160879629629632</v>
      </c>
      <c r="G199" s="14"/>
      <c r="H199" s="14">
        <v>348.46850000000012</v>
      </c>
      <c r="I199" s="14">
        <v>1.7743</v>
      </c>
      <c r="J199" s="14">
        <v>11.366666666666671</v>
      </c>
      <c r="K199" s="14" t="s">
        <v>1223</v>
      </c>
    </row>
    <row r="200" spans="1:11" x14ac:dyDescent="0.25">
      <c r="A200" s="14" t="s">
        <v>169</v>
      </c>
      <c r="B200" s="14" t="s">
        <v>1227</v>
      </c>
      <c r="C200" s="14" t="s">
        <v>1230</v>
      </c>
      <c r="D200" s="14"/>
      <c r="E200" s="27">
        <v>44943</v>
      </c>
      <c r="F200" s="28">
        <v>0.40721064814814822</v>
      </c>
      <c r="G200" s="14" t="s">
        <v>1231</v>
      </c>
      <c r="H200" s="14">
        <v>103.4106</v>
      </c>
      <c r="I200" s="14">
        <v>0.53825000000000001</v>
      </c>
      <c r="J200" s="14">
        <v>23.5</v>
      </c>
      <c r="K200" s="14" t="s">
        <v>1223</v>
      </c>
    </row>
    <row r="201" spans="1:11" x14ac:dyDescent="0.25">
      <c r="A201" s="14" t="s">
        <v>169</v>
      </c>
      <c r="B201" s="14" t="s">
        <v>1227</v>
      </c>
      <c r="C201" s="14" t="s">
        <v>1232</v>
      </c>
      <c r="D201" s="14"/>
      <c r="E201" s="27">
        <v>44944</v>
      </c>
      <c r="F201" s="28">
        <v>0.41643518518518519</v>
      </c>
      <c r="G201" s="14" t="s">
        <v>331</v>
      </c>
      <c r="H201" s="14">
        <v>127.99930000000001</v>
      </c>
      <c r="I201" s="14">
        <v>0.87475999999999998</v>
      </c>
      <c r="J201" s="14">
        <v>36.799999999999997</v>
      </c>
      <c r="K201" s="14" t="s">
        <v>1223</v>
      </c>
    </row>
    <row r="202" spans="1:11" x14ac:dyDescent="0.25">
      <c r="A202" s="14" t="s">
        <v>169</v>
      </c>
      <c r="B202" s="14" t="s">
        <v>1227</v>
      </c>
      <c r="C202" s="14" t="s">
        <v>1233</v>
      </c>
      <c r="D202" s="14"/>
      <c r="E202" s="27">
        <v>44945</v>
      </c>
      <c r="F202" s="28">
        <v>0.40332175925925928</v>
      </c>
      <c r="G202" s="14" t="s">
        <v>331</v>
      </c>
      <c r="H202" s="14">
        <v>65.168599999999998</v>
      </c>
      <c r="I202" s="14">
        <v>0.55651000000000006</v>
      </c>
      <c r="J202" s="14">
        <v>15.7</v>
      </c>
      <c r="K202" s="14" t="s">
        <v>1223</v>
      </c>
    </row>
    <row r="203" spans="1:11" x14ac:dyDescent="0.25">
      <c r="A203" s="14" t="s">
        <v>169</v>
      </c>
      <c r="B203" s="14" t="s">
        <v>1227</v>
      </c>
      <c r="C203" s="14" t="s">
        <v>1234</v>
      </c>
      <c r="D203" s="14"/>
      <c r="E203" s="27">
        <v>44949</v>
      </c>
      <c r="F203" s="28">
        <v>0.36659722222222219</v>
      </c>
      <c r="G203" s="14" t="s">
        <v>314</v>
      </c>
      <c r="H203" s="14">
        <v>102.6807</v>
      </c>
      <c r="I203" s="14">
        <v>0.95177999999999996</v>
      </c>
      <c r="J203" s="14">
        <v>66.400000000000006</v>
      </c>
      <c r="K203" s="14" t="s">
        <v>1223</v>
      </c>
    </row>
    <row r="204" spans="1:11" x14ac:dyDescent="0.25">
      <c r="A204" s="14" t="s">
        <v>169</v>
      </c>
      <c r="B204" s="14" t="s">
        <v>1227</v>
      </c>
      <c r="C204" s="14" t="s">
        <v>689</v>
      </c>
      <c r="D204" s="14"/>
      <c r="E204" s="27">
        <v>44949</v>
      </c>
      <c r="F204" s="28">
        <v>0.46709490740740739</v>
      </c>
      <c r="G204" s="14" t="s">
        <v>232</v>
      </c>
      <c r="H204" s="14">
        <v>161.31100000000001</v>
      </c>
      <c r="I204" s="14">
        <v>4.65306</v>
      </c>
      <c r="J204" s="14">
        <v>70.416666666666657</v>
      </c>
      <c r="K204" s="14" t="s">
        <v>1223</v>
      </c>
    </row>
    <row r="205" spans="1:11" x14ac:dyDescent="0.25">
      <c r="A205" s="14" t="s">
        <v>169</v>
      </c>
      <c r="B205" s="14" t="s">
        <v>1227</v>
      </c>
      <c r="C205" s="14" t="s">
        <v>715</v>
      </c>
      <c r="D205" s="14"/>
      <c r="E205" s="27">
        <v>44950</v>
      </c>
      <c r="F205" s="28">
        <v>0.38131944444444438</v>
      </c>
      <c r="G205" s="14" t="s">
        <v>232</v>
      </c>
      <c r="H205" s="14">
        <v>226.9391</v>
      </c>
      <c r="I205" s="14">
        <v>3.2381000000000002</v>
      </c>
      <c r="J205" s="14">
        <v>95.516666666666666</v>
      </c>
      <c r="K205" s="14" t="s">
        <v>1223</v>
      </c>
    </row>
    <row r="206" spans="1:11" x14ac:dyDescent="0.25">
      <c r="A206" s="14" t="s">
        <v>169</v>
      </c>
      <c r="B206" s="14" t="s">
        <v>1227</v>
      </c>
      <c r="C206" s="14" t="s">
        <v>1235</v>
      </c>
      <c r="D206" s="14"/>
      <c r="E206" s="27">
        <v>44951</v>
      </c>
      <c r="F206" s="28">
        <v>0.40850694444444452</v>
      </c>
      <c r="G206" s="14" t="s">
        <v>331</v>
      </c>
      <c r="H206" s="14">
        <v>132.6908</v>
      </c>
      <c r="I206" s="14">
        <v>0.88800000000000012</v>
      </c>
      <c r="J206" s="14">
        <v>49.2</v>
      </c>
      <c r="K206" s="14" t="s">
        <v>1223</v>
      </c>
    </row>
    <row r="207" spans="1:11" x14ac:dyDescent="0.25">
      <c r="A207" s="14" t="s">
        <v>169</v>
      </c>
      <c r="B207" s="14" t="s">
        <v>1227</v>
      </c>
      <c r="C207" s="14" t="s">
        <v>1236</v>
      </c>
      <c r="D207" s="14"/>
      <c r="E207" s="27">
        <v>44951</v>
      </c>
      <c r="F207" s="28">
        <v>0.76142361111111112</v>
      </c>
      <c r="G207" s="14" t="s">
        <v>174</v>
      </c>
      <c r="H207" s="14">
        <v>76.114100000000008</v>
      </c>
      <c r="I207" s="14">
        <v>0.68724000000000007</v>
      </c>
      <c r="J207" s="14">
        <v>29.333333333333339</v>
      </c>
      <c r="K207" s="14" t="s">
        <v>1223</v>
      </c>
    </row>
    <row r="208" spans="1:11" x14ac:dyDescent="0.25">
      <c r="A208" s="14" t="s">
        <v>169</v>
      </c>
      <c r="B208" s="14" t="s">
        <v>1227</v>
      </c>
      <c r="C208" s="14" t="s">
        <v>1237</v>
      </c>
      <c r="D208" s="14"/>
      <c r="E208" s="27">
        <v>44951</v>
      </c>
      <c r="F208" s="28">
        <v>0.8027199074074074</v>
      </c>
      <c r="G208" s="14" t="s">
        <v>174</v>
      </c>
      <c r="H208" s="14">
        <v>67.571200000000005</v>
      </c>
      <c r="I208" s="14">
        <v>0.51122000000000001</v>
      </c>
      <c r="J208" s="14">
        <v>30.383333333333329</v>
      </c>
      <c r="K208" s="14" t="s">
        <v>1223</v>
      </c>
    </row>
    <row r="209" spans="1:11" x14ac:dyDescent="0.25">
      <c r="A209" s="14" t="s">
        <v>169</v>
      </c>
      <c r="B209" s="14" t="s">
        <v>1227</v>
      </c>
      <c r="C209" s="14" t="s">
        <v>1238</v>
      </c>
      <c r="D209" s="14"/>
      <c r="E209" s="27">
        <v>44954</v>
      </c>
      <c r="F209" s="28">
        <v>0.23883101851851851</v>
      </c>
      <c r="G209" s="14" t="s">
        <v>174</v>
      </c>
      <c r="H209" s="14">
        <v>89.656500000000008</v>
      </c>
      <c r="I209" s="14">
        <v>0.80369999999999997</v>
      </c>
      <c r="J209" s="14">
        <v>11.5</v>
      </c>
      <c r="K209" s="14" t="s">
        <v>1223</v>
      </c>
    </row>
    <row r="210" spans="1:11" x14ac:dyDescent="0.25">
      <c r="A210" s="14" t="s">
        <v>169</v>
      </c>
      <c r="B210" s="14" t="s">
        <v>1227</v>
      </c>
      <c r="C210" s="14" t="s">
        <v>1239</v>
      </c>
      <c r="D210" s="14"/>
      <c r="E210" s="27">
        <v>44958</v>
      </c>
      <c r="F210" s="28">
        <v>0.40202546296296299</v>
      </c>
      <c r="G210" s="14" t="s">
        <v>331</v>
      </c>
      <c r="H210" s="14">
        <v>98.071100000000001</v>
      </c>
      <c r="I210" s="14">
        <v>0.72465000000000002</v>
      </c>
      <c r="J210" s="14">
        <v>104.3833333333333</v>
      </c>
      <c r="K210" s="14" t="s">
        <v>1223</v>
      </c>
    </row>
  </sheetData>
  <mergeCells count="1">
    <mergeCell ref="P1:Q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86" r:id="rId4" name="BOTON1">
              <controlPr defaultSize="0" print="0" autoFill="0" autoPict="0" macro="[0]!validar1">
                <anchor moveWithCells="1" sizeWithCells="1">
                  <from>
                    <xdr:col>15</xdr:col>
                    <xdr:colOff>85725</xdr:colOff>
                    <xdr:row>1</xdr:row>
                    <xdr:rowOff>19050</xdr:rowOff>
                  </from>
                  <to>
                    <xdr:col>15</xdr:col>
                    <xdr:colOff>628650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7" r:id="rId5" name="BOTON2">
              <controlPr defaultSize="0" print="0" autoFill="0" autoPict="0" macro="[0]!descartar1">
                <anchor moveWithCells="1" sizeWithCells="1">
                  <from>
                    <xdr:col>16</xdr:col>
                    <xdr:colOff>38100</xdr:colOff>
                    <xdr:row>1</xdr:row>
                    <xdr:rowOff>9525</xdr:rowOff>
                  </from>
                  <to>
                    <xdr:col>16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8" r:id="rId6" name="BOTON3">
              <controlPr defaultSize="0" print="0" autoFill="0" autoPict="0" macro="[0]!Validar2">
                <anchor moveWithCells="1" sizeWithCells="1">
                  <from>
                    <xdr:col>15</xdr:col>
                    <xdr:colOff>85725</xdr:colOff>
                    <xdr:row>2</xdr:row>
                    <xdr:rowOff>9525</xdr:rowOff>
                  </from>
                  <to>
                    <xdr:col>15</xdr:col>
                    <xdr:colOff>628650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9" r:id="rId7" name="BOTON4">
              <controlPr defaultSize="0" print="0" autoFill="0" autoPict="0" macro="[0]!Descartar2">
                <anchor moveWithCells="1" sizeWithCells="1">
                  <from>
                    <xdr:col>16</xdr:col>
                    <xdr:colOff>38100</xdr:colOff>
                    <xdr:row>2</xdr:row>
                    <xdr:rowOff>9525</xdr:rowOff>
                  </from>
                  <to>
                    <xdr:col>16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0" r:id="rId8" name="BOTON5">
              <controlPr defaultSize="0" print="0" autoFill="0" autoPict="0" macro="[0]!Validar3">
                <anchor moveWithCells="1" sizeWithCells="1">
                  <from>
                    <xdr:col>15</xdr:col>
                    <xdr:colOff>85725</xdr:colOff>
                    <xdr:row>3</xdr:row>
                    <xdr:rowOff>9525</xdr:rowOff>
                  </from>
                  <to>
                    <xdr:col>15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1" r:id="rId9" name="BOTON6">
              <controlPr defaultSize="0" print="0" autoFill="0" autoPict="0" macro="[0]!Descartar3">
                <anchor moveWithCells="1" sizeWithCells="1">
                  <from>
                    <xdr:col>16</xdr:col>
                    <xdr:colOff>38100</xdr:colOff>
                    <xdr:row>3</xdr:row>
                    <xdr:rowOff>9525</xdr:rowOff>
                  </from>
                  <to>
                    <xdr:col>16</xdr:col>
                    <xdr:colOff>676275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2" r:id="rId10" name="BOTON7">
              <controlPr defaultSize="0" print="0" autoFill="0" autoPict="0" macro="[0]!Validar4">
                <anchor moveWithCells="1" sizeWithCells="1">
                  <from>
                    <xdr:col>15</xdr:col>
                    <xdr:colOff>85725</xdr:colOff>
                    <xdr:row>4</xdr:row>
                    <xdr:rowOff>9525</xdr:rowOff>
                  </from>
                  <to>
                    <xdr:col>15</xdr:col>
                    <xdr:colOff>628650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3" r:id="rId11" name="BOTON8">
              <controlPr defaultSize="0" print="0" autoFill="0" autoPict="0" macro="[0]!Descartar4">
                <anchor moveWithCells="1" sizeWithCells="1">
                  <from>
                    <xdr:col>16</xdr:col>
                    <xdr:colOff>38100</xdr:colOff>
                    <xdr:row>4</xdr:row>
                    <xdr:rowOff>9525</xdr:rowOff>
                  </from>
                  <to>
                    <xdr:col>16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4" r:id="rId12" name="BOTON9">
              <controlPr defaultSize="0" print="0" autoFill="0" autoPict="0" macro="[0]!Validar5">
                <anchor moveWithCells="1" sizeWithCells="1">
                  <from>
                    <xdr:col>15</xdr:col>
                    <xdr:colOff>85725</xdr:colOff>
                    <xdr:row>5</xdr:row>
                    <xdr:rowOff>9525</xdr:rowOff>
                  </from>
                  <to>
                    <xdr:col>15</xdr:col>
                    <xdr:colOff>628650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5" r:id="rId13" name="BOTON10">
              <controlPr defaultSize="0" print="0" autoFill="0" autoPict="0" macro="[0]!Descartar5">
                <anchor moveWithCells="1" sizeWithCells="1">
                  <from>
                    <xdr:col>16</xdr:col>
                    <xdr:colOff>38100</xdr:colOff>
                    <xdr:row>5</xdr:row>
                    <xdr:rowOff>9525</xdr:rowOff>
                  </from>
                  <to>
                    <xdr:col>16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6" r:id="rId14" name="BOTON11">
              <controlPr defaultSize="0" print="0" autoFill="0" autoPict="0" macro="[0]!Validar6">
                <anchor moveWithCells="1" sizeWithCells="1">
                  <from>
                    <xdr:col>15</xdr:col>
                    <xdr:colOff>85725</xdr:colOff>
                    <xdr:row>6</xdr:row>
                    <xdr:rowOff>9525</xdr:rowOff>
                  </from>
                  <to>
                    <xdr:col>15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7" r:id="rId15" name="BOTON12">
              <controlPr defaultSize="0" print="0" autoFill="0" autoPict="0" macro="[0]!Descartar6">
                <anchor moveWithCells="1" sizeWithCells="1">
                  <from>
                    <xdr:col>16</xdr:col>
                    <xdr:colOff>38100</xdr:colOff>
                    <xdr:row>6</xdr:row>
                    <xdr:rowOff>9525</xdr:rowOff>
                  </from>
                  <to>
                    <xdr:col>16</xdr:col>
                    <xdr:colOff>676275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8" r:id="rId16" name="BOTON13">
              <controlPr defaultSize="0" print="0" autoFill="0" autoPict="0" macro="[0]!Validar7">
                <anchor moveWithCells="1" sizeWithCells="1">
                  <from>
                    <xdr:col>15</xdr:col>
                    <xdr:colOff>85725</xdr:colOff>
                    <xdr:row>7</xdr:row>
                    <xdr:rowOff>9525</xdr:rowOff>
                  </from>
                  <to>
                    <xdr:col>15</xdr:col>
                    <xdr:colOff>628650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9" r:id="rId17" name="BOTON14">
              <controlPr defaultSize="0" print="0" autoFill="0" autoPict="0" macro="[0]!Descartar7">
                <anchor moveWithCells="1" sizeWithCells="1">
                  <from>
                    <xdr:col>16</xdr:col>
                    <xdr:colOff>38100</xdr:colOff>
                    <xdr:row>7</xdr:row>
                    <xdr:rowOff>9525</xdr:rowOff>
                  </from>
                  <to>
                    <xdr:col>16</xdr:col>
                    <xdr:colOff>676275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0" r:id="rId18" name="BOTON15">
              <controlPr defaultSize="0" print="0" autoFill="0" autoPict="0" macro="[0]!Validar8">
                <anchor moveWithCells="1" sizeWithCells="1">
                  <from>
                    <xdr:col>15</xdr:col>
                    <xdr:colOff>85725</xdr:colOff>
                    <xdr:row>8</xdr:row>
                    <xdr:rowOff>9525</xdr:rowOff>
                  </from>
                  <to>
                    <xdr:col>15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1" r:id="rId19" name="BOTON16">
              <controlPr defaultSize="0" print="0" autoFill="0" autoPict="0" macro="[0]!Descartar8">
                <anchor moveWithCells="1" sizeWithCells="1">
                  <from>
                    <xdr:col>16</xdr:col>
                    <xdr:colOff>38100</xdr:colOff>
                    <xdr:row>8</xdr:row>
                    <xdr:rowOff>9525</xdr:rowOff>
                  </from>
                  <to>
                    <xdr:col>16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2" r:id="rId20" name="BOTON17">
              <controlPr defaultSize="0" print="0" autoFill="0" autoPict="0" macro="[0]!Validar9">
                <anchor moveWithCells="1" sizeWithCells="1">
                  <from>
                    <xdr:col>15</xdr:col>
                    <xdr:colOff>85725</xdr:colOff>
                    <xdr:row>9</xdr:row>
                    <xdr:rowOff>9525</xdr:rowOff>
                  </from>
                  <to>
                    <xdr:col>15</xdr:col>
                    <xdr:colOff>628650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3" r:id="rId21" name="BOTON18">
              <controlPr defaultSize="0" print="0" autoFill="0" autoPict="0" macro="[0]!Descartar9">
                <anchor moveWithCells="1" sizeWithCells="1">
                  <from>
                    <xdr:col>16</xdr:col>
                    <xdr:colOff>38100</xdr:colOff>
                    <xdr:row>9</xdr:row>
                    <xdr:rowOff>9525</xdr:rowOff>
                  </from>
                  <to>
                    <xdr:col>16</xdr:col>
                    <xdr:colOff>676275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4" r:id="rId22" name="BOTON19">
              <controlPr defaultSize="0" print="0" autoFill="0" autoPict="0" macro="[0]!Validar10">
                <anchor moveWithCells="1" sizeWithCells="1">
                  <from>
                    <xdr:col>15</xdr:col>
                    <xdr:colOff>85725</xdr:colOff>
                    <xdr:row>10</xdr:row>
                    <xdr:rowOff>9525</xdr:rowOff>
                  </from>
                  <to>
                    <xdr:col>15</xdr:col>
                    <xdr:colOff>628650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5" r:id="rId23" name="BOTON20">
              <controlPr defaultSize="0" print="0" autoFill="0" autoPict="0" macro="[0]!Descartar10">
                <anchor moveWithCells="1" sizeWithCells="1">
                  <from>
                    <xdr:col>16</xdr:col>
                    <xdr:colOff>38100</xdr:colOff>
                    <xdr:row>10</xdr:row>
                    <xdr:rowOff>9525</xdr:rowOff>
                  </from>
                  <to>
                    <xdr:col>16</xdr:col>
                    <xdr:colOff>676275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6" r:id="rId24" name="BOTON21">
              <controlPr defaultSize="0" print="0" autoFill="0" autoPict="0" macro="[0]!Validar11">
                <anchor moveWithCells="1" sizeWithCells="1">
                  <from>
                    <xdr:col>15</xdr:col>
                    <xdr:colOff>85725</xdr:colOff>
                    <xdr:row>11</xdr:row>
                    <xdr:rowOff>9525</xdr:rowOff>
                  </from>
                  <to>
                    <xdr:col>15</xdr:col>
                    <xdr:colOff>628650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7" r:id="rId25" name="BOTON22">
              <controlPr defaultSize="0" print="0" autoFill="0" autoPict="0" macro="[0]!descartar11">
                <anchor moveWithCells="1" sizeWithCells="1">
                  <from>
                    <xdr:col>16</xdr:col>
                    <xdr:colOff>38100</xdr:colOff>
                    <xdr:row>11</xdr:row>
                    <xdr:rowOff>9525</xdr:rowOff>
                  </from>
                  <to>
                    <xdr:col>16</xdr:col>
                    <xdr:colOff>676275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8" r:id="rId26" name="BOTON23">
              <controlPr defaultSize="0" print="0" autoFill="0" autoPict="0" macro="[0]!Validar12">
                <anchor moveWithCells="1" sizeWithCells="1">
                  <from>
                    <xdr:col>15</xdr:col>
                    <xdr:colOff>85725</xdr:colOff>
                    <xdr:row>12</xdr:row>
                    <xdr:rowOff>9525</xdr:rowOff>
                  </from>
                  <to>
                    <xdr:col>15</xdr:col>
                    <xdr:colOff>628650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9" r:id="rId27" name="BOTON24">
              <controlPr defaultSize="0" print="0" autoFill="0" autoPict="0" macro="[0]!descartar12">
                <anchor moveWithCells="1" sizeWithCells="1">
                  <from>
                    <xdr:col>16</xdr:col>
                    <xdr:colOff>38100</xdr:colOff>
                    <xdr:row>12</xdr:row>
                    <xdr:rowOff>9525</xdr:rowOff>
                  </from>
                  <to>
                    <xdr:col>16</xdr:col>
                    <xdr:colOff>676275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0" r:id="rId28" name="BOTON25">
              <controlPr defaultSize="0" print="0" autoFill="0" autoPict="0" macro="[0]!Validar13">
                <anchor moveWithCells="1" sizeWithCells="1">
                  <from>
                    <xdr:col>15</xdr:col>
                    <xdr:colOff>85725</xdr:colOff>
                    <xdr:row>13</xdr:row>
                    <xdr:rowOff>9525</xdr:rowOff>
                  </from>
                  <to>
                    <xdr:col>15</xdr:col>
                    <xdr:colOff>628650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1" r:id="rId29" name="BOTON26">
              <controlPr defaultSize="0" print="0" autoFill="0" autoPict="0" macro="[0]!Descartar13">
                <anchor moveWithCells="1" sizeWithCells="1">
                  <from>
                    <xdr:col>16</xdr:col>
                    <xdr:colOff>38100</xdr:colOff>
                    <xdr:row>13</xdr:row>
                    <xdr:rowOff>9525</xdr:rowOff>
                  </from>
                  <to>
                    <xdr:col>16</xdr:col>
                    <xdr:colOff>676275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2" r:id="rId30" name="BOTON27">
              <controlPr defaultSize="0" print="0" autoFill="0" autoPict="0" macro="[0]!Validar14">
                <anchor moveWithCells="1" sizeWithCells="1">
                  <from>
                    <xdr:col>15</xdr:col>
                    <xdr:colOff>85725</xdr:colOff>
                    <xdr:row>14</xdr:row>
                    <xdr:rowOff>9525</xdr:rowOff>
                  </from>
                  <to>
                    <xdr:col>15</xdr:col>
                    <xdr:colOff>628650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3" r:id="rId31" name="BOTON28">
              <controlPr defaultSize="0" print="0" autoFill="0" autoPict="0" macro="[0]!Descartar14">
                <anchor moveWithCells="1" sizeWithCells="1">
                  <from>
                    <xdr:col>16</xdr:col>
                    <xdr:colOff>38100</xdr:colOff>
                    <xdr:row>14</xdr:row>
                    <xdr:rowOff>9525</xdr:rowOff>
                  </from>
                  <to>
                    <xdr:col>16</xdr:col>
                    <xdr:colOff>676275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4" r:id="rId32" name="BOTON29">
              <controlPr defaultSize="0" print="0" autoFill="0" autoPict="0" macro="[0]!Validar15">
                <anchor moveWithCells="1" sizeWithCells="1">
                  <from>
                    <xdr:col>15</xdr:col>
                    <xdr:colOff>85725</xdr:colOff>
                    <xdr:row>15</xdr:row>
                    <xdr:rowOff>9525</xdr:rowOff>
                  </from>
                  <to>
                    <xdr:col>15</xdr:col>
                    <xdr:colOff>628650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5" r:id="rId33" name="BOTON30">
              <controlPr defaultSize="0" print="0" autoFill="0" autoPict="0" macro="[0]!Descartar15">
                <anchor moveWithCells="1" sizeWithCells="1">
                  <from>
                    <xdr:col>16</xdr:col>
                    <xdr:colOff>38100</xdr:colOff>
                    <xdr:row>15</xdr:row>
                    <xdr:rowOff>9525</xdr:rowOff>
                  </from>
                  <to>
                    <xdr:col>16</xdr:col>
                    <xdr:colOff>676275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6" r:id="rId34" name="Button 12044">
              <controlPr defaultSize="0" print="0" autoFill="0" autoPict="0" macro="[0]!Módulo2.notificar">
                <anchor moveWithCells="1" sizeWithCells="1">
                  <from>
                    <xdr:col>1</xdr:col>
                    <xdr:colOff>685800</xdr:colOff>
                    <xdr:row>28</xdr:row>
                    <xdr:rowOff>0</xdr:rowOff>
                  </from>
                  <to>
                    <xdr:col>6</xdr:col>
                    <xdr:colOff>1771650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7" r:id="rId35" name="Button 12045">
              <controlPr defaultSize="0" print="0" autoFill="0" autoPict="0" macro="[0]!salirsinguardar">
                <anchor moveWithCells="1" sizeWithCells="1">
                  <from>
                    <xdr:col>6</xdr:col>
                    <xdr:colOff>2486025</xdr:colOff>
                    <xdr:row>35</xdr:row>
                    <xdr:rowOff>57150</xdr:rowOff>
                  </from>
                  <to>
                    <xdr:col>13</xdr:col>
                    <xdr:colOff>133350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8" r:id="rId36" name="Button 12046">
              <controlPr defaultSize="0" print="0" autoFill="0" autoPict="0" macro="[0]!guardarycerrar">
                <anchor moveWithCells="1" sizeWithCells="1">
                  <from>
                    <xdr:col>1</xdr:col>
                    <xdr:colOff>723900</xdr:colOff>
                    <xdr:row>35</xdr:row>
                    <xdr:rowOff>47625</xdr:rowOff>
                  </from>
                  <to>
                    <xdr:col>6</xdr:col>
                    <xdr:colOff>1819275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9" r:id="rId37" name="Button 12047">
              <controlPr defaultSize="0" print="0" autoFill="0" autoPict="0" macro="[0]!verlistado">
                <anchor moveWithCells="1" sizeWithCells="1">
                  <from>
                    <xdr:col>6</xdr:col>
                    <xdr:colOff>2495550</xdr:colOff>
                    <xdr:row>27</xdr:row>
                    <xdr:rowOff>161925</xdr:rowOff>
                  </from>
                  <to>
                    <xdr:col>13</xdr:col>
                    <xdr:colOff>142875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0" r:id="rId38" name="Button 12048">
              <controlPr defaultSize="0" print="0" autoFill="0" autoPict="0" macro="[0]!avisarfisicos">
                <anchor moveWithCells="1" sizeWithCells="1">
                  <from>
                    <xdr:col>4</xdr:col>
                    <xdr:colOff>676275</xdr:colOff>
                    <xdr:row>42</xdr:row>
                    <xdr:rowOff>57150</xdr:rowOff>
                  </from>
                  <to>
                    <xdr:col>9</xdr:col>
                    <xdr:colOff>581025</xdr:colOff>
                    <xdr:row>47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R42"/>
  <sheetViews>
    <sheetView tabSelected="1" workbookViewId="0">
      <selection activeCell="E1" sqref="E1"/>
    </sheetView>
  </sheetViews>
  <sheetFormatPr baseColWidth="10" defaultRowHeight="15" x14ac:dyDescent="0.25"/>
  <cols>
    <col min="1" max="1" width="25.140625" style="29" bestFit="1" customWidth="1"/>
    <col min="8" max="8" width="26.140625" style="29" bestFit="1" customWidth="1"/>
    <col min="9" max="9" width="26.140625" style="29" customWidth="1"/>
    <col min="10" max="10" width="48.85546875" style="29" customWidth="1"/>
  </cols>
  <sheetData>
    <row r="1" spans="1:18" ht="15" customHeight="1" x14ac:dyDescent="0.25">
      <c r="A1" s="15" t="s">
        <v>1241</v>
      </c>
      <c r="E1">
        <v>2</v>
      </c>
      <c r="G1" s="14"/>
      <c r="H1" s="14"/>
      <c r="I1" s="14"/>
      <c r="J1" s="14"/>
      <c r="R1" s="26">
        <f t="shared" ref="R1:R16" si="0">COUNTBLANK(A1:N1)</f>
        <v>12</v>
      </c>
    </row>
    <row r="2" spans="1:18" x14ac:dyDescent="0.25">
      <c r="A2" s="15" t="s">
        <v>47</v>
      </c>
      <c r="G2" s="14"/>
      <c r="H2" s="14"/>
      <c r="I2" s="7" t="s">
        <v>15</v>
      </c>
      <c r="J2" s="20" t="s">
        <v>1242</v>
      </c>
      <c r="R2" s="26">
        <f t="shared" si="0"/>
        <v>11</v>
      </c>
    </row>
    <row r="3" spans="1:18" x14ac:dyDescent="0.25">
      <c r="A3" s="15" t="s">
        <v>22</v>
      </c>
      <c r="G3" s="14"/>
      <c r="H3" s="14"/>
      <c r="I3" s="7" t="s">
        <v>23</v>
      </c>
      <c r="J3" s="20" t="s">
        <v>1243</v>
      </c>
      <c r="R3" s="26">
        <f t="shared" si="0"/>
        <v>11</v>
      </c>
    </row>
    <row r="4" spans="1:18" x14ac:dyDescent="0.25">
      <c r="A4" s="15" t="s">
        <v>776</v>
      </c>
      <c r="I4" s="7" t="s">
        <v>32</v>
      </c>
      <c r="J4" s="20" t="s">
        <v>1243</v>
      </c>
      <c r="R4" s="26">
        <f t="shared" si="0"/>
        <v>11</v>
      </c>
    </row>
    <row r="5" spans="1:18" x14ac:dyDescent="0.25">
      <c r="A5" s="15" t="s">
        <v>1244</v>
      </c>
      <c r="I5" s="7" t="s">
        <v>84</v>
      </c>
      <c r="J5" s="20" t="s">
        <v>1243</v>
      </c>
      <c r="R5" s="26">
        <f t="shared" si="0"/>
        <v>11</v>
      </c>
    </row>
    <row r="6" spans="1:18" x14ac:dyDescent="0.25">
      <c r="A6" s="15" t="s">
        <v>1245</v>
      </c>
      <c r="I6" s="7" t="s">
        <v>144</v>
      </c>
      <c r="J6" s="20" t="s">
        <v>1243</v>
      </c>
      <c r="R6" s="26">
        <f t="shared" si="0"/>
        <v>11</v>
      </c>
    </row>
    <row r="7" spans="1:18" ht="18.75" customHeight="1" x14ac:dyDescent="0.25">
      <c r="A7" s="17" t="s">
        <v>1246</v>
      </c>
      <c r="I7" s="7" t="s">
        <v>169</v>
      </c>
      <c r="J7" s="21" t="s">
        <v>1247</v>
      </c>
      <c r="R7" s="26">
        <f t="shared" si="0"/>
        <v>11</v>
      </c>
    </row>
    <row r="8" spans="1:18" x14ac:dyDescent="0.25">
      <c r="A8" s="17" t="s">
        <v>1248</v>
      </c>
      <c r="I8" s="7" t="s">
        <v>777</v>
      </c>
      <c r="J8" s="17" t="s">
        <v>1249</v>
      </c>
      <c r="R8" s="26">
        <f t="shared" si="0"/>
        <v>11</v>
      </c>
    </row>
    <row r="9" spans="1:18" x14ac:dyDescent="0.25">
      <c r="A9" s="17" t="s">
        <v>1250</v>
      </c>
      <c r="R9" s="26">
        <f t="shared" si="0"/>
        <v>13</v>
      </c>
    </row>
    <row r="10" spans="1:18" x14ac:dyDescent="0.25">
      <c r="A10" s="17" t="s">
        <v>1251</v>
      </c>
      <c r="R10" s="26">
        <f t="shared" si="0"/>
        <v>13</v>
      </c>
    </row>
    <row r="11" spans="1:18" x14ac:dyDescent="0.25">
      <c r="A11" s="17" t="s">
        <v>1252</v>
      </c>
      <c r="R11" s="26">
        <f t="shared" si="0"/>
        <v>13</v>
      </c>
    </row>
    <row r="12" spans="1:18" x14ac:dyDescent="0.25">
      <c r="A12" s="17" t="s">
        <v>1253</v>
      </c>
      <c r="R12" s="26">
        <f t="shared" si="0"/>
        <v>13</v>
      </c>
    </row>
    <row r="13" spans="1:18" x14ac:dyDescent="0.25">
      <c r="A13" s="17" t="str">
        <f>HYPERLINK("http:\\10.36.174.178\asvao\HURH\D. MEDICA\RADIOFISICA\Dosis pacientes\Alertas_Intervencionismo","DIRECCION")</f>
        <v>DIRECCION</v>
      </c>
      <c r="R13" s="26">
        <f t="shared" si="0"/>
        <v>13</v>
      </c>
    </row>
    <row r="14" spans="1:18" x14ac:dyDescent="0.25">
      <c r="R14" s="26">
        <f t="shared" si="0"/>
        <v>14</v>
      </c>
    </row>
    <row r="15" spans="1:18" x14ac:dyDescent="0.25">
      <c r="R15" s="26">
        <f t="shared" si="0"/>
        <v>14</v>
      </c>
    </row>
    <row r="16" spans="1:18" x14ac:dyDescent="0.25">
      <c r="R16" s="26">
        <f t="shared" si="0"/>
        <v>14</v>
      </c>
    </row>
    <row r="22" spans="1:1" x14ac:dyDescent="0.25">
      <c r="A22">
        <f ca="1">TODAY()</f>
        <v>45569</v>
      </c>
    </row>
    <row r="23" spans="1:1" x14ac:dyDescent="0.25">
      <c r="A23" s="19"/>
    </row>
    <row r="28" spans="1:1" x14ac:dyDescent="0.25">
      <c r="A28">
        <f ca="1">WEEKDAY(TODAY(),2)</f>
        <v>5</v>
      </c>
    </row>
    <row r="34" spans="1:2" x14ac:dyDescent="0.25">
      <c r="A34" t="s">
        <v>1254</v>
      </c>
      <c r="B34" t="s">
        <v>1255</v>
      </c>
    </row>
    <row r="35" spans="1:2" x14ac:dyDescent="0.25">
      <c r="A35">
        <v>3</v>
      </c>
      <c r="B35">
        <v>15</v>
      </c>
    </row>
    <row r="37" spans="1:2" x14ac:dyDescent="0.25">
      <c r="A37" t="s">
        <v>777</v>
      </c>
    </row>
    <row r="38" spans="1:2" x14ac:dyDescent="0.25">
      <c r="A38" t="s">
        <v>1256</v>
      </c>
    </row>
    <row r="39" spans="1:2" x14ac:dyDescent="0.25">
      <c r="A39" t="s">
        <v>1257</v>
      </c>
    </row>
    <row r="40" spans="1:2" x14ac:dyDescent="0.25">
      <c r="A40" t="s">
        <v>1256</v>
      </c>
    </row>
    <row r="41" spans="1:2" x14ac:dyDescent="0.25">
      <c r="A41" t="s">
        <v>169</v>
      </c>
    </row>
    <row r="42" spans="1:2" x14ac:dyDescent="0.25">
      <c r="A42" t="s">
        <v>1256</v>
      </c>
    </row>
  </sheetData>
  <hyperlinks>
    <hyperlink ref="J2" r:id="rId1" display="jeferayosHCUV@saludcastillayleon.es"/>
    <hyperlink ref="J3" r:id="rId2" display="jefesecciónhemodinámica@saludcastillayleon.es"/>
    <hyperlink ref="J4" r:id="rId3" display="jefesecciónhemodinámica@saludcastillayleon.es"/>
    <hyperlink ref="J5" r:id="rId4" display="jefesecciónhemodinámica@saludcastillayleon.es"/>
    <hyperlink ref="J6" r:id="rId5" display="jefesecciónhemodinámica@saludcastillayleon.es"/>
    <hyperlink ref="A7" r:id="rId6"/>
    <hyperlink ref="J7" r:id="rId7" display="mailto:mschuller@saludcastillayleon.es"/>
    <hyperlink ref="A8" r:id="rId8"/>
    <hyperlink ref="J8" r:id="rId9"/>
    <hyperlink ref="A9" r:id="rId10"/>
    <hyperlink ref="A10" r:id="rId11"/>
    <hyperlink ref="A11" r:id="rId12"/>
    <hyperlink ref="A12" r:id="rId13"/>
    <hyperlink ref="A13" r:id="rId14" display="\\10.36.174.178\asvao\HURH\D. MEDICA\RADIOFISICA\Dosis pacientes\Alertas_Intervencionismo"/>
  </hyperlinks>
  <pageMargins left="0.7" right="0.7" top="0.75" bottom="0.75" header="0.3" footer="0.3"/>
  <pageSetup paperSize="9" orientation="portrait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17" name="BOTON1">
              <controlPr defaultSize="0" print="0" autoFill="0" autoPict="0" macro="[0]!validar1">
                <anchor moveWithCells="1" sizeWithCells="1">
                  <from>
                    <xdr:col>5</xdr:col>
                    <xdr:colOff>114300</xdr:colOff>
                    <xdr:row>9</xdr:row>
                    <xdr:rowOff>28575</xdr:rowOff>
                  </from>
                  <to>
                    <xdr:col>5</xdr:col>
                    <xdr:colOff>657225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18" name="Button 2">
              <controlPr defaultSize="0" print="0" autoFill="0" autoPict="0" macro="[0]!descartar1">
                <anchor moveWithCells="1" sizeWithCells="1">
                  <from>
                    <xdr:col>6</xdr:col>
                    <xdr:colOff>66675</xdr:colOff>
                    <xdr:row>9</xdr:row>
                    <xdr:rowOff>19050</xdr:rowOff>
                  </from>
                  <to>
                    <xdr:col>6</xdr:col>
                    <xdr:colOff>704850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19" name="Button 3">
              <controlPr defaultSize="0" print="0" autoFill="0" autoPict="0" macro="[0]!Validar2">
                <anchor moveWithCells="1" sizeWithCells="1">
                  <from>
                    <xdr:col>5</xdr:col>
                    <xdr:colOff>114300</xdr:colOff>
                    <xdr:row>10</xdr:row>
                    <xdr:rowOff>19050</xdr:rowOff>
                  </from>
                  <to>
                    <xdr:col>5</xdr:col>
                    <xdr:colOff>657225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20" name="Button 4">
              <controlPr defaultSize="0" print="0" autoFill="0" autoPict="0" macro="[0]!Descartar2">
                <anchor moveWithCells="1" sizeWithCells="1">
                  <from>
                    <xdr:col>6</xdr:col>
                    <xdr:colOff>66675</xdr:colOff>
                    <xdr:row>10</xdr:row>
                    <xdr:rowOff>19050</xdr:rowOff>
                  </from>
                  <to>
                    <xdr:col>6</xdr:col>
                    <xdr:colOff>704850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21" name="Button 5">
              <controlPr defaultSize="0" print="0" autoFill="0" autoPict="0" macro="[0]!Validar3">
                <anchor moveWithCells="1" sizeWithCells="1">
                  <from>
                    <xdr:col>5</xdr:col>
                    <xdr:colOff>114300</xdr:colOff>
                    <xdr:row>11</xdr:row>
                    <xdr:rowOff>19050</xdr:rowOff>
                  </from>
                  <to>
                    <xdr:col>5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22" name="Button 6">
              <controlPr defaultSize="0" print="0" autoFill="0" autoPict="0" macro="[0]!Descartar3">
                <anchor moveWithCells="1" sizeWithCells="1">
                  <from>
                    <xdr:col>6</xdr:col>
                    <xdr:colOff>66675</xdr:colOff>
                    <xdr:row>11</xdr:row>
                    <xdr:rowOff>19050</xdr:rowOff>
                  </from>
                  <to>
                    <xdr:col>6</xdr:col>
                    <xdr:colOff>704850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23" name="Button 7">
              <controlPr defaultSize="0" print="0" autoFill="0" autoPict="0" macro="[0]!Validar4">
                <anchor moveWithCells="1" sizeWithCells="1">
                  <from>
                    <xdr:col>5</xdr:col>
                    <xdr:colOff>114300</xdr:colOff>
                    <xdr:row>12</xdr:row>
                    <xdr:rowOff>19050</xdr:rowOff>
                  </from>
                  <to>
                    <xdr:col>5</xdr:col>
                    <xdr:colOff>657225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24" name="Button 8">
              <controlPr defaultSize="0" print="0" autoFill="0" autoPict="0" macro="[0]!Descartar4">
                <anchor moveWithCells="1" sizeWithCells="1">
                  <from>
                    <xdr:col>6</xdr:col>
                    <xdr:colOff>66675</xdr:colOff>
                    <xdr:row>12</xdr:row>
                    <xdr:rowOff>19050</xdr:rowOff>
                  </from>
                  <to>
                    <xdr:col>6</xdr:col>
                    <xdr:colOff>704850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25" name="Button 9">
              <controlPr defaultSize="0" print="0" autoFill="0" autoPict="0" macro="[0]!Validar5">
                <anchor moveWithCells="1" sizeWithCells="1">
                  <from>
                    <xdr:col>5</xdr:col>
                    <xdr:colOff>114300</xdr:colOff>
                    <xdr:row>13</xdr:row>
                    <xdr:rowOff>19050</xdr:rowOff>
                  </from>
                  <to>
                    <xdr:col>5</xdr:col>
                    <xdr:colOff>657225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26" name="Button 10">
              <controlPr defaultSize="0" print="0" autoFill="0" autoPict="0" macro="[0]!Descartar5">
                <anchor moveWithCells="1" sizeWithCells="1">
                  <from>
                    <xdr:col>6</xdr:col>
                    <xdr:colOff>66675</xdr:colOff>
                    <xdr:row>13</xdr:row>
                    <xdr:rowOff>19050</xdr:rowOff>
                  </from>
                  <to>
                    <xdr:col>6</xdr:col>
                    <xdr:colOff>704850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27" name="Button 11">
              <controlPr defaultSize="0" print="0" autoFill="0" autoPict="0" macro="[0]!Validar6">
                <anchor moveWithCells="1" sizeWithCells="1">
                  <from>
                    <xdr:col>5</xdr:col>
                    <xdr:colOff>114300</xdr:colOff>
                    <xdr:row>14</xdr:row>
                    <xdr:rowOff>19050</xdr:rowOff>
                  </from>
                  <to>
                    <xdr:col>5</xdr:col>
                    <xdr:colOff>657225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28" name="Button 12">
              <controlPr defaultSize="0" print="0" autoFill="0" autoPict="0" macro="[0]!Descartar6">
                <anchor moveWithCells="1" sizeWithCells="1">
                  <from>
                    <xdr:col>6</xdr:col>
                    <xdr:colOff>66675</xdr:colOff>
                    <xdr:row>14</xdr:row>
                    <xdr:rowOff>19050</xdr:rowOff>
                  </from>
                  <to>
                    <xdr:col>6</xdr:col>
                    <xdr:colOff>704850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29" name="Button 13">
              <controlPr defaultSize="0" print="0" autoFill="0" autoPict="0" macro="[0]!Validar7">
                <anchor moveWithCells="1" sizeWithCells="1">
                  <from>
                    <xdr:col>5</xdr:col>
                    <xdr:colOff>114300</xdr:colOff>
                    <xdr:row>15</xdr:row>
                    <xdr:rowOff>19050</xdr:rowOff>
                  </from>
                  <to>
                    <xdr:col>5</xdr:col>
                    <xdr:colOff>657225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30" name="Button 14">
              <controlPr defaultSize="0" print="0" autoFill="0" autoPict="0" macro="[0]!Descartar7">
                <anchor moveWithCells="1" sizeWithCells="1">
                  <from>
                    <xdr:col>6</xdr:col>
                    <xdr:colOff>66675</xdr:colOff>
                    <xdr:row>15</xdr:row>
                    <xdr:rowOff>19050</xdr:rowOff>
                  </from>
                  <to>
                    <xdr:col>6</xdr:col>
                    <xdr:colOff>704850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31" name="Button 15">
              <controlPr defaultSize="0" print="0" autoFill="0" autoPict="0" macro="[0]!Validar8">
                <anchor moveWithCells="1" sizeWithCells="1">
                  <from>
                    <xdr:col>5</xdr:col>
                    <xdr:colOff>114300</xdr:colOff>
                    <xdr:row>16</xdr:row>
                    <xdr:rowOff>19050</xdr:rowOff>
                  </from>
                  <to>
                    <xdr:col>5</xdr:col>
                    <xdr:colOff>657225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32" name="Button 16">
              <controlPr defaultSize="0" print="0" autoFill="0" autoPict="0" macro="[0]!Descartar8">
                <anchor moveWithCells="1" sizeWithCells="1">
                  <from>
                    <xdr:col>6</xdr:col>
                    <xdr:colOff>66675</xdr:colOff>
                    <xdr:row>16</xdr:row>
                    <xdr:rowOff>19050</xdr:rowOff>
                  </from>
                  <to>
                    <xdr:col>6</xdr:col>
                    <xdr:colOff>704850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33" name="Button 17">
              <controlPr defaultSize="0" print="0" autoFill="0" autoPict="0" macro="[0]!Validar9">
                <anchor moveWithCells="1" sizeWithCells="1">
                  <from>
                    <xdr:col>5</xdr:col>
                    <xdr:colOff>114300</xdr:colOff>
                    <xdr:row>17</xdr:row>
                    <xdr:rowOff>19050</xdr:rowOff>
                  </from>
                  <to>
                    <xdr:col>5</xdr:col>
                    <xdr:colOff>657225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34" name="Button 18">
              <controlPr defaultSize="0" print="0" autoFill="0" autoPict="0" macro="[0]!Descartar9">
                <anchor moveWithCells="1" sizeWithCells="1">
                  <from>
                    <xdr:col>6</xdr:col>
                    <xdr:colOff>66675</xdr:colOff>
                    <xdr:row>17</xdr:row>
                    <xdr:rowOff>19050</xdr:rowOff>
                  </from>
                  <to>
                    <xdr:col>6</xdr:col>
                    <xdr:colOff>704850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35" name="Button 19">
              <controlPr defaultSize="0" print="0" autoFill="0" autoPict="0" macro="[0]!Validar10">
                <anchor moveWithCells="1" sizeWithCells="1">
                  <from>
                    <xdr:col>5</xdr:col>
                    <xdr:colOff>114300</xdr:colOff>
                    <xdr:row>18</xdr:row>
                    <xdr:rowOff>19050</xdr:rowOff>
                  </from>
                  <to>
                    <xdr:col>5</xdr:col>
                    <xdr:colOff>657225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36" name="Button 20">
              <controlPr defaultSize="0" print="0" autoFill="0" autoPict="0" macro="[0]!Descartar10">
                <anchor moveWithCells="1" sizeWithCells="1">
                  <from>
                    <xdr:col>6</xdr:col>
                    <xdr:colOff>66675</xdr:colOff>
                    <xdr:row>18</xdr:row>
                    <xdr:rowOff>19050</xdr:rowOff>
                  </from>
                  <to>
                    <xdr:col>6</xdr:col>
                    <xdr:colOff>704850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37" name="Button 21">
              <controlPr defaultSize="0" print="0" autoFill="0" autoPict="0" macro="[0]!Validar11">
                <anchor moveWithCells="1" sizeWithCells="1">
                  <from>
                    <xdr:col>5</xdr:col>
                    <xdr:colOff>114300</xdr:colOff>
                    <xdr:row>19</xdr:row>
                    <xdr:rowOff>19050</xdr:rowOff>
                  </from>
                  <to>
                    <xdr:col>5</xdr:col>
                    <xdr:colOff>657225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38" name="Button 22">
              <controlPr defaultSize="0" print="0" autoFill="0" autoPict="0" macro="[0]!descartar11">
                <anchor moveWithCells="1" sizeWithCells="1">
                  <from>
                    <xdr:col>6</xdr:col>
                    <xdr:colOff>66675</xdr:colOff>
                    <xdr:row>19</xdr:row>
                    <xdr:rowOff>19050</xdr:rowOff>
                  </from>
                  <to>
                    <xdr:col>6</xdr:col>
                    <xdr:colOff>704850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39" name="Button 23">
              <controlPr defaultSize="0" print="0" autoFill="0" autoPict="0" macro="[0]!Validar12">
                <anchor moveWithCells="1" sizeWithCells="1">
                  <from>
                    <xdr:col>5</xdr:col>
                    <xdr:colOff>114300</xdr:colOff>
                    <xdr:row>20</xdr:row>
                    <xdr:rowOff>19050</xdr:rowOff>
                  </from>
                  <to>
                    <xdr:col>5</xdr:col>
                    <xdr:colOff>657225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40" name="Button 24">
              <controlPr defaultSize="0" print="0" autoFill="0" autoPict="0" macro="[0]!descartar12">
                <anchor moveWithCells="1" sizeWithCells="1">
                  <from>
                    <xdr:col>6</xdr:col>
                    <xdr:colOff>66675</xdr:colOff>
                    <xdr:row>20</xdr:row>
                    <xdr:rowOff>19050</xdr:rowOff>
                  </from>
                  <to>
                    <xdr:col>6</xdr:col>
                    <xdr:colOff>704850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41" name="Button 25">
              <controlPr defaultSize="0" print="0" autoFill="0" autoPict="0" macro="[0]!Validar13">
                <anchor moveWithCells="1" sizeWithCells="1">
                  <from>
                    <xdr:col>5</xdr:col>
                    <xdr:colOff>114300</xdr:colOff>
                    <xdr:row>21</xdr:row>
                    <xdr:rowOff>19050</xdr:rowOff>
                  </from>
                  <to>
                    <xdr:col>5</xdr:col>
                    <xdr:colOff>657225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42" name="Button 26">
              <controlPr defaultSize="0" print="0" autoFill="0" autoPict="0" macro="[0]!Descartar13">
                <anchor moveWithCells="1" sizeWithCells="1">
                  <from>
                    <xdr:col>6</xdr:col>
                    <xdr:colOff>66675</xdr:colOff>
                    <xdr:row>21</xdr:row>
                    <xdr:rowOff>19050</xdr:rowOff>
                  </from>
                  <to>
                    <xdr:col>6</xdr:col>
                    <xdr:colOff>704850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43" name="Button 27">
              <controlPr defaultSize="0" print="0" autoFill="0" autoPict="0" macro="[0]!Validar14">
                <anchor moveWithCells="1" sizeWithCells="1">
                  <from>
                    <xdr:col>5</xdr:col>
                    <xdr:colOff>114300</xdr:colOff>
                    <xdr:row>22</xdr:row>
                    <xdr:rowOff>19050</xdr:rowOff>
                  </from>
                  <to>
                    <xdr:col>5</xdr:col>
                    <xdr:colOff>657225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44" name="Button 28">
              <controlPr defaultSize="0" print="0" autoFill="0" autoPict="0" macro="[0]!Descartar14">
                <anchor moveWithCells="1" sizeWithCells="1">
                  <from>
                    <xdr:col>6</xdr:col>
                    <xdr:colOff>66675</xdr:colOff>
                    <xdr:row>22</xdr:row>
                    <xdr:rowOff>19050</xdr:rowOff>
                  </from>
                  <to>
                    <xdr:col>6</xdr:col>
                    <xdr:colOff>704850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45" name="Button 29">
              <controlPr defaultSize="0" print="0" autoFill="0" autoPict="0" macro="[0]!Validar15">
                <anchor moveWithCells="1" sizeWithCells="1">
                  <from>
                    <xdr:col>5</xdr:col>
                    <xdr:colOff>114300</xdr:colOff>
                    <xdr:row>23</xdr:row>
                    <xdr:rowOff>19050</xdr:rowOff>
                  </from>
                  <to>
                    <xdr:col>5</xdr:col>
                    <xdr:colOff>657225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46" name="Button 30">
              <controlPr defaultSize="0" print="0" autoFill="0" autoPict="0" macro="[0]!Descartar15">
                <anchor moveWithCells="1" sizeWithCells="1">
                  <from>
                    <xdr:col>6</xdr:col>
                    <xdr:colOff>66675</xdr:colOff>
                    <xdr:row>23</xdr:row>
                    <xdr:rowOff>19050</xdr:rowOff>
                  </from>
                  <to>
                    <xdr:col>6</xdr:col>
                    <xdr:colOff>704850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47" name="BOTON2">
              <controlPr defaultSize="0" print="0" autoFill="0" autoPict="0" macro="[0]!descartar1">
                <anchor moveWithCells="1" sizeWithCells="1">
                  <from>
                    <xdr:col>6</xdr:col>
                    <xdr:colOff>66675</xdr:colOff>
                    <xdr:row>9</xdr:row>
                    <xdr:rowOff>19050</xdr:rowOff>
                  </from>
                  <to>
                    <xdr:col>6</xdr:col>
                    <xdr:colOff>704850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48" name="BOTON3">
              <controlPr defaultSize="0" print="0" autoFill="0" autoPict="0" macro="[0]!Validar2">
                <anchor moveWithCells="1" sizeWithCells="1">
                  <from>
                    <xdr:col>5</xdr:col>
                    <xdr:colOff>114300</xdr:colOff>
                    <xdr:row>10</xdr:row>
                    <xdr:rowOff>19050</xdr:rowOff>
                  </from>
                  <to>
                    <xdr:col>5</xdr:col>
                    <xdr:colOff>657225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49" name="BOTON4">
              <controlPr defaultSize="0" print="0" autoFill="0" autoPict="0" macro="[0]!Descartar2">
                <anchor moveWithCells="1" sizeWithCells="1">
                  <from>
                    <xdr:col>6</xdr:col>
                    <xdr:colOff>66675</xdr:colOff>
                    <xdr:row>10</xdr:row>
                    <xdr:rowOff>19050</xdr:rowOff>
                  </from>
                  <to>
                    <xdr:col>6</xdr:col>
                    <xdr:colOff>704850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50" name="BOTON5">
              <controlPr defaultSize="0" print="0" autoFill="0" autoPict="0" macro="[0]!Validar3">
                <anchor moveWithCells="1" sizeWithCells="1">
                  <from>
                    <xdr:col>5</xdr:col>
                    <xdr:colOff>114300</xdr:colOff>
                    <xdr:row>11</xdr:row>
                    <xdr:rowOff>19050</xdr:rowOff>
                  </from>
                  <to>
                    <xdr:col>5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51" name="BOTON6">
              <controlPr defaultSize="0" print="0" autoFill="0" autoPict="0" macro="[0]!Descartar3">
                <anchor moveWithCells="1" sizeWithCells="1">
                  <from>
                    <xdr:col>6</xdr:col>
                    <xdr:colOff>66675</xdr:colOff>
                    <xdr:row>11</xdr:row>
                    <xdr:rowOff>19050</xdr:rowOff>
                  </from>
                  <to>
                    <xdr:col>6</xdr:col>
                    <xdr:colOff>704850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52" name="BOTON7">
              <controlPr defaultSize="0" print="0" autoFill="0" autoPict="0" macro="[0]!Validar4">
                <anchor moveWithCells="1" sizeWithCells="1">
                  <from>
                    <xdr:col>5</xdr:col>
                    <xdr:colOff>114300</xdr:colOff>
                    <xdr:row>12</xdr:row>
                    <xdr:rowOff>19050</xdr:rowOff>
                  </from>
                  <to>
                    <xdr:col>5</xdr:col>
                    <xdr:colOff>657225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53" name="BOTON8">
              <controlPr defaultSize="0" print="0" autoFill="0" autoPict="0" macro="[0]!Descartar4">
                <anchor moveWithCells="1" sizeWithCells="1">
                  <from>
                    <xdr:col>6</xdr:col>
                    <xdr:colOff>66675</xdr:colOff>
                    <xdr:row>12</xdr:row>
                    <xdr:rowOff>19050</xdr:rowOff>
                  </from>
                  <to>
                    <xdr:col>6</xdr:col>
                    <xdr:colOff>704850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54" name="BOTON9">
              <controlPr defaultSize="0" print="0" autoFill="0" autoPict="0" macro="[0]!Validar5">
                <anchor moveWithCells="1" sizeWithCells="1">
                  <from>
                    <xdr:col>5</xdr:col>
                    <xdr:colOff>114300</xdr:colOff>
                    <xdr:row>13</xdr:row>
                    <xdr:rowOff>19050</xdr:rowOff>
                  </from>
                  <to>
                    <xdr:col>5</xdr:col>
                    <xdr:colOff>657225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55" name="BOTON10">
              <controlPr defaultSize="0" print="0" autoFill="0" autoPict="0" macro="[0]!Descartar5">
                <anchor moveWithCells="1" sizeWithCells="1">
                  <from>
                    <xdr:col>6</xdr:col>
                    <xdr:colOff>66675</xdr:colOff>
                    <xdr:row>13</xdr:row>
                    <xdr:rowOff>19050</xdr:rowOff>
                  </from>
                  <to>
                    <xdr:col>6</xdr:col>
                    <xdr:colOff>704850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56" name="BOTON11">
              <controlPr defaultSize="0" print="0" autoFill="0" autoPict="0" macro="[0]!Validar6">
                <anchor moveWithCells="1" sizeWithCells="1">
                  <from>
                    <xdr:col>5</xdr:col>
                    <xdr:colOff>114300</xdr:colOff>
                    <xdr:row>14</xdr:row>
                    <xdr:rowOff>19050</xdr:rowOff>
                  </from>
                  <to>
                    <xdr:col>5</xdr:col>
                    <xdr:colOff>657225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57" name="BOTON12">
              <controlPr defaultSize="0" print="0" autoFill="0" autoPict="0" macro="[0]!Descartar6">
                <anchor moveWithCells="1" sizeWithCells="1">
                  <from>
                    <xdr:col>6</xdr:col>
                    <xdr:colOff>66675</xdr:colOff>
                    <xdr:row>14</xdr:row>
                    <xdr:rowOff>19050</xdr:rowOff>
                  </from>
                  <to>
                    <xdr:col>6</xdr:col>
                    <xdr:colOff>704850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58" name="BOTON13">
              <controlPr defaultSize="0" print="0" autoFill="0" autoPict="0" macro="[0]!Validar7">
                <anchor moveWithCells="1" sizeWithCells="1">
                  <from>
                    <xdr:col>5</xdr:col>
                    <xdr:colOff>114300</xdr:colOff>
                    <xdr:row>15</xdr:row>
                    <xdr:rowOff>19050</xdr:rowOff>
                  </from>
                  <to>
                    <xdr:col>5</xdr:col>
                    <xdr:colOff>657225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59" name="BOTON14">
              <controlPr defaultSize="0" print="0" autoFill="0" autoPict="0" macro="[0]!Descartar7">
                <anchor moveWithCells="1" sizeWithCells="1">
                  <from>
                    <xdr:col>6</xdr:col>
                    <xdr:colOff>66675</xdr:colOff>
                    <xdr:row>15</xdr:row>
                    <xdr:rowOff>19050</xdr:rowOff>
                  </from>
                  <to>
                    <xdr:col>6</xdr:col>
                    <xdr:colOff>704850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60" name="BOTON15">
              <controlPr defaultSize="0" print="0" autoFill="0" autoPict="0" macro="[0]!Validar8">
                <anchor moveWithCells="1" sizeWithCells="1">
                  <from>
                    <xdr:col>5</xdr:col>
                    <xdr:colOff>114300</xdr:colOff>
                    <xdr:row>16</xdr:row>
                    <xdr:rowOff>19050</xdr:rowOff>
                  </from>
                  <to>
                    <xdr:col>5</xdr:col>
                    <xdr:colOff>657225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61" name="BOTON16">
              <controlPr defaultSize="0" print="0" autoFill="0" autoPict="0" macro="[0]!Descartar8">
                <anchor moveWithCells="1" sizeWithCells="1">
                  <from>
                    <xdr:col>6</xdr:col>
                    <xdr:colOff>66675</xdr:colOff>
                    <xdr:row>16</xdr:row>
                    <xdr:rowOff>19050</xdr:rowOff>
                  </from>
                  <to>
                    <xdr:col>6</xdr:col>
                    <xdr:colOff>704850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62" name="BOTON17">
              <controlPr defaultSize="0" print="0" autoFill="0" autoPict="0" macro="[0]!Validar9">
                <anchor moveWithCells="1" sizeWithCells="1">
                  <from>
                    <xdr:col>5</xdr:col>
                    <xdr:colOff>114300</xdr:colOff>
                    <xdr:row>17</xdr:row>
                    <xdr:rowOff>19050</xdr:rowOff>
                  </from>
                  <to>
                    <xdr:col>5</xdr:col>
                    <xdr:colOff>657225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63" name="BOTON18">
              <controlPr defaultSize="0" print="0" autoFill="0" autoPict="0" macro="[0]!Descartar9">
                <anchor moveWithCells="1" sizeWithCells="1">
                  <from>
                    <xdr:col>6</xdr:col>
                    <xdr:colOff>66675</xdr:colOff>
                    <xdr:row>17</xdr:row>
                    <xdr:rowOff>19050</xdr:rowOff>
                  </from>
                  <to>
                    <xdr:col>6</xdr:col>
                    <xdr:colOff>704850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64" name="BOTON19">
              <controlPr defaultSize="0" print="0" autoFill="0" autoPict="0" macro="[0]!Validar10">
                <anchor moveWithCells="1" sizeWithCells="1">
                  <from>
                    <xdr:col>5</xdr:col>
                    <xdr:colOff>114300</xdr:colOff>
                    <xdr:row>18</xdr:row>
                    <xdr:rowOff>19050</xdr:rowOff>
                  </from>
                  <to>
                    <xdr:col>5</xdr:col>
                    <xdr:colOff>657225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65" name="BOTON20">
              <controlPr defaultSize="0" print="0" autoFill="0" autoPict="0" macro="[0]!Descartar10">
                <anchor moveWithCells="1" sizeWithCells="1">
                  <from>
                    <xdr:col>6</xdr:col>
                    <xdr:colOff>66675</xdr:colOff>
                    <xdr:row>18</xdr:row>
                    <xdr:rowOff>19050</xdr:rowOff>
                  </from>
                  <to>
                    <xdr:col>6</xdr:col>
                    <xdr:colOff>704850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66" name="BOTON21">
              <controlPr defaultSize="0" print="0" autoFill="0" autoPict="0" macro="[0]!Validar11">
                <anchor moveWithCells="1" sizeWithCells="1">
                  <from>
                    <xdr:col>5</xdr:col>
                    <xdr:colOff>114300</xdr:colOff>
                    <xdr:row>19</xdr:row>
                    <xdr:rowOff>19050</xdr:rowOff>
                  </from>
                  <to>
                    <xdr:col>5</xdr:col>
                    <xdr:colOff>657225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67" name="BOTON22">
              <controlPr defaultSize="0" print="0" autoFill="0" autoPict="0" macro="[0]!descartar11">
                <anchor moveWithCells="1" sizeWithCells="1">
                  <from>
                    <xdr:col>6</xdr:col>
                    <xdr:colOff>66675</xdr:colOff>
                    <xdr:row>19</xdr:row>
                    <xdr:rowOff>19050</xdr:rowOff>
                  </from>
                  <to>
                    <xdr:col>6</xdr:col>
                    <xdr:colOff>704850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68" name="BOTON23">
              <controlPr defaultSize="0" print="0" autoFill="0" autoPict="0" macro="[0]!Validar12">
                <anchor moveWithCells="1" sizeWithCells="1">
                  <from>
                    <xdr:col>5</xdr:col>
                    <xdr:colOff>114300</xdr:colOff>
                    <xdr:row>20</xdr:row>
                    <xdr:rowOff>19050</xdr:rowOff>
                  </from>
                  <to>
                    <xdr:col>5</xdr:col>
                    <xdr:colOff>657225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69" name="BOTON24">
              <controlPr defaultSize="0" print="0" autoFill="0" autoPict="0" macro="[0]!descartar12">
                <anchor moveWithCells="1" sizeWithCells="1">
                  <from>
                    <xdr:col>6</xdr:col>
                    <xdr:colOff>66675</xdr:colOff>
                    <xdr:row>20</xdr:row>
                    <xdr:rowOff>19050</xdr:rowOff>
                  </from>
                  <to>
                    <xdr:col>6</xdr:col>
                    <xdr:colOff>704850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70" name="BOTON25">
              <controlPr defaultSize="0" print="0" autoFill="0" autoPict="0" macro="[0]!Validar13">
                <anchor moveWithCells="1" sizeWithCells="1">
                  <from>
                    <xdr:col>5</xdr:col>
                    <xdr:colOff>114300</xdr:colOff>
                    <xdr:row>21</xdr:row>
                    <xdr:rowOff>19050</xdr:rowOff>
                  </from>
                  <to>
                    <xdr:col>5</xdr:col>
                    <xdr:colOff>657225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71" name="BOTON26">
              <controlPr defaultSize="0" print="0" autoFill="0" autoPict="0" macro="[0]!Descartar13">
                <anchor moveWithCells="1" sizeWithCells="1">
                  <from>
                    <xdr:col>6</xdr:col>
                    <xdr:colOff>66675</xdr:colOff>
                    <xdr:row>21</xdr:row>
                    <xdr:rowOff>19050</xdr:rowOff>
                  </from>
                  <to>
                    <xdr:col>6</xdr:col>
                    <xdr:colOff>704850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72" name="BOTON27">
              <controlPr defaultSize="0" print="0" autoFill="0" autoPict="0" macro="[0]!Validar14">
                <anchor moveWithCells="1" sizeWithCells="1">
                  <from>
                    <xdr:col>5</xdr:col>
                    <xdr:colOff>114300</xdr:colOff>
                    <xdr:row>22</xdr:row>
                    <xdr:rowOff>19050</xdr:rowOff>
                  </from>
                  <to>
                    <xdr:col>5</xdr:col>
                    <xdr:colOff>657225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73" name="BOTON28">
              <controlPr defaultSize="0" print="0" autoFill="0" autoPict="0" macro="[0]!Descartar14">
                <anchor moveWithCells="1" sizeWithCells="1">
                  <from>
                    <xdr:col>6</xdr:col>
                    <xdr:colOff>66675</xdr:colOff>
                    <xdr:row>22</xdr:row>
                    <xdr:rowOff>19050</xdr:rowOff>
                  </from>
                  <to>
                    <xdr:col>6</xdr:col>
                    <xdr:colOff>704850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74" name="BOTON29">
              <controlPr defaultSize="0" print="0" autoFill="0" autoPict="0" macro="[0]!Validar15">
                <anchor moveWithCells="1" sizeWithCells="1">
                  <from>
                    <xdr:col>5</xdr:col>
                    <xdr:colOff>114300</xdr:colOff>
                    <xdr:row>23</xdr:row>
                    <xdr:rowOff>19050</xdr:rowOff>
                  </from>
                  <to>
                    <xdr:col>5</xdr:col>
                    <xdr:colOff>657225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75" name="BOTON30">
              <controlPr defaultSize="0" print="0" autoFill="0" autoPict="0" macro="[0]!Descartar15">
                <anchor moveWithCells="1" sizeWithCells="1">
                  <from>
                    <xdr:col>6</xdr:col>
                    <xdr:colOff>66675</xdr:colOff>
                    <xdr:row>23</xdr:row>
                    <xdr:rowOff>19050</xdr:rowOff>
                  </from>
                  <to>
                    <xdr:col>6</xdr:col>
                    <xdr:colOff>704850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76" name="Button 91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3</xdr:row>
                    <xdr:rowOff>38100</xdr:rowOff>
                  </from>
                  <to>
                    <xdr:col>19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77" name="Button 92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3</xdr:row>
                    <xdr:rowOff>28575</xdr:rowOff>
                  </from>
                  <to>
                    <xdr:col>20</xdr:col>
                    <xdr:colOff>257175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78" name="Button 93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4</xdr:row>
                    <xdr:rowOff>28575</xdr:rowOff>
                  </from>
                  <to>
                    <xdr:col>19</xdr:col>
                    <xdr:colOff>209550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79" name="Button 94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4</xdr:row>
                    <xdr:rowOff>28575</xdr:rowOff>
                  </from>
                  <to>
                    <xdr:col>20</xdr:col>
                    <xdr:colOff>257175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80" name="Button 95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5</xdr:row>
                    <xdr:rowOff>28575</xdr:rowOff>
                  </from>
                  <to>
                    <xdr:col>19</xdr:col>
                    <xdr:colOff>209550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81" name="Button 96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5</xdr:row>
                    <xdr:rowOff>28575</xdr:rowOff>
                  </from>
                  <to>
                    <xdr:col>20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82" name="Button 97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6</xdr:row>
                    <xdr:rowOff>28575</xdr:rowOff>
                  </from>
                  <to>
                    <xdr:col>19</xdr:col>
                    <xdr:colOff>209550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83" name="Button 98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6</xdr:row>
                    <xdr:rowOff>28575</xdr:rowOff>
                  </from>
                  <to>
                    <xdr:col>20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84" name="Button 99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6</xdr:row>
                    <xdr:rowOff>219075</xdr:rowOff>
                  </from>
                  <to>
                    <xdr:col>19</xdr:col>
                    <xdr:colOff>209550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85" name="Button 100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6</xdr:row>
                    <xdr:rowOff>219075</xdr:rowOff>
                  </from>
                  <to>
                    <xdr:col>20</xdr:col>
                    <xdr:colOff>257175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86" name="Button 101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7</xdr:row>
                    <xdr:rowOff>171450</xdr:rowOff>
                  </from>
                  <to>
                    <xdr:col>19</xdr:col>
                    <xdr:colOff>209550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87" name="Button 102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7</xdr:row>
                    <xdr:rowOff>171450</xdr:rowOff>
                  </from>
                  <to>
                    <xdr:col>20</xdr:col>
                    <xdr:colOff>257175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88" name="Button 103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8</xdr:row>
                    <xdr:rowOff>171450</xdr:rowOff>
                  </from>
                  <to>
                    <xdr:col>19</xdr:col>
                    <xdr:colOff>209550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89" name="Button 104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8</xdr:row>
                    <xdr:rowOff>171450</xdr:rowOff>
                  </from>
                  <to>
                    <xdr:col>20</xdr:col>
                    <xdr:colOff>257175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90" name="Button 105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9</xdr:row>
                    <xdr:rowOff>171450</xdr:rowOff>
                  </from>
                  <to>
                    <xdr:col>19</xdr:col>
                    <xdr:colOff>209550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91" name="Button 106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9</xdr:row>
                    <xdr:rowOff>171450</xdr:rowOff>
                  </from>
                  <to>
                    <xdr:col>20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92" name="Button 107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10</xdr:row>
                    <xdr:rowOff>171450</xdr:rowOff>
                  </from>
                  <to>
                    <xdr:col>19</xdr:col>
                    <xdr:colOff>209550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93" name="Button 108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10</xdr:row>
                    <xdr:rowOff>171450</xdr:rowOff>
                  </from>
                  <to>
                    <xdr:col>20</xdr:col>
                    <xdr:colOff>257175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94" name="Button 109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11</xdr:row>
                    <xdr:rowOff>171450</xdr:rowOff>
                  </from>
                  <to>
                    <xdr:col>19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95" name="Button 110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11</xdr:row>
                    <xdr:rowOff>171450</xdr:rowOff>
                  </from>
                  <to>
                    <xdr:col>20</xdr:col>
                    <xdr:colOff>257175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96" name="Button 111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12</xdr:row>
                    <xdr:rowOff>171450</xdr:rowOff>
                  </from>
                  <to>
                    <xdr:col>19</xdr:col>
                    <xdr:colOff>209550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97" name="Button 112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12</xdr:row>
                    <xdr:rowOff>171450</xdr:rowOff>
                  </from>
                  <to>
                    <xdr:col>20</xdr:col>
                    <xdr:colOff>257175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98" name="Button 113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13</xdr:row>
                    <xdr:rowOff>171450</xdr:rowOff>
                  </from>
                  <to>
                    <xdr:col>19</xdr:col>
                    <xdr:colOff>209550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99" name="Button 114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13</xdr:row>
                    <xdr:rowOff>171450</xdr:rowOff>
                  </from>
                  <to>
                    <xdr:col>20</xdr:col>
                    <xdr:colOff>257175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100" name="Button 115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14</xdr:row>
                    <xdr:rowOff>171450</xdr:rowOff>
                  </from>
                  <to>
                    <xdr:col>19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101" name="Button 116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14</xdr:row>
                    <xdr:rowOff>171450</xdr:rowOff>
                  </from>
                  <to>
                    <xdr:col>20</xdr:col>
                    <xdr:colOff>257175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102" name="Button 117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15</xdr:row>
                    <xdr:rowOff>171450</xdr:rowOff>
                  </from>
                  <to>
                    <xdr:col>19</xdr:col>
                    <xdr:colOff>209550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103" name="Button 118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15</xdr:row>
                    <xdr:rowOff>171450</xdr:rowOff>
                  </from>
                  <to>
                    <xdr:col>20</xdr:col>
                    <xdr:colOff>257175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104" name="Button 119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16</xdr:row>
                    <xdr:rowOff>171450</xdr:rowOff>
                  </from>
                  <to>
                    <xdr:col>19</xdr:col>
                    <xdr:colOff>209550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105" name="Button 120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16</xdr:row>
                    <xdr:rowOff>171450</xdr:rowOff>
                  </from>
                  <to>
                    <xdr:col>20</xdr:col>
                    <xdr:colOff>257175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" r:id="rId106" name="Button 122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3</xdr:row>
                    <xdr:rowOff>38100</xdr:rowOff>
                  </from>
                  <to>
                    <xdr:col>19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07" name="Button 123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3</xdr:row>
                    <xdr:rowOff>28575</xdr:rowOff>
                  </from>
                  <to>
                    <xdr:col>20</xdr:col>
                    <xdr:colOff>257175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108" name="Button 124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4</xdr:row>
                    <xdr:rowOff>28575</xdr:rowOff>
                  </from>
                  <to>
                    <xdr:col>19</xdr:col>
                    <xdr:colOff>209550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109" name="Button 125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4</xdr:row>
                    <xdr:rowOff>28575</xdr:rowOff>
                  </from>
                  <to>
                    <xdr:col>20</xdr:col>
                    <xdr:colOff>257175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110" name="Button 126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5</xdr:row>
                    <xdr:rowOff>28575</xdr:rowOff>
                  </from>
                  <to>
                    <xdr:col>19</xdr:col>
                    <xdr:colOff>209550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111" name="Button 127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5</xdr:row>
                    <xdr:rowOff>28575</xdr:rowOff>
                  </from>
                  <to>
                    <xdr:col>20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112" name="Button 128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6</xdr:row>
                    <xdr:rowOff>28575</xdr:rowOff>
                  </from>
                  <to>
                    <xdr:col>19</xdr:col>
                    <xdr:colOff>209550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113" name="Button 129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6</xdr:row>
                    <xdr:rowOff>28575</xdr:rowOff>
                  </from>
                  <to>
                    <xdr:col>20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114" name="Button 130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6</xdr:row>
                    <xdr:rowOff>219075</xdr:rowOff>
                  </from>
                  <to>
                    <xdr:col>19</xdr:col>
                    <xdr:colOff>209550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115" name="Button 131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6</xdr:row>
                    <xdr:rowOff>219075</xdr:rowOff>
                  </from>
                  <to>
                    <xdr:col>20</xdr:col>
                    <xdr:colOff>257175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116" name="Button 132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7</xdr:row>
                    <xdr:rowOff>171450</xdr:rowOff>
                  </from>
                  <to>
                    <xdr:col>19</xdr:col>
                    <xdr:colOff>209550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117" name="Button 133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7</xdr:row>
                    <xdr:rowOff>171450</xdr:rowOff>
                  </from>
                  <to>
                    <xdr:col>20</xdr:col>
                    <xdr:colOff>257175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118" name="Button 134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8</xdr:row>
                    <xdr:rowOff>171450</xdr:rowOff>
                  </from>
                  <to>
                    <xdr:col>19</xdr:col>
                    <xdr:colOff>209550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119" name="Button 135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8</xdr:row>
                    <xdr:rowOff>171450</xdr:rowOff>
                  </from>
                  <to>
                    <xdr:col>20</xdr:col>
                    <xdr:colOff>257175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120" name="Button 136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9</xdr:row>
                    <xdr:rowOff>171450</xdr:rowOff>
                  </from>
                  <to>
                    <xdr:col>19</xdr:col>
                    <xdr:colOff>209550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121" name="Button 137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9</xdr:row>
                    <xdr:rowOff>171450</xdr:rowOff>
                  </from>
                  <to>
                    <xdr:col>20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122" name="Button 138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10</xdr:row>
                    <xdr:rowOff>171450</xdr:rowOff>
                  </from>
                  <to>
                    <xdr:col>19</xdr:col>
                    <xdr:colOff>209550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123" name="Button 139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10</xdr:row>
                    <xdr:rowOff>171450</xdr:rowOff>
                  </from>
                  <to>
                    <xdr:col>20</xdr:col>
                    <xdr:colOff>257175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124" name="Button 140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11</xdr:row>
                    <xdr:rowOff>171450</xdr:rowOff>
                  </from>
                  <to>
                    <xdr:col>19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125" name="Button 141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11</xdr:row>
                    <xdr:rowOff>171450</xdr:rowOff>
                  </from>
                  <to>
                    <xdr:col>20</xdr:col>
                    <xdr:colOff>257175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126" name="Button 142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12</xdr:row>
                    <xdr:rowOff>171450</xdr:rowOff>
                  </from>
                  <to>
                    <xdr:col>19</xdr:col>
                    <xdr:colOff>209550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" r:id="rId127" name="Button 143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12</xdr:row>
                    <xdr:rowOff>171450</xdr:rowOff>
                  </from>
                  <to>
                    <xdr:col>20</xdr:col>
                    <xdr:colOff>257175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2" r:id="rId128" name="Button 144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13</xdr:row>
                    <xdr:rowOff>171450</xdr:rowOff>
                  </from>
                  <to>
                    <xdr:col>19</xdr:col>
                    <xdr:colOff>209550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129" name="Button 145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13</xdr:row>
                    <xdr:rowOff>171450</xdr:rowOff>
                  </from>
                  <to>
                    <xdr:col>20</xdr:col>
                    <xdr:colOff>257175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30" name="Button 146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14</xdr:row>
                    <xdr:rowOff>171450</xdr:rowOff>
                  </from>
                  <to>
                    <xdr:col>19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31" name="Button 147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14</xdr:row>
                    <xdr:rowOff>171450</xdr:rowOff>
                  </from>
                  <to>
                    <xdr:col>20</xdr:col>
                    <xdr:colOff>257175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32" name="Button 148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15</xdr:row>
                    <xdr:rowOff>171450</xdr:rowOff>
                  </from>
                  <to>
                    <xdr:col>19</xdr:col>
                    <xdr:colOff>209550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33" name="Button 149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15</xdr:row>
                    <xdr:rowOff>171450</xdr:rowOff>
                  </from>
                  <to>
                    <xdr:col>20</xdr:col>
                    <xdr:colOff>257175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34" name="Button 150">
              <controlPr defaultSize="0" print="0" autoFill="0" autoPict="0">
                <anchor moveWithCells="1" sizeWithCells="1">
                  <from>
                    <xdr:col>18</xdr:col>
                    <xdr:colOff>428625</xdr:colOff>
                    <xdr:row>16</xdr:row>
                    <xdr:rowOff>171450</xdr:rowOff>
                  </from>
                  <to>
                    <xdr:col>19</xdr:col>
                    <xdr:colOff>209550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35" name="Button 151">
              <controlPr defaultSize="0" print="0" autoFill="0" autoPict="0">
                <anchor moveWithCells="1" sizeWithCells="1">
                  <from>
                    <xdr:col>19</xdr:col>
                    <xdr:colOff>381000</xdr:colOff>
                    <xdr:row>16</xdr:row>
                    <xdr:rowOff>171450</xdr:rowOff>
                  </from>
                  <to>
                    <xdr:col>20</xdr:col>
                    <xdr:colOff>257175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9"/>
  <sheetViews>
    <sheetView topLeftCell="A10" zoomScaleNormal="100" workbookViewId="0">
      <selection activeCell="A4" sqref="A4:F55"/>
    </sheetView>
  </sheetViews>
  <sheetFormatPr baseColWidth="10" defaultRowHeight="15" x14ac:dyDescent="0.25"/>
  <cols>
    <col min="1" max="1" width="8.28515625" style="29" customWidth="1"/>
    <col min="3" max="3" width="15.5703125" style="29" customWidth="1"/>
    <col min="4" max="4" width="20.7109375" style="29" customWidth="1"/>
    <col min="5" max="5" width="29.5703125" style="29" customWidth="1"/>
    <col min="6" max="6" width="6.7109375" style="29" customWidth="1"/>
    <col min="7" max="7" width="25.140625" style="29" customWidth="1"/>
    <col min="13" max="14" width="14.28515625" style="29" customWidth="1"/>
    <col min="15" max="15" width="13.85546875" style="29" customWidth="1"/>
  </cols>
  <sheetData>
    <row r="1" spans="1:16" ht="60" customHeight="1" x14ac:dyDescent="0.25">
      <c r="A1" s="30" t="s">
        <v>0</v>
      </c>
      <c r="B1" s="30" t="s">
        <v>1</v>
      </c>
      <c r="C1" s="30" t="s">
        <v>2</v>
      </c>
      <c r="D1" s="30" t="s">
        <v>3</v>
      </c>
      <c r="E1" s="1" t="s">
        <v>4</v>
      </c>
      <c r="F1" s="1" t="s">
        <v>5</v>
      </c>
      <c r="G1" s="30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1258</v>
      </c>
      <c r="N1" s="1" t="s">
        <v>13</v>
      </c>
      <c r="O1" s="1" t="s">
        <v>14</v>
      </c>
    </row>
    <row r="2" spans="1:16" x14ac:dyDescent="0.25">
      <c r="A2" s="24" t="s">
        <v>23</v>
      </c>
      <c r="B2" s="24" t="s">
        <v>24</v>
      </c>
      <c r="C2" s="24">
        <v>6923330</v>
      </c>
      <c r="D2" s="24" t="s">
        <v>1259</v>
      </c>
      <c r="E2" s="24" t="s">
        <v>1218</v>
      </c>
      <c r="F2" s="24" t="s">
        <v>222</v>
      </c>
      <c r="G2" s="24" t="s">
        <v>28</v>
      </c>
      <c r="H2" s="24">
        <v>348.98899999999998</v>
      </c>
      <c r="I2" s="24">
        <v>4.6559999999999997</v>
      </c>
      <c r="J2" s="24">
        <v>118.05800000000001</v>
      </c>
      <c r="K2" s="24" t="s">
        <v>21</v>
      </c>
      <c r="L2" s="24" t="s">
        <v>21</v>
      </c>
      <c r="M2" s="24" t="s">
        <v>47</v>
      </c>
      <c r="N2" s="25">
        <v>45569</v>
      </c>
      <c r="O2" s="24" t="s">
        <v>21</v>
      </c>
    </row>
    <row r="6" spans="1:16" x14ac:dyDescent="0.25">
      <c r="I6" s="43" t="s">
        <v>1260</v>
      </c>
      <c r="J6" s="35"/>
      <c r="K6" s="35"/>
      <c r="L6" s="35"/>
    </row>
    <row r="7" spans="1:16" x14ac:dyDescent="0.25">
      <c r="I7" s="44" t="str">
        <f>VLOOKUP(A2,Datos!I2:J8,2,FALSE)</f>
        <v>ijamat@gmail.com; cgalonsosalgado@gmail.com</v>
      </c>
      <c r="J7" s="35"/>
      <c r="K7" s="35"/>
      <c r="L7" s="35"/>
    </row>
    <row r="9" spans="1:16" x14ac:dyDescent="0.25">
      <c r="L9" s="45" t="s">
        <v>1261</v>
      </c>
      <c r="M9" s="35"/>
      <c r="N9" s="35"/>
      <c r="O9" s="35"/>
      <c r="P9" s="35"/>
    </row>
    <row r="10" spans="1:16" x14ac:dyDescent="0.25">
      <c r="L10" s="35"/>
      <c r="M10" s="35"/>
      <c r="N10" s="35"/>
      <c r="O10" s="35"/>
      <c r="P10" s="35"/>
    </row>
    <row r="11" spans="1:16" ht="36.75" customHeight="1" x14ac:dyDescent="0.25">
      <c r="L11" s="35"/>
      <c r="M11" s="35"/>
      <c r="N11" s="35"/>
      <c r="O11" s="35"/>
      <c r="P11" s="35"/>
    </row>
    <row r="12" spans="1:16" x14ac:dyDescent="0.25">
      <c r="B12" t="str">
        <f>"A la atención del Servicio de "&amp;B2&amp;" del Hospital Clínico Universitario de Valladolid,"</f>
        <v>A la atención del Servicio de Cardiología del Hospital Clínico Universitario de Valladolid,</v>
      </c>
      <c r="D12" s="14"/>
      <c r="E12" s="26"/>
      <c r="L12" s="35"/>
      <c r="M12" s="35"/>
      <c r="N12" s="35"/>
      <c r="O12" s="35"/>
      <c r="P12" s="35"/>
    </row>
    <row r="13" spans="1:16" x14ac:dyDescent="0.25">
      <c r="L13" s="35"/>
      <c r="M13" s="35"/>
      <c r="N13" s="35"/>
      <c r="O13" s="35"/>
      <c r="P13" s="35"/>
    </row>
    <row r="14" spans="1:16" x14ac:dyDescent="0.25">
      <c r="B14" t="s">
        <v>1262</v>
      </c>
      <c r="D14" t="str">
        <f>D2&amp;"    con    NHC "&amp;C2</f>
        <v>ALVAREZ MUÑOZ, JOSE LUIS    con    NHC 6923330</v>
      </c>
      <c r="G14" s="31"/>
      <c r="L14" s="35"/>
      <c r="M14" s="35"/>
      <c r="N14" s="35"/>
      <c r="O14" s="35"/>
      <c r="P14" s="35"/>
    </row>
    <row r="15" spans="1:16" x14ac:dyDescent="0.25">
      <c r="B15" t="s">
        <v>1263</v>
      </c>
      <c r="D15" t="str">
        <f>E2&amp;" a las "&amp;F2&amp;" horas"</f>
        <v>01/10/2024 a las 9:37 horas</v>
      </c>
      <c r="L15" s="35"/>
      <c r="M15" s="35"/>
      <c r="N15" s="35"/>
      <c r="O15" s="35"/>
      <c r="P15" s="35"/>
    </row>
    <row r="16" spans="1:16" x14ac:dyDescent="0.25">
      <c r="B16" t="s">
        <v>1264</v>
      </c>
      <c r="D16" s="46" t="str">
        <f>G2</f>
        <v>Cardíaca</v>
      </c>
      <c r="E16" s="35"/>
      <c r="L16" s="35"/>
      <c r="M16" s="35"/>
      <c r="N16" s="35"/>
      <c r="O16" s="35"/>
      <c r="P16" s="35"/>
    </row>
    <row r="17" spans="2:16" x14ac:dyDescent="0.25">
      <c r="L17" s="35"/>
      <c r="M17" s="35"/>
      <c r="N17" s="35"/>
      <c r="O17" s="35"/>
      <c r="P17" s="35"/>
    </row>
    <row r="18" spans="2:16" ht="15" customHeight="1" x14ac:dyDescent="0.25">
      <c r="B18" s="36" t="s">
        <v>1265</v>
      </c>
      <c r="C18" s="35"/>
      <c r="D18" s="35"/>
      <c r="E18" s="35"/>
      <c r="L18" s="35"/>
      <c r="M18" s="35"/>
      <c r="N18" s="35"/>
      <c r="O18" s="35"/>
      <c r="P18" s="35"/>
    </row>
    <row r="19" spans="2:16" x14ac:dyDescent="0.25">
      <c r="B19" s="35"/>
      <c r="C19" s="35"/>
      <c r="D19" s="35"/>
      <c r="E19" s="35"/>
      <c r="L19" s="35"/>
      <c r="M19" s="35"/>
      <c r="N19" s="35"/>
      <c r="O19" s="35"/>
      <c r="P19" s="35"/>
    </row>
    <row r="20" spans="2:16" x14ac:dyDescent="0.25">
      <c r="L20" s="35"/>
      <c r="M20" s="35"/>
      <c r="N20" s="35"/>
      <c r="O20" s="35"/>
      <c r="P20" s="35"/>
    </row>
    <row r="21" spans="2:16" x14ac:dyDescent="0.25">
      <c r="B21" t="s">
        <v>1266</v>
      </c>
      <c r="L21" s="35"/>
      <c r="M21" s="35"/>
      <c r="N21" s="35"/>
      <c r="O21" s="35"/>
      <c r="P21" s="35"/>
    </row>
    <row r="22" spans="2:16" ht="5.25" customHeight="1" x14ac:dyDescent="0.25">
      <c r="L22" s="35"/>
      <c r="M22" s="35"/>
      <c r="N22" s="35"/>
      <c r="O22" s="35"/>
      <c r="P22" s="35"/>
    </row>
    <row r="23" spans="2:16" x14ac:dyDescent="0.25">
      <c r="B23" s="38" t="s">
        <v>1267</v>
      </c>
      <c r="C23" s="39"/>
      <c r="D23" s="40"/>
      <c r="E23" s="3" t="str">
        <f>ROUND(H2,1)&amp;" Gy.cm2"</f>
        <v>349 Gy.cm2</v>
      </c>
      <c r="L23" s="35"/>
      <c r="M23" s="35"/>
      <c r="N23" s="35"/>
      <c r="O23" s="35"/>
      <c r="P23" s="35"/>
    </row>
    <row r="24" spans="2:16" x14ac:dyDescent="0.25">
      <c r="B24" s="38" t="s">
        <v>1268</v>
      </c>
      <c r="C24" s="39"/>
      <c r="D24" s="40"/>
      <c r="E24" s="3" t="str">
        <f>ROUND(I2,2)&amp;" Gy"</f>
        <v>4.66 Gy</v>
      </c>
      <c r="L24" s="35"/>
      <c r="M24" s="35"/>
      <c r="N24" s="35"/>
      <c r="O24" s="35"/>
      <c r="P24" s="35"/>
    </row>
    <row r="25" spans="2:16" x14ac:dyDescent="0.25">
      <c r="B25" s="38" t="s">
        <v>1269</v>
      </c>
      <c r="C25" s="39"/>
      <c r="D25" s="40"/>
      <c r="E25" s="3" t="str">
        <f>ROUND(J2,1)&amp;" minutos"</f>
        <v>118.1 minutos</v>
      </c>
    </row>
    <row r="27" spans="2:16" ht="14.25" customHeight="1" x14ac:dyDescent="0.25">
      <c r="B27" s="6" t="s">
        <v>1270</v>
      </c>
      <c r="C27" s="6"/>
      <c r="D27" s="6"/>
      <c r="E27" s="6"/>
    </row>
    <row r="28" spans="2:16" x14ac:dyDescent="0.25">
      <c r="B28" s="41" t="s">
        <v>1271</v>
      </c>
      <c r="C28" s="39"/>
      <c r="D28" s="40"/>
      <c r="E28" s="5" t="s">
        <v>1272</v>
      </c>
    </row>
    <row r="29" spans="2:16" ht="17.25" customHeight="1" x14ac:dyDescent="0.25">
      <c r="B29" s="42" t="s">
        <v>1273</v>
      </c>
      <c r="C29" s="39"/>
      <c r="D29" s="40"/>
      <c r="E29" s="4" t="s">
        <v>1274</v>
      </c>
    </row>
    <row r="30" spans="2:16" ht="15" customHeight="1" x14ac:dyDescent="0.25">
      <c r="B30" s="42" t="s">
        <v>1268</v>
      </c>
      <c r="C30" s="39"/>
      <c r="D30" s="40"/>
      <c r="E30" s="4" t="s">
        <v>1275</v>
      </c>
    </row>
    <row r="31" spans="2:16" ht="15" customHeight="1" x14ac:dyDescent="0.25">
      <c r="B31" s="42" t="s">
        <v>1276</v>
      </c>
      <c r="C31" s="39"/>
      <c r="D31" s="40"/>
      <c r="E31" s="4" t="s">
        <v>1277</v>
      </c>
    </row>
    <row r="32" spans="2:16" ht="16.5" customHeight="1" x14ac:dyDescent="0.25"/>
    <row r="33" spans="2:6" ht="16.5" customHeight="1" x14ac:dyDescent="0.25">
      <c r="B33" s="36" t="s">
        <v>1278</v>
      </c>
      <c r="C33" s="35"/>
      <c r="D33" s="35"/>
      <c r="E33" s="35"/>
      <c r="F33" s="16"/>
    </row>
    <row r="34" spans="2:6" ht="15" customHeight="1" x14ac:dyDescent="0.25">
      <c r="B34" s="35"/>
      <c r="C34" s="35"/>
      <c r="D34" s="35"/>
      <c r="E34" s="35"/>
      <c r="F34" s="16"/>
    </row>
    <row r="35" spans="2:6" x14ac:dyDescent="0.25">
      <c r="B35" s="2"/>
      <c r="C35" s="2"/>
      <c r="D35" s="2"/>
      <c r="E35" s="2"/>
    </row>
    <row r="36" spans="2:6" ht="15" customHeight="1" x14ac:dyDescent="0.25">
      <c r="B36" s="36" t="s">
        <v>1279</v>
      </c>
      <c r="C36" s="35"/>
      <c r="D36" s="35"/>
      <c r="E36" s="35"/>
      <c r="F36" s="16"/>
    </row>
    <row r="37" spans="2:6" ht="15" customHeight="1" x14ac:dyDescent="0.25">
      <c r="B37" s="35"/>
      <c r="C37" s="35"/>
      <c r="D37" s="35"/>
      <c r="E37" s="35"/>
      <c r="F37" s="16"/>
    </row>
    <row r="38" spans="2:6" ht="15" customHeight="1" x14ac:dyDescent="0.25">
      <c r="B38" s="35"/>
      <c r="C38" s="35"/>
      <c r="D38" s="35"/>
      <c r="E38" s="35"/>
      <c r="F38" s="16"/>
    </row>
    <row r="40" spans="2:6" x14ac:dyDescent="0.25">
      <c r="B40" s="37" t="str">
        <f>"Valladolid, a "&amp;TEXT(N2,"DD")&amp;" de "&amp;TEXT(N2,"mmmm")&amp;" del "&amp;TEXT(N2,"aaaa")</f>
        <v>Valladolid, a 04 de octubre del 2024</v>
      </c>
      <c r="C40" s="35"/>
      <c r="D40" s="35"/>
    </row>
    <row r="41" spans="2:6" x14ac:dyDescent="0.25">
      <c r="B41" s="37"/>
      <c r="C41" s="35"/>
      <c r="D41" s="35"/>
    </row>
    <row r="46" spans="2:6" x14ac:dyDescent="0.25">
      <c r="B46" s="18"/>
      <c r="C46" s="18"/>
      <c r="D46" s="18"/>
      <c r="E46" s="18"/>
    </row>
    <row r="47" spans="2:6" x14ac:dyDescent="0.25">
      <c r="D47" s="2"/>
      <c r="E47" s="14" t="str">
        <f>M2</f>
        <v>Manuel Agulla Otero</v>
      </c>
    </row>
    <row r="48" spans="2:6" x14ac:dyDescent="0.25">
      <c r="D48" s="2"/>
      <c r="E48" s="14" t="s">
        <v>1280</v>
      </c>
    </row>
    <row r="49" spans="5:5" x14ac:dyDescent="0.25">
      <c r="E49" s="14" t="s">
        <v>1281</v>
      </c>
    </row>
  </sheetData>
  <mergeCells count="16">
    <mergeCell ref="I6:L6"/>
    <mergeCell ref="I7:L7"/>
    <mergeCell ref="L9:P24"/>
    <mergeCell ref="D16:E16"/>
    <mergeCell ref="B18:E19"/>
    <mergeCell ref="B23:D23"/>
    <mergeCell ref="B24:D24"/>
    <mergeCell ref="B36:E38"/>
    <mergeCell ref="B40:D40"/>
    <mergeCell ref="B41:D41"/>
    <mergeCell ref="B25:D25"/>
    <mergeCell ref="B28:D28"/>
    <mergeCell ref="B29:D29"/>
    <mergeCell ref="B30:D30"/>
    <mergeCell ref="B31:D31"/>
    <mergeCell ref="B33:E34"/>
  </mergeCells>
  <pageMargins left="0.47244094488188981" right="0.11811023622047249" top="0.39370078740157483" bottom="0.39370078740157483" header="0.19685039370078741" footer="0.19685039370078741"/>
  <pageSetup paperSize="9" fitToWidth="0" fitToHeight="0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Pendientes</vt:lpstr>
      <vt:lpstr>Datos</vt:lpstr>
      <vt:lpstr>Informe</vt:lpstr>
      <vt:lpstr>Informe!Área_de_impresión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</dc:creator>
  <cp:lastModifiedBy>Agulla Otero, Manuel Maria</cp:lastModifiedBy>
  <cp:lastPrinted>2024-10-04T06:08:05Z</cp:lastPrinted>
  <dcterms:created xsi:type="dcterms:W3CDTF">2020-01-08T13:04:41Z</dcterms:created>
  <dcterms:modified xsi:type="dcterms:W3CDTF">2024-10-04T11:40:24Z</dcterms:modified>
</cp:coreProperties>
</file>